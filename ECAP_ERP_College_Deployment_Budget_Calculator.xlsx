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namic Budget Calculator" state="visible" r:id="rId4"/>
  </sheets>
  <calcPr calcId="171027"/>
</workbook>
</file>

<file path=xl/sharedStrings.xml><?xml version="1.0" encoding="utf-8"?>
<sst xmlns="http://schemas.openxmlformats.org/spreadsheetml/2006/main" count="56" uniqueCount="52">
  <si>
    <t/>
  </si>
  <si>
    <t>SPHOORTHY ENGINEERING COLLEGE - ECAP ERP DEPLOYMENT BUDGET MODEL</t>
  </si>
  <si>
    <t>Dynamic Infrastructure Cost Calculator (Change Student Count in Cell C5 to Recalculate All Costs)</t>
  </si>
  <si>
    <t>1. DYNAMIC INPUT CONTROLS &amp; ASSUMPTIONS (EDITABLE CELLS)</t>
  </si>
  <si>
    <t>Number of Active Students (MAIN DRIVER)</t>
  </si>
  <si>
    <t>Change this number to dynamically update all costs!</t>
  </si>
  <si>
    <t>Faculty &amp; Staff Ratio (Est. 8%)</t>
  </si>
  <si>
    <t>Automatically calculated (approx. 400 staff)</t>
  </si>
  <si>
    <t>INR / USD Exchange Rate (₹ per $)</t>
  </si>
  <si>
    <t>Current USD to INR rate</t>
  </si>
  <si>
    <t>Target Working Days per Month</t>
  </si>
  <si>
    <t>Standard college academic working days</t>
  </si>
  <si>
    <t>Domain &amp; Pilot Launch Setup Fee (₹)</t>
  </si>
  <si>
    <t>Fixed Pilot Launch &amp; Custom College Domain setup</t>
  </si>
  <si>
    <t>2. ONE-TIME FIXED SETUP &amp; INITIALIZATION COSTS</t>
  </si>
  <si>
    <t>Item Description</t>
  </si>
  <si>
    <t>Cost in INR (₹)</t>
  </si>
  <si>
    <t>Cost in USD ($)</t>
  </si>
  <si>
    <t>Cost Basis &amp; Specs</t>
  </si>
  <si>
    <t>Custom Domain &amp; Pilot Launch Setup</t>
  </si>
  <si>
    <t>Fixed college custom subdomain &amp; SSL configuration</t>
  </si>
  <si>
    <t>TRAI DLT SMS Entity Registration</t>
  </si>
  <si>
    <t>One-time Government DLT portal registration fee in India</t>
  </si>
  <si>
    <t>Initial Cloud Security &amp; SSL Certificate</t>
  </si>
  <si>
    <t>Wildcard SSL &amp; Cloudflare WAF firewall rule provisioning</t>
  </si>
  <si>
    <t>SUBTOTAL: ONE-TIME SETUP COSTS</t>
  </si>
  <si>
    <t>3. MONTHLY RECURRING OPERATIONAL COSTS (DYNAMICALLY SCALED BY STUDENT COUNT)</t>
  </si>
  <si>
    <t>Infrastructure Layer / Service</t>
  </si>
  <si>
    <t>Monthly Cost (₹)</t>
  </si>
  <si>
    <t>Monthly Cost ($)</t>
  </si>
  <si>
    <t>Capacity Sizing &amp; Volume Formulas</t>
  </si>
  <si>
    <t>Frontend Web Hosting (Cloudflare Pages)</t>
  </si>
  <si>
    <t>Free Plan: Unlimited global bandwidth, edge CDN caching &amp; SSL</t>
  </si>
  <si>
    <t>Backend API Service (Render App Instance)</t>
  </si>
  <si>
    <t>Scales automatically: 512MB (&lt;1k), 2GB (1-5k), 4GB (5-10k), 8GB (10k+)</t>
  </si>
  <si>
    <t>Database Cluster (MongoDB Atlas Dedicated)</t>
  </si>
  <si>
    <t>M10 Dedicated Instance ($0.08/hr) - 2GB RAM, 10GB storage, 1 vCPU</t>
  </si>
  <si>
    <t>AWS S3 File Storage (Certificates, PDFs, Photos)</t>
  </si>
  <si>
    <t>Formula: Est. 20 MB storage/student @ ₹1.90/GB/month + transfer</t>
  </si>
  <si>
    <t>Transactional SMS Gateway (DLT Approved)</t>
  </si>
  <si>
    <t>Formula: Est. 5 SMS/student/month @ ₹0.15/SMS (Attendance alerts &amp; OTPs)</t>
  </si>
  <si>
    <t>Transactional Email Service (AWS SES API)</t>
  </si>
  <si>
    <t>Formula: Est. 20 emails/student/month @ $0.10 per 1,000 emails</t>
  </si>
  <si>
    <t>System Maintenance &amp; Security Contingency (10%)</t>
  </si>
  <si>
    <t>10% buffer for bandwidth spikes, emergency backups &amp; SLA monitoring</t>
  </si>
  <si>
    <t>TOTAL MONTHLY OPERATIONAL COST</t>
  </si>
  <si>
    <t>4. EXECUTIVE FINANCIAL SUMMARY &amp; PER-STUDENT KEY PERFORMANCE INDICATORS</t>
  </si>
  <si>
    <t>Total Monthly Recurring Cost (INR &amp; USD)</t>
  </si>
  <si>
    <t>Total Annual Operational Cost (12 Months)</t>
  </si>
  <si>
    <t>FIRST YEAR TOTAL BUDGET (One-Time Setup + 12 Months Operating)</t>
  </si>
  <si>
    <t>Per-Student Annual Infrastructure Cost (₹ / Student / Year)</t>
  </si>
  <si>
    <t>Per-Student Monthly Infrastructure Cost (₹ / Student /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</si>
</sst>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94A3B8"/>
      <sz val="10"/>
      <name val="Calibri"/>
    </font>
    <font>
      <b/>
      <color rgb="FFFFFFFF"/>
      <sz val="11"/>
      <name val="Calibri"/>
    </font>
    <font>
      <b/>
      <sz val="10"/>
      <name val="Calibri"/>
    </font>
    <font>
      <b/>
      <color rgb="FF0369A1"/>
      <sz val="11"/>
      <name val="Calibri"/>
    </font>
    <font>
      <i/>
      <color rgb="FF64748B"/>
      <sz val="9"/>
      <name val="Calibri"/>
    </font>
    <font>
      <sz val="10"/>
      <name val="Calibri"/>
    </font>
    <font>
      <b/>
      <color rgb="FF000000"/>
      <sz val="11"/>
      <name val="Calibri"/>
    </font>
    <font>
      <b/>
      <color rgb="FF1E293B"/>
      <sz val="10"/>
      <name val="Calibri"/>
    </font>
    <font>
      <color rgb="FF475569"/>
      <sz val="9"/>
      <name val="Calibri"/>
    </font>
    <font>
      <b/>
      <color rgb="FF064E3B"/>
      <sz val="10"/>
      <name val="Calibri"/>
    </font>
    <font>
      <color rgb="FF334155"/>
      <sz val="9"/>
      <name val="Calibri"/>
    </font>
    <font>
      <b/>
      <color rgb="FF065F46"/>
      <sz val="10"/>
      <name val="Calibri"/>
    </font>
    <font>
      <b/>
      <color rgb="FF065F46"/>
      <sz val="11"/>
      <name val="Calibri"/>
    </font>
    <font>
      <b/>
      <sz val="11"/>
      <name val="Calibri"/>
    </font>
    <font>
      <b/>
      <color rgb="FF047857"/>
      <sz val="12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4338CA"/>
      </patternFill>
    </fill>
    <fill>
      <patternFill patternType="solid">
        <fgColor rgb="FFE0F2FE"/>
      </patternFill>
    </fill>
    <fill>
      <patternFill patternType="solid">
        <fgColor rgb="FF3730A3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065F46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ECFDF5"/>
      </patternFill>
    </fill>
  </fills>
  <borders count="7">
    <border>
      <left/>
      <right/>
      <top/>
      <bottom/>
      <diagonal/>
    </border>
    <border>
      <left style="thin">
        <color rgb="FF0284C7"/>
      </left>
      <right style="thin">
        <color rgb="FF0284C7"/>
      </right>
      <top style="thin">
        <color rgb="FF0284C7"/>
      </top>
      <bottom style="thin">
        <color rgb="FF0284C7"/>
      </bottom>
      <diagonal/>
    </border>
    <border>
      <left/>
      <right/>
      <top/>
      <bottom style="medium">
        <color rgb="FF94A3B8"/>
      </bottom>
      <diagonal/>
    </border>
    <border>
      <left/>
      <right/>
      <top style="thin">
        <color rgb="FFCBD5E1"/>
      </top>
      <bottom style="double">
        <color rgb="FF475569"/>
      </bottom>
      <diagonal/>
    </border>
    <border>
      <left/>
      <right/>
      <top/>
      <bottom style="medium">
        <color rgb="FF059669"/>
      </bottom>
      <diagonal/>
    </border>
    <border>
      <left/>
      <right/>
      <top style="thin">
        <color rgb="FF10B981"/>
      </top>
      <bottom style="double">
        <color rgb="FF047857"/>
      </bottom>
      <diagonal/>
    </border>
    <border>
      <left/>
      <right/>
      <top style="medium">
        <color rgb="FF059669"/>
      </top>
      <bottom style="medium">
        <color rgb="FF05966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0" borderId="0" xfId="0" applyFont="1"/>
    <xf numFmtId="0" fontId="5" fillId="5" borderId="1" xfId="0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3" fillId="6" borderId="0" xfId="0" applyFont="1" applyFill="1"/>
    <xf numFmtId="0" fontId="9" fillId="7" borderId="2" xfId="0" applyFont="1" applyFill="1" applyBorder="1"/>
    <xf numFmtId="0" fontId="10" fillId="0" borderId="0" xfId="0" applyFont="1"/>
    <xf numFmtId="0" fontId="4" fillId="8" borderId="3" xfId="0" applyFont="1" applyFill="1" applyBorder="1"/>
    <xf numFmtId="0" fontId="0" fillId="8" borderId="3" xfId="0" applyFill="1" applyBorder="1"/>
    <xf numFmtId="0" fontId="3" fillId="9" borderId="0" xfId="0" applyFont="1" applyFill="1"/>
    <xf numFmtId="0" fontId="11" fillId="10" borderId="4" xfId="0" applyFont="1" applyFill="1" applyBorder="1"/>
    <xf numFmtId="0" fontId="12" fillId="0" borderId="0" xfId="0" applyFont="1"/>
    <xf numFmtId="0" fontId="13" fillId="11" borderId="5" xfId="0" applyFont="1" applyFill="1" applyBorder="1"/>
    <xf numFmtId="0" fontId="14" fillId="11" borderId="5" xfId="0" applyFont="1" applyFill="1" applyBorder="1"/>
    <xf numFmtId="0" fontId="0" fillId="11" borderId="5" xfId="0" applyFill="1" applyBorder="1"/>
    <xf numFmtId="0" fontId="3" fillId="3" borderId="0" xfId="0" applyFont="1" applyFill="1"/>
    <xf numFmtId="0" fontId="8" fillId="0" borderId="0" xfId="0" applyFont="1"/>
    <xf numFmtId="0" fontId="15" fillId="12" borderId="6" xfId="0" applyFont="1" applyFill="1" applyBorder="1"/>
    <xf numFmtId="0" fontId="16" fillId="12" borderId="6" xfId="0" applyFont="1" applyFill="1" applyBorder="1"/>
    <xf numFmtId="0" fontId="0" fillId="1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 outlineLevelRow="0" outlineLevelCol="0" x14ac:dyDescent="55"/>
  <cols>
    <col min="1" max="1" width="4" customWidth="1"/>
    <col min="2" max="2" width="42" customWidth="1"/>
    <col min="3" max="3" width="22" customWidth="1"/>
    <col min="4" max="4" width="20" customWidth="1"/>
    <col min="5" max="5" width="48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ht="35" customHeight="1" spans="2:5" x14ac:dyDescent="0.25">
      <c r="B2" s="1" t="s">
        <v>1</v>
      </c>
      <c r="C2" s="1"/>
      <c r="D2" s="1"/>
      <c r="E2" s="1"/>
    </row>
    <row r="3" ht="22" customHeight="1" spans="2:5" x14ac:dyDescent="0.25">
      <c r="B3" s="2" t="s">
        <v>2</v>
      </c>
      <c r="C3" s="2"/>
      <c r="D3" s="2"/>
      <c r="E3" s="2"/>
    </row>
    <row r="5" ht="24" customHeight="1" spans="2:5" x14ac:dyDescent="0.25">
      <c r="B5" s="3" t="s">
        <v>3</v>
      </c>
      <c r="C5" s="3"/>
      <c r="D5" s="3"/>
      <c r="E5" s="3"/>
    </row>
    <row r="6" ht="20" customHeight="1" spans="2:5" x14ac:dyDescent="0.25">
      <c r="B6" s="4" t="s">
        <v>4</v>
      </c>
      <c r="C6" s="5">
        <v>5000</v>
      </c>
      <c r="E6" s="6" t="s">
        <v>5</v>
      </c>
    </row>
    <row r="7" ht="20" customHeight="1" spans="2:5" x14ac:dyDescent="0.25">
      <c r="B7" s="7" t="s">
        <v>6</v>
      </c>
      <c r="C7" s="8">
        <f>=ROUND(C6*0.08, 0)</f>
      </c>
      <c r="E7" s="6" t="s">
        <v>7</v>
      </c>
    </row>
    <row r="8" ht="20" customHeight="1" spans="2:5" x14ac:dyDescent="0.25">
      <c r="B8" s="4" t="s">
        <v>8</v>
      </c>
      <c r="C8" s="5">
        <v>82.5</v>
      </c>
      <c r="E8" s="6" t="s">
        <v>9</v>
      </c>
    </row>
    <row r="9" ht="20" customHeight="1" spans="2:5" x14ac:dyDescent="0.25">
      <c r="B9" s="7" t="s">
        <v>10</v>
      </c>
      <c r="C9" s="8">
        <v>22</v>
      </c>
      <c r="E9" s="6" t="s">
        <v>11</v>
      </c>
    </row>
    <row r="10" ht="20" customHeight="1" spans="2:5" x14ac:dyDescent="0.25">
      <c r="B10" s="4" t="s">
        <v>12</v>
      </c>
      <c r="C10" s="5">
        <v>5000</v>
      </c>
      <c r="E10" s="6" t="s">
        <v>13</v>
      </c>
    </row>
    <row r="12" ht="24" customHeight="1" spans="2:5" x14ac:dyDescent="0.25">
      <c r="B12" s="9" t="s">
        <v>14</v>
      </c>
      <c r="C12" s="9"/>
      <c r="D12" s="9"/>
      <c r="E12" s="9"/>
    </row>
    <row r="13" ht="20" customHeight="1" spans="2:5" x14ac:dyDescent="0.25">
      <c r="B13" s="10" t="s">
        <v>15</v>
      </c>
      <c r="C13" s="10" t="s">
        <v>16</v>
      </c>
      <c r="D13" s="10" t="s">
        <v>17</v>
      </c>
      <c r="E13" s="10" t="s">
        <v>18</v>
      </c>
    </row>
    <row r="14" ht="20" customHeight="1" spans="2:5" x14ac:dyDescent="0.25">
      <c r="B14" s="7" t="s">
        <v>19</v>
      </c>
      <c r="C14" s="7">
        <f>=C10</f>
      </c>
      <c r="D14" s="7">
        <f>=C14/C8</f>
      </c>
      <c r="E14" s="11" t="s">
        <v>20</v>
      </c>
    </row>
    <row r="15" ht="20" customHeight="1" spans="2:5" x14ac:dyDescent="0.25">
      <c r="B15" s="7" t="s">
        <v>21</v>
      </c>
      <c r="C15" s="7">
        <v>5900</v>
      </c>
      <c r="D15" s="7">
        <f>=C15/C8</f>
      </c>
      <c r="E15" s="11" t="s">
        <v>22</v>
      </c>
    </row>
    <row r="16" ht="20" customHeight="1" spans="2:5" x14ac:dyDescent="0.25">
      <c r="B16" s="7" t="s">
        <v>23</v>
      </c>
      <c r="C16" s="7">
        <v>2500</v>
      </c>
      <c r="D16" s="7">
        <f>=C16/C8</f>
      </c>
      <c r="E16" s="11" t="s">
        <v>24</v>
      </c>
    </row>
    <row r="17" ht="22" customHeight="1" spans="2:5" x14ac:dyDescent="0.25">
      <c r="B17" s="12" t="s">
        <v>25</v>
      </c>
      <c r="C17" s="12">
        <f>=SUM(C14:C16)</f>
      </c>
      <c r="D17" s="12">
        <f>=SUM(D14:D16)</f>
      </c>
      <c r="E17" s="13"/>
    </row>
    <row r="19" ht="24" customHeight="1" spans="2:5" x14ac:dyDescent="0.25">
      <c r="B19" s="14" t="s">
        <v>26</v>
      </c>
      <c r="C19" s="14"/>
      <c r="D19" s="14"/>
      <c r="E19" s="14"/>
    </row>
    <row r="20" ht="20" customHeight="1" spans="2:5" x14ac:dyDescent="0.25">
      <c r="B20" s="15" t="s">
        <v>27</v>
      </c>
      <c r="C20" s="15" t="s">
        <v>28</v>
      </c>
      <c r="D20" s="15" t="s">
        <v>29</v>
      </c>
      <c r="E20" s="15" t="s">
        <v>30</v>
      </c>
    </row>
    <row r="21" ht="20" customHeight="1" spans="2:5" x14ac:dyDescent="0.25">
      <c r="B21" s="7" t="s">
        <v>31</v>
      </c>
      <c r="C21" s="7">
        <f>0</f>
      </c>
      <c r="D21" s="7">
        <f>=C21/C8</f>
      </c>
      <c r="E21" s="16" t="s">
        <v>32</v>
      </c>
    </row>
    <row r="22" ht="20" customHeight="1" spans="2:5" x14ac:dyDescent="0.25">
      <c r="B22" s="7" t="s">
        <v>33</v>
      </c>
      <c r="C22" s="7">
        <f>=IF(C6&lt;=1000, 580, IF(C6&lt;=5000, 2050, IF(C6&lt;=10000, 4125, 8250)))</f>
      </c>
      <c r="D22" s="7">
        <f>=C22/C8</f>
      </c>
      <c r="E22" s="16" t="s">
        <v>34</v>
      </c>
    </row>
    <row r="23" ht="20" customHeight="1" spans="2:5" x14ac:dyDescent="0.25">
      <c r="B23" s="7" t="s">
        <v>35</v>
      </c>
      <c r="C23" s="7">
        <f>=IF(C6&lt;=2000, 4750, IF(C6&lt;=5000, 4750, 9500))</f>
      </c>
      <c r="D23" s="7">
        <f>=C23/C8</f>
      </c>
      <c r="E23" s="16" t="s">
        <v>36</v>
      </c>
    </row>
    <row r="24" ht="20" customHeight="1" spans="2:5" x14ac:dyDescent="0.25">
      <c r="B24" s="7" t="s">
        <v>37</v>
      </c>
      <c r="C24" s="7">
        <f>=ROUND((C6 * 0.02 * 0.023 * C8) + 100, 0)</f>
      </c>
      <c r="D24" s="7">
        <f>=C24/C8</f>
      </c>
      <c r="E24" s="16" t="s">
        <v>38</v>
      </c>
    </row>
    <row r="25" ht="20" customHeight="1" spans="2:5" x14ac:dyDescent="0.25">
      <c r="B25" s="7" t="s">
        <v>39</v>
      </c>
      <c r="C25" s="7">
        <f>=ROUND(C6 * 5 * 0.15, 0)</f>
      </c>
      <c r="D25" s="7">
        <f>=C25/C8</f>
      </c>
      <c r="E25" s="16" t="s">
        <v>40</v>
      </c>
    </row>
    <row r="26" ht="20" customHeight="1" spans="2:5" x14ac:dyDescent="0.25">
      <c r="B26" s="7" t="s">
        <v>41</v>
      </c>
      <c r="C26" s="7">
        <f>=ROUND(C6 * 20 * 0.00825, 0)</f>
      </c>
      <c r="D26" s="7">
        <f>=C26/C8</f>
      </c>
      <c r="E26" s="16" t="s">
        <v>42</v>
      </c>
    </row>
    <row r="27" ht="20" customHeight="1" spans="2:5" x14ac:dyDescent="0.25">
      <c r="B27" s="7" t="s">
        <v>43</v>
      </c>
      <c r="C27" s="7">
        <f>=ROUND(SUM(C21:C26)*0.10, 0)</f>
      </c>
      <c r="D27" s="7">
        <f>=C27/C8</f>
      </c>
      <c r="E27" s="16" t="s">
        <v>44</v>
      </c>
    </row>
    <row r="28" ht="24" customHeight="1" spans="2:5" x14ac:dyDescent="0.25">
      <c r="B28" s="17" t="s">
        <v>45</v>
      </c>
      <c r="C28" s="18">
        <f>=SUM(C21:C27)</f>
      </c>
      <c r="D28" s="18">
        <f>=SUM(D21:D27)</f>
      </c>
      <c r="E28" s="19"/>
    </row>
    <row r="30" ht="24" customHeight="1" spans="2:5" x14ac:dyDescent="0.25">
      <c r="B30" s="20" t="s">
        <v>46</v>
      </c>
      <c r="C30" s="20"/>
      <c r="D30" s="20"/>
      <c r="E30" s="20"/>
    </row>
    <row r="31" ht="22" customHeight="1" spans="2:4" x14ac:dyDescent="0.25">
      <c r="B31" s="4" t="s">
        <v>47</v>
      </c>
      <c r="C31" s="21">
        <f>=C28</f>
      </c>
      <c r="D31" s="21">
        <f>=C31/C8</f>
      </c>
    </row>
    <row r="32" ht="22" customHeight="1" spans="2:4" x14ac:dyDescent="0.25">
      <c r="B32" s="4" t="s">
        <v>48</v>
      </c>
      <c r="C32" s="21">
        <f>=C28*12</f>
      </c>
      <c r="D32" s="21">
        <f>=C32/C8</f>
      </c>
    </row>
    <row r="33" ht="26" customHeight="1" spans="2:5" x14ac:dyDescent="0.25">
      <c r="B33" s="22" t="s">
        <v>49</v>
      </c>
      <c r="C33" s="23">
        <f>=C17+(C28*12)</f>
      </c>
      <c r="D33" s="23">
        <f>=C33/C8</f>
      </c>
      <c r="E33" s="24"/>
    </row>
    <row r="34" ht="22" customHeight="1" spans="2:4" x14ac:dyDescent="0.25">
      <c r="B34" s="4" t="s">
        <v>50</v>
      </c>
      <c r="C34" s="21">
        <f>=ROUND(C33/C6, 2)</f>
      </c>
      <c r="D34" s="21">
        <f>=C34/C8</f>
      </c>
    </row>
    <row r="35" ht="22" customHeight="1" spans="2:4" x14ac:dyDescent="0.25">
      <c r="B35" s="4" t="s">
        <v>51</v>
      </c>
      <c r="C35" s="21">
        <f>=ROUND(C34/12, 2)</f>
      </c>
      <c r="D35" s="21">
        <f>=C35/C8</f>
      </c>
    </row>
  </sheetData>
  <mergeCells count="6">
    <mergeCell ref="B2:E2"/>
    <mergeCell ref="B3:E3"/>
    <mergeCell ref="B5:E5"/>
    <mergeCell ref="B12:E12"/>
    <mergeCell ref="B19:E19"/>
    <mergeCell ref="B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Budget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Sphorthy Engineering College ECAP ERP Team</dc:creator>
  <dc:title/>
  <dc:subject/>
  <dc:description/>
  <cp:keywords/>
  <cp:category/>
  <cp:lastModifiedBy>ECAP ERP AI System</cp:lastModifiedBy>
  <dcterms:created xsi:type="dcterms:W3CDTF">2026-08-30T16:59:50Z</dcterms:created>
  <dcterms:modified xsi:type="dcterms:W3CDTF">2026-08-30T16:59:50Z</dcterms:modified>
</cp:coreProperties>
</file>