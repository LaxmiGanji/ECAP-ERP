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P Deployment Budget Model" state="visible" r:id="rId4"/>
  </sheets>
  <calcPr calcId="171027"/>
</workbook>
</file>

<file path=xl/sharedStrings.xml><?xml version="1.0" encoding="utf-8"?>
<sst xmlns="http://schemas.openxmlformats.org/spreadsheetml/2006/main" count="54" uniqueCount="48">
  <si>
    <t/>
  </si>
  <si>
    <t>SPHOORTHY ENGINEERING COLLEGE - ECAP ERP DEPLOYMENT BUDGET MODEL</t>
  </si>
  <si>
    <t>Dynamic Financial &amp; Infrastructure Model in INR (Change Student Count in Cell C6 to Recalculate All Costs)</t>
  </si>
  <si>
    <t>1. DYNAMIC INPUT CONTROLS &amp; ASSUMPTIONS (EDITABLE CELL)</t>
  </si>
  <si>
    <t>Number of Active Students (MAIN COST DRIVER)</t>
  </si>
  <si>
    <t>Change this number to dynamically update all monthly &amp; yearly totals!</t>
  </si>
  <si>
    <t>Faculty &amp; Staff Ratio (Est. 8%)</t>
  </si>
  <si>
    <t>Calculated automatically (approx. 400 faculty &amp; staff)</t>
  </si>
  <si>
    <t>Target Working Days per Month</t>
  </si>
  <si>
    <t>Standard college academic working calendar days</t>
  </si>
  <si>
    <t>Domain &amp; Pilot Launch Setup Fee (Fixed ₹)</t>
  </si>
  <si>
    <t>Fixed Pilot Launch &amp; Custom College Domain setup fee</t>
  </si>
  <si>
    <t>2. ONE-TIME FIXED SETUP &amp; INITIALIZATION COSTS (INR ₹)</t>
  </si>
  <si>
    <t>Item Description</t>
  </si>
  <si>
    <t>Monthly Cost (₹ / Month)</t>
  </si>
  <si>
    <t>Annual Cost (₹ / Year)</t>
  </si>
  <si>
    <t>Detailed Pricing Basis &amp; Component Breakdown</t>
  </si>
  <si>
    <t>Custom Domain &amp; Pilot Launch Setup</t>
  </si>
  <si>
    <t>Fixed setup for college subdomain (ecap.sphoorthy.edu.in) &amp; SSL setup</t>
  </si>
  <si>
    <t>TRAI DLT SMS Entity Registration</t>
  </si>
  <si>
    <t>One-time Government mandatory DLT portal Registration &amp; Sender ID registration in India</t>
  </si>
  <si>
    <t>Initial Cloud Security &amp; SSL Certificate</t>
  </si>
  <si>
    <t>Wildcard SSL provisioning, DDoS protection &amp; Cloudflare WAF firewall setup</t>
  </si>
  <si>
    <t>SUBTOTAL: ONE-TIME SETUP COSTS</t>
  </si>
  <si>
    <t>3. MONTHLY &amp; ANNUAL OPERATIONAL COSTS (SCALED DYNAMICALLY BY STUDENT COUNT)</t>
  </si>
  <si>
    <t>Infrastructure Layer / Service Component</t>
  </si>
  <si>
    <t>Detailed Capacity Formulas &amp; Unit Rate Breakdown</t>
  </si>
  <si>
    <t>Frontend Web Hosting (Cloudflare Pages)</t>
  </si>
  <si>
    <t>100% Free Plan: Unlimited global bandwidth, CDN edge caching &amp; SSL security</t>
  </si>
  <si>
    <t>Backend API Compute (Render App Instance)</t>
  </si>
  <si>
    <t>Scales by user load: &lt;1k (₹580/mo), 1-5k (₹2,050/mo), 5-10k (₹4,125/mo), 10k+ (₹8,250/mo)</t>
  </si>
  <si>
    <t>Database Cluster (MongoDB Atlas Dedicated)</t>
  </si>
  <si>
    <t>M10 Dedicated Instance ($0.08/hr = ₹4,750/mo) - 2GB RAM, 10GB SSD, 1 vCPU</t>
  </si>
  <si>
    <t>AWS S3 File Storage (Certificates, PDFs, Photos)</t>
  </si>
  <si>
    <t>Est. 20 MB/student @ ₹1.90/GB/month + bandwidth (5,000 students = ~100 GB = ₹290/mo)</t>
  </si>
  <si>
    <t>Transactional SMS Gateway (DLT Approved)</t>
  </si>
  <si>
    <t>Est. 5 SMS/student/month @ ₹0.15/SMS (5,000 students = 25,000 SMS/mo = ₹3,750/mo)</t>
  </si>
  <si>
    <t>Transactional Email Service (AWS SES API)</t>
  </si>
  <si>
    <t>Est. 20 emails/student/month @ ₹0.00825/email (5,000 students = 100,000 emails/mo = ₹825/mo)</t>
  </si>
  <si>
    <t>System Maintenance &amp; Security Contingency (10%)</t>
  </si>
  <si>
    <t>10% contingency buffer for traffic spikes, DB storage scaling &amp; 24/7 SLA monitoring</t>
  </si>
  <si>
    <t>TOTAL OPERATIONAL RECURRING COST</t>
  </si>
  <si>
    <t>4. EXECUTIVE FINANCIAL SUMMARY &amp; PER-STUDENT METRICS (INR ₹)</t>
  </si>
  <si>
    <t>Total Monthly Recurring Cost (₹ / Month)</t>
  </si>
  <si>
    <t>Total Annual Operational Cost (12 Months)</t>
  </si>
  <si>
    <t>FIRST YEAR TOTAL BUDGET (One-Time Setup + 12 Months Operating)</t>
  </si>
  <si>
    <t>Per-Student Annual Infrastructure Cost (₹ / Student / Year)</t>
  </si>
  <si>
    <t>Per-Student Monthly Infrastructure Cost (₹ / Student / 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</si>
</sst>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94A3B8"/>
      <sz val="10"/>
      <name val="Calibri"/>
    </font>
    <font>
      <b/>
      <color rgb="FFFFFFFF"/>
      <sz val="11"/>
      <name val="Calibri"/>
    </font>
    <font>
      <b/>
      <sz val="10"/>
      <name val="Calibri"/>
    </font>
    <font>
      <b/>
      <color rgb="FF0369A1"/>
      <sz val="11"/>
      <name val="Calibri"/>
    </font>
    <font>
      <i/>
      <color rgb="FF64748B"/>
      <sz val="9"/>
      <name val="Calibri"/>
    </font>
    <font>
      <sz val="10"/>
      <name val="Calibri"/>
    </font>
    <font>
      <b/>
      <color rgb="FF000000"/>
      <sz val="11"/>
      <name val="Calibri"/>
    </font>
    <font>
      <b/>
      <color rgb="FF1E293B"/>
      <sz val="10"/>
      <name val="Calibri"/>
    </font>
    <font>
      <color rgb="FF475569"/>
      <sz val="9"/>
      <name val="Calibri"/>
    </font>
    <font>
      <b/>
      <color rgb="FF064E3B"/>
      <sz val="10"/>
      <name val="Calibri"/>
    </font>
    <font>
      <color rgb="FF334155"/>
      <sz val="9"/>
      <name val="Calibri"/>
    </font>
    <font>
      <b/>
      <color rgb="FF065F46"/>
      <sz val="10"/>
      <name val="Calibri"/>
    </font>
    <font>
      <b/>
      <color rgb="FF065F46"/>
      <sz val="11"/>
      <name val="Calibri"/>
    </font>
    <font>
      <b/>
      <sz val="11"/>
      <name val="Calibri"/>
    </font>
    <font>
      <b/>
      <color rgb="FF047857"/>
      <sz val="12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4338CA"/>
      </patternFill>
    </fill>
    <fill>
      <patternFill patternType="solid">
        <fgColor rgb="FFE0F2FE"/>
      </patternFill>
    </fill>
    <fill>
      <patternFill patternType="solid">
        <fgColor rgb="FF3730A3"/>
      </patternFill>
    </fill>
    <fill>
      <patternFill patternType="solid">
        <fgColor rgb="FFE2E8F0"/>
      </patternFill>
    </fill>
    <fill>
      <patternFill patternType="solid">
        <fgColor rgb="FFF1F5F9"/>
      </patternFill>
    </fill>
    <fill>
      <patternFill patternType="solid">
        <fgColor rgb="FF065F46"/>
      </patternFill>
    </fill>
    <fill>
      <patternFill patternType="solid">
        <fgColor rgb="FFA7F3D0"/>
      </patternFill>
    </fill>
    <fill>
      <patternFill patternType="solid">
        <fgColor rgb="FFD1FAE5"/>
      </patternFill>
    </fill>
    <fill>
      <patternFill patternType="solid">
        <fgColor rgb="FFECFDF5"/>
      </patternFill>
    </fill>
  </fills>
  <borders count="7">
    <border>
      <left/>
      <right/>
      <top/>
      <bottom/>
      <diagonal/>
    </border>
    <border>
      <left style="thin">
        <color rgb="FF0284C7"/>
      </left>
      <right style="thin">
        <color rgb="FF0284C7"/>
      </right>
      <top style="thin">
        <color rgb="FF0284C7"/>
      </top>
      <bottom style="thin">
        <color rgb="FF0284C7"/>
      </bottom>
      <diagonal/>
    </border>
    <border>
      <left/>
      <right/>
      <top/>
      <bottom style="medium">
        <color rgb="FF94A3B8"/>
      </bottom>
      <diagonal/>
    </border>
    <border>
      <left/>
      <right/>
      <top style="thin">
        <color rgb="FFCBD5E1"/>
      </top>
      <bottom style="double">
        <color rgb="FF475569"/>
      </bottom>
      <diagonal/>
    </border>
    <border>
      <left/>
      <right/>
      <top/>
      <bottom style="medium">
        <color rgb="FF059669"/>
      </bottom>
      <diagonal/>
    </border>
    <border>
      <left/>
      <right/>
      <top style="thin">
        <color rgb="FF10B981"/>
      </top>
      <bottom style="double">
        <color rgb="FF047857"/>
      </bottom>
      <diagonal/>
    </border>
    <border>
      <left/>
      <right/>
      <top style="medium">
        <color rgb="FF059669"/>
      </top>
      <bottom style="medium">
        <color rgb="FF05966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/>
    <xf numFmtId="0" fontId="4" fillId="0" borderId="0" xfId="0" applyFont="1"/>
    <xf numFmtId="0" fontId="5" fillId="5" borderId="1" xfId="0" applyFont="1" applyFill="1" applyBorder="1" applyAlignment="1">
      <alignment horizontal="right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right"/>
    </xf>
    <xf numFmtId="0" fontId="3" fillId="6" borderId="0" xfId="0" applyFont="1" applyFill="1"/>
    <xf numFmtId="0" fontId="9" fillId="7" borderId="2" xfId="0" applyFont="1" applyFill="1" applyBorder="1"/>
    <xf numFmtId="0" fontId="10" fillId="0" borderId="0" xfId="0" applyFont="1"/>
    <xf numFmtId="0" fontId="4" fillId="8" borderId="3" xfId="0" applyFont="1" applyFill="1" applyBorder="1"/>
    <xf numFmtId="0" fontId="0" fillId="8" borderId="3" xfId="0" applyFill="1" applyBorder="1"/>
    <xf numFmtId="0" fontId="3" fillId="9" borderId="0" xfId="0" applyFont="1" applyFill="1"/>
    <xf numFmtId="0" fontId="11" fillId="10" borderId="4" xfId="0" applyFont="1" applyFill="1" applyBorder="1"/>
    <xf numFmtId="0" fontId="12" fillId="0" borderId="0" xfId="0" applyFont="1"/>
    <xf numFmtId="0" fontId="13" fillId="11" borderId="5" xfId="0" applyFont="1" applyFill="1" applyBorder="1"/>
    <xf numFmtId="0" fontId="14" fillId="11" borderId="5" xfId="0" applyFont="1" applyFill="1" applyBorder="1"/>
    <xf numFmtId="0" fontId="0" fillId="11" borderId="5" xfId="0" applyFill="1" applyBorder="1"/>
    <xf numFmtId="0" fontId="3" fillId="3" borderId="0" xfId="0" applyFont="1" applyFill="1"/>
    <xf numFmtId="0" fontId="8" fillId="0" borderId="0" xfId="0" applyFont="1"/>
    <xf numFmtId="0" fontId="15" fillId="12" borderId="6" xfId="0" applyFont="1" applyFill="1" applyBorder="1"/>
    <xf numFmtId="0" fontId="16" fillId="12" borderId="6" xfId="0" applyFont="1" applyFill="1" applyBorder="1"/>
    <xf numFmtId="0" fontId="0" fillId="12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/>
  </sheetViews>
  <sheetFormatPr defaultRowHeight="15" outlineLevelRow="0" outlineLevelCol="0" x14ac:dyDescent="55"/>
  <cols>
    <col min="1" max="1" width="4" customWidth="1"/>
    <col min="2" max="2" width="46" customWidth="1"/>
    <col min="3" max="4" width="24" customWidth="1"/>
    <col min="5" max="5" width="55" customWidth="1"/>
  </cols>
  <sheetData>
    <row r="1" spans="1:5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</row>
    <row r="2" ht="36" customHeight="1" spans="2:5" x14ac:dyDescent="0.25">
      <c r="B2" s="1" t="s">
        <v>1</v>
      </c>
      <c r="C2" s="1"/>
      <c r="D2" s="1"/>
      <c r="E2" s="1"/>
    </row>
    <row r="3" ht="22" customHeight="1" spans="2:5" x14ac:dyDescent="0.25">
      <c r="B3" s="2" t="s">
        <v>2</v>
      </c>
      <c r="C3" s="2"/>
      <c r="D3" s="2"/>
      <c r="E3" s="2"/>
    </row>
    <row r="5" ht="25" customHeight="1" spans="2:5" x14ac:dyDescent="0.25">
      <c r="B5" s="3" t="s">
        <v>3</v>
      </c>
      <c r="C5" s="3"/>
      <c r="D5" s="3"/>
      <c r="E5" s="3"/>
    </row>
    <row r="6" ht="21" customHeight="1" spans="2:5" x14ac:dyDescent="0.25">
      <c r="B6" s="4" t="s">
        <v>4</v>
      </c>
      <c r="C6" s="5">
        <v>5000</v>
      </c>
      <c r="E6" s="6" t="s">
        <v>5</v>
      </c>
    </row>
    <row r="7" ht="21" customHeight="1" spans="2:5" x14ac:dyDescent="0.25">
      <c r="B7" s="7" t="s">
        <v>6</v>
      </c>
      <c r="C7" s="8">
        <f>=ROUND(C6*0.08, 0)</f>
      </c>
      <c r="E7" s="6" t="s">
        <v>7</v>
      </c>
    </row>
    <row r="8" ht="21" customHeight="1" spans="2:5" x14ac:dyDescent="0.25">
      <c r="B8" s="7" t="s">
        <v>8</v>
      </c>
      <c r="C8" s="8">
        <v>22</v>
      </c>
      <c r="E8" s="6" t="s">
        <v>9</v>
      </c>
    </row>
    <row r="9" ht="21" customHeight="1" spans="2:5" x14ac:dyDescent="0.25">
      <c r="B9" s="4" t="s">
        <v>10</v>
      </c>
      <c r="C9" s="5">
        <v>5000</v>
      </c>
      <c r="E9" s="6" t="s">
        <v>11</v>
      </c>
    </row>
    <row r="11" ht="25" customHeight="1" spans="2:5" x14ac:dyDescent="0.25">
      <c r="B11" s="9" t="s">
        <v>12</v>
      </c>
      <c r="C11" s="9"/>
      <c r="D11" s="9"/>
      <c r="E11" s="9"/>
    </row>
    <row r="12" ht="21" customHeight="1" spans="2:5" x14ac:dyDescent="0.25">
      <c r="B12" s="10" t="s">
        <v>13</v>
      </c>
      <c r="C12" s="10" t="s">
        <v>14</v>
      </c>
      <c r="D12" s="10" t="s">
        <v>15</v>
      </c>
      <c r="E12" s="10" t="s">
        <v>16</v>
      </c>
    </row>
    <row r="13" ht="21" customHeight="1" spans="2:5" x14ac:dyDescent="0.25">
      <c r="B13" s="7" t="s">
        <v>17</v>
      </c>
      <c r="C13" s="7">
        <f>=C9</f>
      </c>
      <c r="D13" s="7">
        <f>=C13</f>
      </c>
      <c r="E13" s="11" t="s">
        <v>18</v>
      </c>
    </row>
    <row r="14" ht="21" customHeight="1" spans="2:5" x14ac:dyDescent="0.25">
      <c r="B14" s="7" t="s">
        <v>19</v>
      </c>
      <c r="C14" s="7">
        <v>5900</v>
      </c>
      <c r="D14" s="7">
        <f>=C14</f>
      </c>
      <c r="E14" s="11" t="s">
        <v>20</v>
      </c>
    </row>
    <row r="15" ht="21" customHeight="1" spans="2:5" x14ac:dyDescent="0.25">
      <c r="B15" s="7" t="s">
        <v>21</v>
      </c>
      <c r="C15" s="7">
        <v>2500</v>
      </c>
      <c r="D15" s="7">
        <f>=C15</f>
      </c>
      <c r="E15" s="11" t="s">
        <v>22</v>
      </c>
    </row>
    <row r="16" ht="22" customHeight="1" spans="2:5" x14ac:dyDescent="0.25">
      <c r="B16" s="12" t="s">
        <v>23</v>
      </c>
      <c r="C16" s="12">
        <f>=SUM(C13:C15)</f>
      </c>
      <c r="D16" s="12">
        <f>=SUM(D13:D15)</f>
      </c>
      <c r="E16" s="13"/>
    </row>
    <row r="18" ht="25" customHeight="1" spans="2:5" x14ac:dyDescent="0.25">
      <c r="B18" s="14" t="s">
        <v>24</v>
      </c>
      <c r="C18" s="14"/>
      <c r="D18" s="14"/>
      <c r="E18" s="14"/>
    </row>
    <row r="19" ht="21" customHeight="1" spans="2:5" x14ac:dyDescent="0.25">
      <c r="B19" s="15" t="s">
        <v>25</v>
      </c>
      <c r="C19" s="15" t="s">
        <v>14</v>
      </c>
      <c r="D19" s="15" t="s">
        <v>15</v>
      </c>
      <c r="E19" s="15" t="s">
        <v>26</v>
      </c>
    </row>
    <row r="20" ht="21" customHeight="1" spans="2:5" x14ac:dyDescent="0.25">
      <c r="B20" s="7" t="s">
        <v>27</v>
      </c>
      <c r="C20" s="7">
        <f>0</f>
      </c>
      <c r="D20" s="7">
        <f>=C20*12</f>
      </c>
      <c r="E20" s="16" t="s">
        <v>28</v>
      </c>
    </row>
    <row r="21" ht="21" customHeight="1" spans="2:5" x14ac:dyDescent="0.25">
      <c r="B21" s="7" t="s">
        <v>29</v>
      </c>
      <c r="C21" s="7">
        <f>=IF(C6&lt;=1000, 580, IF(C6&lt;=5000, 2050, IF(C6&lt;=10000, 4125, 8250)))</f>
      </c>
      <c r="D21" s="7">
        <f>=C21*12</f>
      </c>
      <c r="E21" s="16" t="s">
        <v>30</v>
      </c>
    </row>
    <row r="22" ht="21" customHeight="1" spans="2:5" x14ac:dyDescent="0.25">
      <c r="B22" s="7" t="s">
        <v>31</v>
      </c>
      <c r="C22" s="7">
        <f>=IF(C6&lt;=2000, 4750, IF(C6&lt;=5000, 4750, 9500))</f>
      </c>
      <c r="D22" s="7">
        <f>=C22*12</f>
      </c>
      <c r="E22" s="16" t="s">
        <v>32</v>
      </c>
    </row>
    <row r="23" ht="21" customHeight="1" spans="2:5" x14ac:dyDescent="0.25">
      <c r="B23" s="7" t="s">
        <v>33</v>
      </c>
      <c r="C23" s="7">
        <f>=ROUND((C6 * 0.02 * 1.90) + 100, 0)</f>
      </c>
      <c r="D23" s="7">
        <f>=C23*12</f>
      </c>
      <c r="E23" s="16" t="s">
        <v>34</v>
      </c>
    </row>
    <row r="24" ht="21" customHeight="1" spans="2:5" x14ac:dyDescent="0.25">
      <c r="B24" s="7" t="s">
        <v>35</v>
      </c>
      <c r="C24" s="7">
        <f>=ROUND(C6 * 5 * 0.15, 0)</f>
      </c>
      <c r="D24" s="7">
        <f>=C24*12</f>
      </c>
      <c r="E24" s="16" t="s">
        <v>36</v>
      </c>
    </row>
    <row r="25" ht="21" customHeight="1" spans="2:5" x14ac:dyDescent="0.25">
      <c r="B25" s="7" t="s">
        <v>37</v>
      </c>
      <c r="C25" s="7">
        <f>=ROUND(C6 * 20 * 0.00825, 0)</f>
      </c>
      <c r="D25" s="7">
        <f>=C25*12</f>
      </c>
      <c r="E25" s="16" t="s">
        <v>38</v>
      </c>
    </row>
    <row r="26" ht="21" customHeight="1" spans="2:5" x14ac:dyDescent="0.25">
      <c r="B26" s="7" t="s">
        <v>39</v>
      </c>
      <c r="C26" s="7">
        <f>=ROUND(SUM(C20:C25)*0.10, 0)</f>
      </c>
      <c r="D26" s="7">
        <f>=C26*12</f>
      </c>
      <c r="E26" s="16" t="s">
        <v>40</v>
      </c>
    </row>
    <row r="27" ht="25" customHeight="1" spans="2:5" x14ac:dyDescent="0.25">
      <c r="B27" s="17" t="s">
        <v>41</v>
      </c>
      <c r="C27" s="18">
        <f>=SUM(C20:C26)</f>
      </c>
      <c r="D27" s="18">
        <f>=SUM(D20:D26)</f>
      </c>
      <c r="E27" s="19"/>
    </row>
    <row r="29" ht="25" customHeight="1" spans="2:5" x14ac:dyDescent="0.25">
      <c r="B29" s="20" t="s">
        <v>42</v>
      </c>
      <c r="C29" s="20"/>
      <c r="D29" s="20"/>
      <c r="E29" s="20"/>
    </row>
    <row r="30" ht="22" customHeight="1" spans="2:4" x14ac:dyDescent="0.25">
      <c r="B30" s="4" t="s">
        <v>43</v>
      </c>
      <c r="C30" s="21">
        <f>=C27</f>
      </c>
      <c r="D30" s="21">
        <f>=C27*12</f>
      </c>
    </row>
    <row r="31" ht="22" customHeight="1" spans="2:4" x14ac:dyDescent="0.25">
      <c r="B31" s="4" t="s">
        <v>44</v>
      </c>
      <c r="C31" s="21">
        <f>=C27</f>
      </c>
      <c r="D31" s="21">
        <f>=D27</f>
      </c>
    </row>
    <row r="32" ht="26" customHeight="1" spans="2:5" x14ac:dyDescent="0.25">
      <c r="B32" s="22" t="s">
        <v>45</v>
      </c>
      <c r="C32" s="23">
        <f>=C16+C27</f>
      </c>
      <c r="D32" s="23">
        <f>=D16+D27</f>
      </c>
      <c r="E32" s="24"/>
    </row>
    <row r="33" ht="22" customHeight="1" spans="2:4" x14ac:dyDescent="0.25">
      <c r="B33" s="4" t="s">
        <v>46</v>
      </c>
      <c r="C33" s="21">
        <f>=ROUND(D32/C6, 2)</f>
      </c>
      <c r="D33" s="21">
        <f>=ROUND(D32/C6, 2)</f>
      </c>
    </row>
    <row r="34" ht="22" customHeight="1" spans="2:4" x14ac:dyDescent="0.25">
      <c r="B34" s="4" t="s">
        <v>47</v>
      </c>
      <c r="C34" s="21">
        <f>=ROUND(C33/12, 2)</f>
      </c>
      <c r="D34" s="21">
        <f>=ROUND(D33/12, 2)</f>
      </c>
    </row>
  </sheetData>
  <mergeCells count="6">
    <mergeCell ref="B2:E2"/>
    <mergeCell ref="B3:E3"/>
    <mergeCell ref="B5:E5"/>
    <mergeCell ref="B11:E11"/>
    <mergeCell ref="B18:E18"/>
    <mergeCell ref="B29:E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ERP Deployment Budget Model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Sphoorthy Engineering College ECAP ERP Team</dc:creator>
  <dc:title/>
  <dc:subject/>
  <dc:description/>
  <cp:keywords/>
  <cp:category/>
  <cp:lastModifiedBy>ECAP ERP System</cp:lastModifiedBy>
  <dcterms:created xsi:type="dcterms:W3CDTF">2026-08-30T17:05:54Z</dcterms:created>
  <dcterms:modified xsi:type="dcterms:W3CDTF">2026-08-30T17:05:54Z</dcterms:modified>
</cp:coreProperties>
</file>