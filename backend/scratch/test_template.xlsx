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IA Marks" state="visible" r:id="rId4"/>
  </sheets>
  <calcPr calcId="171027" fullCalcOnLoad="1"/>
</workbook>
</file>

<file path=xl/sharedStrings.xml><?xml version="1.0" encoding="utf-8"?>
<sst xmlns="http://schemas.openxmlformats.org/spreadsheetml/2006/main" count="425" uniqueCount="399">
  <si>
    <t xml:space="preserve">
</t>
  </si>
  <si>
    <t>Formative % :</t>
  </si>
  <si>
    <t xml:space="preserve">Attainment Level 1: </t>
  </si>
  <si>
    <t xml:space="preserve">% of maximum marks </t>
  </si>
  <si>
    <t>LEVEL 1:</t>
  </si>
  <si>
    <t xml:space="preserve">% of students scoring greater than or equal to </t>
  </si>
  <si>
    <t>Summative % :</t>
  </si>
  <si>
    <t xml:space="preserve">Attainment Level 2: </t>
  </si>
  <si>
    <t>LEVEL 2:</t>
  </si>
  <si>
    <t>IF(D8&lt;IA!BA1,0,IF(D8&gt;=IA!BA3,3,IF(D8&gt;=IA!BA2,2,1)))</t>
  </si>
  <si>
    <t>Department of CSE Program</t>
  </si>
  <si>
    <t>Direct :</t>
  </si>
  <si>
    <t xml:space="preserve">Attainment Level 3: </t>
  </si>
  <si>
    <t>LEVEL 3:</t>
  </si>
  <si>
    <t>Kiran 200</t>
  </si>
  <si>
    <t xml:space="preserve">Academic Year : </t>
  </si>
  <si>
    <t>2024-2025</t>
  </si>
  <si>
    <t>Semester:</t>
  </si>
  <si>
    <t>DIV:</t>
  </si>
  <si>
    <t>Course Code:</t>
  </si>
  <si>
    <t>CS601PC</t>
  </si>
  <si>
    <t>Student Count</t>
  </si>
  <si>
    <t>Indirect :</t>
  </si>
  <si>
    <t>Name of Course Teacher:</t>
  </si>
  <si>
    <t>Test Faculty</t>
  </si>
  <si>
    <t>Set Target:</t>
  </si>
  <si>
    <t>Course Name:</t>
  </si>
  <si>
    <t>MACHINE LEARNING</t>
  </si>
  <si>
    <t>Assignment</t>
  </si>
  <si>
    <t>USN</t>
  </si>
  <si>
    <t>Name</t>
  </si>
  <si>
    <t>IA-1</t>
  </si>
  <si>
    <t>IA-2</t>
  </si>
  <si>
    <t>CIA1</t>
  </si>
  <si>
    <t>CIA2</t>
  </si>
  <si>
    <t>CIA3</t>
  </si>
  <si>
    <t>CIA4</t>
  </si>
  <si>
    <t>CIA5</t>
  </si>
  <si>
    <t>CIA6</t>
  </si>
  <si>
    <t>CIA7</t>
  </si>
  <si>
    <t>CO Mapped</t>
  </si>
  <si>
    <t>CO1</t>
  </si>
  <si>
    <t>CO2</t>
  </si>
  <si>
    <t>Q. No.</t>
  </si>
  <si>
    <t>1a</t>
  </si>
  <si>
    <t>1b</t>
  </si>
  <si>
    <t>Max. Marks</t>
  </si>
  <si>
    <t>Level</t>
  </si>
  <si>
    <t>Formative Assessment Tool</t>
  </si>
  <si>
    <t>Percentage</t>
  </si>
  <si>
    <t>SUM</t>
  </si>
  <si>
    <t>COUNT</t>
  </si>
  <si>
    <t>%</t>
  </si>
  <si>
    <t>23N81A0501</t>
  </si>
  <si>
    <t>K.Madhumitha</t>
  </si>
  <si>
    <t>23N81A0502</t>
  </si>
  <si>
    <t>A.Vaishnavi</t>
  </si>
  <si>
    <t>23N81A0503</t>
  </si>
  <si>
    <t>E. Akshitha</t>
  </si>
  <si>
    <t>23N81A0504</t>
  </si>
  <si>
    <t>Asupally Greeshma</t>
  </si>
  <si>
    <t>23N81A0505</t>
  </si>
  <si>
    <t>Haleema Sadiya</t>
  </si>
  <si>
    <t>23N81A0506</t>
  </si>
  <si>
    <t>Gandham Kavya sudha</t>
  </si>
  <si>
    <t>23N81A0507</t>
  </si>
  <si>
    <t>M.Divya</t>
  </si>
  <si>
    <t>23N81A0508</t>
  </si>
  <si>
    <t>A Varshitha reddy</t>
  </si>
  <si>
    <t>23N81A0509</t>
  </si>
  <si>
    <t>A.bhavani</t>
  </si>
  <si>
    <t>23N81A0510</t>
  </si>
  <si>
    <t>N.Ashwitha</t>
  </si>
  <si>
    <t>23N81A0511</t>
  </si>
  <si>
    <t>S.Chidrupi Reddy</t>
  </si>
  <si>
    <t>23N81A0512</t>
  </si>
  <si>
    <t>K. Meher Samraksh</t>
  </si>
  <si>
    <t>23N81A0513</t>
  </si>
  <si>
    <t>Mohd. Jaser</t>
  </si>
  <si>
    <t>23N81A0514</t>
  </si>
  <si>
    <t>SILIVERU VAMSHI</t>
  </si>
  <si>
    <t>23N81A0515</t>
  </si>
  <si>
    <t>S. Srujan</t>
  </si>
  <si>
    <t>23N81A0516</t>
  </si>
  <si>
    <t>PALLAPU RAMTEJA TEJA</t>
  </si>
  <si>
    <t>23N81A0517</t>
  </si>
  <si>
    <t>MUKKALA OMKAAR</t>
  </si>
  <si>
    <t>23N81A0518</t>
  </si>
  <si>
    <t>G.Yashwanth Kumar</t>
  </si>
  <si>
    <t>23N81A0519</t>
  </si>
  <si>
    <t>V.praveen</t>
  </si>
  <si>
    <t>23N81A0520</t>
  </si>
  <si>
    <t>M. Saifullah Khan</t>
  </si>
  <si>
    <t>23N81A0521</t>
  </si>
  <si>
    <t>g.yashwanth reddy</t>
  </si>
  <si>
    <t>23N81A0522</t>
  </si>
  <si>
    <t>Joel Jose</t>
  </si>
  <si>
    <t>23N81A0523</t>
  </si>
  <si>
    <t>G.Hari Chandra Prasad</t>
  </si>
  <si>
    <t>23N81A0524</t>
  </si>
  <si>
    <t>C Alekhya Reddy</t>
  </si>
  <si>
    <t>23N81A0525</t>
  </si>
  <si>
    <t>B.Harshitha</t>
  </si>
  <si>
    <t>23N81A0527</t>
  </si>
  <si>
    <t>A.Anushka</t>
  </si>
  <si>
    <t>23N81A0528</t>
  </si>
  <si>
    <t>B.Swathi</t>
  </si>
  <si>
    <t>23N81A0529</t>
  </si>
  <si>
    <t>R.Saisri</t>
  </si>
  <si>
    <t>23N81A0530</t>
  </si>
  <si>
    <t>V.Sanjana</t>
  </si>
  <si>
    <t>23N81A0531</t>
  </si>
  <si>
    <t>S.Sowmya</t>
  </si>
  <si>
    <t>23N81A0532</t>
  </si>
  <si>
    <t>G.lakshmi Narasimha</t>
  </si>
  <si>
    <t>23N81A0533</t>
  </si>
  <si>
    <t>Chavva Rithik</t>
  </si>
  <si>
    <t>23N81A0534</t>
  </si>
  <si>
    <t>Nitish Kumar Tiwari</t>
  </si>
  <si>
    <t>23N81A0535</t>
  </si>
  <si>
    <t>A.Nikhil Raj</t>
  </si>
  <si>
    <t>23N81A0536</t>
  </si>
  <si>
    <t>G.surendra</t>
  </si>
  <si>
    <t>23N81A0537</t>
  </si>
  <si>
    <t>s.saimanoj</t>
  </si>
  <si>
    <t>23N81A0538</t>
  </si>
  <si>
    <t>TANDRA SHIVA</t>
  </si>
  <si>
    <t>23N81A0539</t>
  </si>
  <si>
    <t>V.Anil</t>
  </si>
  <si>
    <t>23N81A0540</t>
  </si>
  <si>
    <t>M Kalyanram</t>
  </si>
  <si>
    <t>23N81A0541</t>
  </si>
  <si>
    <t>Ramavath Pavan</t>
  </si>
  <si>
    <t>23N81A0542</t>
  </si>
  <si>
    <t>B.Anil yadav</t>
  </si>
  <si>
    <t>23N81A0543</t>
  </si>
  <si>
    <t>PULIGILLA RITHIK RAO</t>
  </si>
  <si>
    <t>23N81A0544</t>
  </si>
  <si>
    <t>Chinnabathula Balu</t>
  </si>
  <si>
    <t>23N81A0545</t>
  </si>
  <si>
    <t>k.sai karthikeya</t>
  </si>
  <si>
    <t>23N81A0546</t>
  </si>
  <si>
    <t>E.Jahnavi Reddy</t>
  </si>
  <si>
    <t>23N81A0547</t>
  </si>
  <si>
    <t>C.Deeksha</t>
  </si>
  <si>
    <t>23N81A0548</t>
  </si>
  <si>
    <t>S.Indu</t>
  </si>
  <si>
    <t>23N81A0549</t>
  </si>
  <si>
    <t>T.Bhavana</t>
  </si>
  <si>
    <t>23N81A0550</t>
  </si>
  <si>
    <t>T.Archana</t>
  </si>
  <si>
    <t>23N81A0551</t>
  </si>
  <si>
    <t>P. Manasa</t>
  </si>
  <si>
    <t>23N81A0552</t>
  </si>
  <si>
    <t>R. Harika</t>
  </si>
  <si>
    <t>23N81A0553</t>
  </si>
  <si>
    <t>Gardas Sudh</t>
  </si>
  <si>
    <t>23N81A0554</t>
  </si>
  <si>
    <t>M.Sowchitya</t>
  </si>
  <si>
    <t>23N81A0555</t>
  </si>
  <si>
    <t>T.Siri reddy</t>
  </si>
  <si>
    <t>23N81A0556</t>
  </si>
  <si>
    <t>M.Venkata Rishitha</t>
  </si>
  <si>
    <t>23N81A0557</t>
  </si>
  <si>
    <t>M Joseph Emmanuel</t>
  </si>
  <si>
    <t>23N81A0558</t>
  </si>
  <si>
    <t>M Charan kumar</t>
  </si>
  <si>
    <t>23N81A0559</t>
  </si>
  <si>
    <t>B.Sricharan yadav</t>
  </si>
  <si>
    <t>23N81A0560</t>
  </si>
  <si>
    <t>C.Sriram</t>
  </si>
  <si>
    <t>23N81A0561</t>
  </si>
  <si>
    <t>M.sajan Nihar</t>
  </si>
  <si>
    <t>23N81A0562</t>
  </si>
  <si>
    <t>DYARANGULA RAHUL</t>
  </si>
  <si>
    <t>23N81A0563</t>
  </si>
  <si>
    <t>K.Uday Chowhan</t>
  </si>
  <si>
    <t>23N81A0564</t>
  </si>
  <si>
    <t>MANCHA HARSHA VARDHAN</t>
  </si>
  <si>
    <t>23N81A0565</t>
  </si>
  <si>
    <t>B Pritham Raj</t>
  </si>
  <si>
    <t>23N81A0566</t>
  </si>
  <si>
    <t>SK.MD.AKHIL ANSARI</t>
  </si>
  <si>
    <t>23N81A0567</t>
  </si>
  <si>
    <t>S.ramcharan reddy</t>
  </si>
  <si>
    <t>23N81A0568</t>
  </si>
  <si>
    <t>Vishal Vishwakarma</t>
  </si>
  <si>
    <t>23N81A0569</t>
  </si>
  <si>
    <t>N. Deepika</t>
  </si>
  <si>
    <t>23N81A0570</t>
  </si>
  <si>
    <t>M.Mikitha</t>
  </si>
  <si>
    <t>23N81A0571</t>
  </si>
  <si>
    <t>suryapally sravani</t>
  </si>
  <si>
    <t>23N81A0572</t>
  </si>
  <si>
    <t>M.sravani</t>
  </si>
  <si>
    <t>23N81A0573</t>
  </si>
  <si>
    <t>komalolu.poojitha</t>
  </si>
  <si>
    <t>23N81A0574</t>
  </si>
  <si>
    <t>Tadakala Manisha</t>
  </si>
  <si>
    <t>23N81A0575</t>
  </si>
  <si>
    <t>shaik shareena</t>
  </si>
  <si>
    <t>23N81A0576</t>
  </si>
  <si>
    <t>Marri Rishika</t>
  </si>
  <si>
    <t>23N81A0577</t>
  </si>
  <si>
    <t>GONGADA PUJITHA</t>
  </si>
  <si>
    <t>23N81A0578</t>
  </si>
  <si>
    <t>shivanathri rohini</t>
  </si>
  <si>
    <t>23N81A0579</t>
  </si>
  <si>
    <t>V. Pujadevi</t>
  </si>
  <si>
    <t>23N81A0580</t>
  </si>
  <si>
    <t>M sainath goud</t>
  </si>
  <si>
    <t>23N81A0581</t>
  </si>
  <si>
    <t>G Sathwik</t>
  </si>
  <si>
    <t>23N81A0582</t>
  </si>
  <si>
    <t>D.k.Sai Gowtham</t>
  </si>
  <si>
    <t>23N81A0583</t>
  </si>
  <si>
    <t>Dasari Bhargav</t>
  </si>
  <si>
    <t>23N81A0584</t>
  </si>
  <si>
    <t>D. karthik sagar</t>
  </si>
  <si>
    <t>23N81A0585</t>
  </si>
  <si>
    <t>G madhu</t>
  </si>
  <si>
    <t>23N81A0586</t>
  </si>
  <si>
    <t>N. Abhinavsai</t>
  </si>
  <si>
    <t>23N81A0587</t>
  </si>
  <si>
    <t>B. Sai raj siva swapnil</t>
  </si>
  <si>
    <t>23N81A0588</t>
  </si>
  <si>
    <t>P.Sumedh Chandra</t>
  </si>
  <si>
    <t>23N81A0589</t>
  </si>
  <si>
    <t>M.shiva kumar reddy</t>
  </si>
  <si>
    <t>23N81A0590</t>
  </si>
  <si>
    <t>m.nandu</t>
  </si>
  <si>
    <t>23N81A0591</t>
  </si>
  <si>
    <t>Ch.Naga Kiranmai</t>
  </si>
  <si>
    <t>23N81A0592</t>
  </si>
  <si>
    <t>M Ankitha</t>
  </si>
  <si>
    <t>23N81A0593</t>
  </si>
  <si>
    <t>M.Ujwala</t>
  </si>
  <si>
    <t>23N81A0594</t>
  </si>
  <si>
    <t>B.Vyshnavi</t>
  </si>
  <si>
    <t>23N81A0595</t>
  </si>
  <si>
    <t>B.Tanishka</t>
  </si>
  <si>
    <t>23N81A0596</t>
  </si>
  <si>
    <t>v.b.harini</t>
  </si>
  <si>
    <t>23N81A0597</t>
  </si>
  <si>
    <t>K.Nikitha</t>
  </si>
  <si>
    <t>23N81A0598</t>
  </si>
  <si>
    <t>p.sushmitha</t>
  </si>
  <si>
    <t>23N81A0599</t>
  </si>
  <si>
    <t>videhi Narayan udantiwar</t>
  </si>
  <si>
    <t>23N81A05A0</t>
  </si>
  <si>
    <t>Mohd Anas Arifeen</t>
  </si>
  <si>
    <t>23N81A05A1</t>
  </si>
  <si>
    <t>Venkatramana joshi</t>
  </si>
  <si>
    <t>23N81A05A2</t>
  </si>
  <si>
    <t>G Pavan reddy</t>
  </si>
  <si>
    <t>23N81A05A3</t>
  </si>
  <si>
    <t>M Omkar Yadav</t>
  </si>
  <si>
    <t>23N81A05A4</t>
  </si>
  <si>
    <t>mohd shoeb ali</t>
  </si>
  <si>
    <t>23N81A05A5</t>
  </si>
  <si>
    <t>Parigi abhinay</t>
  </si>
  <si>
    <t>23N81A05A6</t>
  </si>
  <si>
    <t>A PRABHAS</t>
  </si>
  <si>
    <t>23N81A05A7</t>
  </si>
  <si>
    <t>K.Sunil</t>
  </si>
  <si>
    <t>23N81A05A8</t>
  </si>
  <si>
    <t>S.mahesh</t>
  </si>
  <si>
    <t>23N81A05A9</t>
  </si>
  <si>
    <t>Rella Jaya Vinuthna</t>
  </si>
  <si>
    <t>23N81A05B0</t>
  </si>
  <si>
    <t>vemula Sathya Narayana</t>
  </si>
  <si>
    <t>23N81A05B1</t>
  </si>
  <si>
    <t>S.laxmi prasad</t>
  </si>
  <si>
    <t>23N81A05B2</t>
  </si>
  <si>
    <t>Chavva Rithvik</t>
  </si>
  <si>
    <t>23N81A05B3</t>
  </si>
  <si>
    <t>S.Balnath</t>
  </si>
  <si>
    <t>23N81A05B4</t>
  </si>
  <si>
    <t>M.Nandini</t>
  </si>
  <si>
    <t>23N81A05B5</t>
  </si>
  <si>
    <t>GUNNALA SRAVANTHI</t>
  </si>
  <si>
    <t>23N81A05B6</t>
  </si>
  <si>
    <t>A.Anusha</t>
  </si>
  <si>
    <t>23N81A05B7</t>
  </si>
  <si>
    <t>K.Pallavi</t>
  </si>
  <si>
    <t>23N81A05B8</t>
  </si>
  <si>
    <t>K. Roshini Sree</t>
  </si>
  <si>
    <t>23N81A05B9</t>
  </si>
  <si>
    <t>Bosamalla Pranathi</t>
  </si>
  <si>
    <t>23N81A05C0</t>
  </si>
  <si>
    <t>J.Sravanthi</t>
  </si>
  <si>
    <t>23N81A05C1</t>
  </si>
  <si>
    <t>T.Ashwitha</t>
  </si>
  <si>
    <t>23N81A05C2</t>
  </si>
  <si>
    <t>G.Kavya Reddy</t>
  </si>
  <si>
    <t>23N81A05C3</t>
  </si>
  <si>
    <t>K.Jagan Mohan Reddy</t>
  </si>
  <si>
    <t>23N81A05C4</t>
  </si>
  <si>
    <t>G.Sai charan</t>
  </si>
  <si>
    <t>23N81A05C5</t>
  </si>
  <si>
    <t>D.Jeevan</t>
  </si>
  <si>
    <t>23N81A05C6</t>
  </si>
  <si>
    <t>M RAHUL</t>
  </si>
  <si>
    <t>23N81A05C7</t>
  </si>
  <si>
    <t>Mohammed Waquasuddin Sharjil</t>
  </si>
  <si>
    <t>23N81A05C8</t>
  </si>
  <si>
    <t>B.Sai</t>
  </si>
  <si>
    <t>23N81A05C9</t>
  </si>
  <si>
    <t>B.Nikhil</t>
  </si>
  <si>
    <t>23N81A05D0</t>
  </si>
  <si>
    <t>M.pruthvi raj</t>
  </si>
  <si>
    <t>23N81A05D1</t>
  </si>
  <si>
    <t>m Saikumar</t>
  </si>
  <si>
    <t>23N81A05D2</t>
  </si>
  <si>
    <t>M.charanteja</t>
  </si>
  <si>
    <t>23N81A05D3</t>
  </si>
  <si>
    <t>D.Yaswantth</t>
  </si>
  <si>
    <t>23N81A05D4</t>
  </si>
  <si>
    <t>v sai shashank</t>
  </si>
  <si>
    <t>23N81A05D5</t>
  </si>
  <si>
    <t>Y. Sai charan</t>
  </si>
  <si>
    <t>23N81A05D6</t>
  </si>
  <si>
    <t>Bh.Satwika</t>
  </si>
  <si>
    <t>23N81A05D7</t>
  </si>
  <si>
    <t>M.Mounika</t>
  </si>
  <si>
    <t>23N81A05D8</t>
  </si>
  <si>
    <t>A.pravalika</t>
  </si>
  <si>
    <t>23N81A05D9</t>
  </si>
  <si>
    <t>M.Angel rani</t>
  </si>
  <si>
    <t>23N81A05E0</t>
  </si>
  <si>
    <t>M.Akitha</t>
  </si>
  <si>
    <t>23N81A05E1</t>
  </si>
  <si>
    <t>M.Swapna</t>
  </si>
  <si>
    <t>23N81A05E2</t>
  </si>
  <si>
    <t>R.Pavithra</t>
  </si>
  <si>
    <t>23N81A05E3</t>
  </si>
  <si>
    <t>P.varsha</t>
  </si>
  <si>
    <t>23N81A05E4</t>
  </si>
  <si>
    <t>G.Anushka Reddy</t>
  </si>
  <si>
    <t>23N81A05E5</t>
  </si>
  <si>
    <t>B.Charitha</t>
  </si>
  <si>
    <t>23N81A05E6</t>
  </si>
  <si>
    <t>SAINATH ALURU</t>
  </si>
  <si>
    <t>23N81A05E7</t>
  </si>
  <si>
    <t>Umar Khan</t>
  </si>
  <si>
    <t>23N81A05E8</t>
  </si>
  <si>
    <t>P.Naveen</t>
  </si>
  <si>
    <t>23N81A05E9</t>
  </si>
  <si>
    <t>G.Ajay</t>
  </si>
  <si>
    <t>23N81A05F0</t>
  </si>
  <si>
    <t>K.sushank</t>
  </si>
  <si>
    <t>23N81A05F1</t>
  </si>
  <si>
    <t>G abhinay</t>
  </si>
  <si>
    <t>23N81A05F3</t>
  </si>
  <si>
    <t>P.manikanth</t>
  </si>
  <si>
    <t>23N81A05F4</t>
  </si>
  <si>
    <t>A.Satish</t>
  </si>
  <si>
    <t>23N81A05F5</t>
  </si>
  <si>
    <t>B HARSHITH NAIK</t>
  </si>
  <si>
    <t>23N81A05F6</t>
  </si>
  <si>
    <t>kavadi Dilip Reddy</t>
  </si>
  <si>
    <t>23N81A05F7</t>
  </si>
  <si>
    <t>P.Sai Suhith Reddy</t>
  </si>
  <si>
    <t>23N81A05F8</t>
  </si>
  <si>
    <t>J.Abhirama Rao</t>
  </si>
  <si>
    <t>23N81A05F9</t>
  </si>
  <si>
    <t>B. Vivekanandha reddy</t>
  </si>
  <si>
    <t>24N85A0501</t>
  </si>
  <si>
    <t>G.MOUNIK REDDY</t>
  </si>
  <si>
    <t>24N85A0502</t>
  </si>
  <si>
    <t>B. shiva kumar</t>
  </si>
  <si>
    <t>24N85A0503</t>
  </si>
  <si>
    <t>MD.Gouse</t>
  </si>
  <si>
    <t>24N85A0504</t>
  </si>
  <si>
    <t>p sumith reddy</t>
  </si>
  <si>
    <t>24N85A0505</t>
  </si>
  <si>
    <t>manada harisai</t>
  </si>
  <si>
    <t>24N85A0506</t>
  </si>
  <si>
    <t>L.Sneha</t>
  </si>
  <si>
    <t>24N85A0507</t>
  </si>
  <si>
    <t>ETA NAVEEN KUMAR</t>
  </si>
  <si>
    <t>24N85A0508</t>
  </si>
  <si>
    <t>E.Sindhu reddy</t>
  </si>
  <si>
    <t>24N85A0509</t>
  </si>
  <si>
    <t>G.SAI SRIRAM</t>
  </si>
  <si>
    <t>24N85A0510</t>
  </si>
  <si>
    <t>k VAMSHI VARDHAN</t>
  </si>
  <si>
    <t>24N85A0511</t>
  </si>
  <si>
    <t>G. vijay</t>
  </si>
  <si>
    <t>24N85A0512</t>
  </si>
  <si>
    <t>S.Ruthvika</t>
  </si>
  <si>
    <t>24N85A0513</t>
  </si>
  <si>
    <t>Endravath sabitha</t>
  </si>
  <si>
    <t>24N85A0514</t>
  </si>
  <si>
    <t>D.lavan kumar</t>
  </si>
  <si>
    <t>24N85A0515</t>
  </si>
  <si>
    <t>k.Sandeep</t>
  </si>
  <si>
    <t>24N85A0516</t>
  </si>
  <si>
    <t>D.Sai Aravind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</si>
</sst>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color theme="1"/>
      <family val="2"/>
      <scheme val="minor"/>
      <sz val="11"/>
      <name val="Calibri"/>
    </font>
    <font>
      <color rgb="FF000000"/>
      <family val="1"/>
      <sz val="10"/>
      <name val="Bookman Old Style"/>
    </font>
    <font>
      <b/>
      <color theme="1"/>
      <family val="1"/>
      <sz val="8"/>
      <name val="Bookman Old Style"/>
    </font>
    <font>
      <family val="2"/>
      <sz val="10"/>
      <name val="Calibri"/>
    </font>
    <font>
      <color theme="1"/>
      <family val="1"/>
      <sz val="10"/>
      <name val="Bookman Old Style"/>
    </font>
    <font>
      <color theme="0"/>
      <family val="1"/>
      <sz val="10"/>
      <name val="Bookman Old Style"/>
    </font>
    <font>
      <color rgb="FF000000"/>
      <family val="1"/>
      <sz val="11"/>
      <name val="Bookman Old Style"/>
    </font>
    <font>
      <b/>
      <color theme="1"/>
      <family val="1"/>
      <sz val="14"/>
      <name val="Bookman Old Style"/>
    </font>
    <font>
      <b/>
      <color rgb="FFC00000"/>
      <family val="1"/>
      <sz val="11"/>
      <name val="Bookman Old Style"/>
    </font>
    <font>
      <b/>
      <color rgb="FFFF0000"/>
      <family val="1"/>
      <sz val="11"/>
      <name val="Bookman Old Style"/>
    </font>
    <font>
      <b/>
      <color theme="1"/>
      <family val="1"/>
      <sz val="11"/>
      <name val="Bookman Old Style"/>
    </font>
    <font>
      <b/>
      <color rgb="FFFF0000"/>
      <family val="1"/>
      <sz val="8"/>
      <name val="Bookman Old Style"/>
    </font>
    <font>
      <b/>
      <color rgb="FFFF0000"/>
      <family val="1"/>
      <sz val="10"/>
      <name val="Bookman Old Style"/>
    </font>
    <font>
      <b/>
      <color rgb="FF0070C0"/>
      <family val="1"/>
      <sz val="16"/>
      <name val="Bookman Old Style"/>
    </font>
    <font>
      <b/>
      <color theme="1"/>
      <family val="1"/>
      <sz val="12"/>
      <name val="Bookman Old Style"/>
    </font>
    <font>
      <b/>
      <color rgb="FF000000"/>
      <family val="1"/>
      <sz val="14"/>
      <name val="Bookman Old Style"/>
    </font>
    <font>
      <color rgb="FFFF0000"/>
      <family val="1"/>
      <sz val="10"/>
      <name val="Bookman Old Style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color rgb="FF000000"/>
      <family val="2"/>
      <sz val="10"/>
      <name val="Calibri"/>
    </font>
    <font>
      <b/>
      <color rgb="FF000000"/>
      <family val="1"/>
      <sz val="11"/>
      <name val="Bookman Old Style"/>
    </font>
    <font>
      <b/>
      <color theme="1"/>
      <family val="1"/>
      <sz val="10"/>
      <name val="Bookman Old Style"/>
    </font>
    <font>
      <b/>
      <color theme="1"/>
      <family val="1"/>
      <sz val="22"/>
      <name val="Bookman Old Style"/>
    </font>
    <font>
      <color rgb="FF000000"/>
      <family val="1"/>
      <sz val="12"/>
      <name val="Times New Roman"/>
    </font>
    <font>
      <color rgb="FF000000"/>
      <family val="2"/>
      <sz val="12"/>
      <name val="Calibri"/>
    </font>
    <font>
      <color theme="1"/>
      <family val="1"/>
      <sz val="12"/>
      <name val="Bookman Old Style"/>
    </font>
    <font>
      <color theme="1"/>
      <family val="1"/>
      <sz val="12"/>
      <name val="Times New Roman"/>
    </font>
    <font>
      <color theme="1"/>
      <sz val="12"/>
      <name val="Times"/>
    </font>
    <font>
      <color rgb="FF000000"/>
      <scheme val="minor"/>
      <sz val="10"/>
      <name val="Calibri"/>
    </font>
    <font>
      <color rgb="FF000000"/>
      <family val="2"/>
      <sz val="11"/>
      <name val="Arial"/>
    </font>
    <font>
      <color rgb="FF000000"/>
      <family val="1"/>
      <sz val="12"/>
      <name val="Bookman Old Style"/>
    </font>
    <font>
      <b/>
      <color rgb="FF000000"/>
      <family val="1"/>
      <sz val="10"/>
      <name val="Bookman Old Style"/>
    </font>
    <font>
      <b/>
      <i/>
      <color theme="5" tint="0.7999816888943144"/>
      <family val="1"/>
      <sz val="8"/>
      <name val="Bookman Old Style"/>
    </font>
    <font>
      <color theme="8" tint="0.5999938962981048"/>
      <family val="1"/>
      <sz val="10"/>
      <name val="Bookman Old Style"/>
    </font>
  </fonts>
  <fills count="1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CBCBCB"/>
        <bgColor rgb="FFCBCBCB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4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1" fillId="3" borderId="6" xfId="0" applyFont="1" applyFill="1" applyBorder="1" applyAlignment="1" applyProtection="1">
      <alignment horizontal="center"/>
      <protection locked="0"/>
    </xf>
    <xf numFmtId="0" fontId="5" fillId="4" borderId="0" xfId="0" applyFont="1" applyFill="1"/>
    <xf numFmtId="0" fontId="5" fillId="0" borderId="0" xfId="0" applyFont="1"/>
    <xf numFmtId="0" fontId="6" fillId="5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/>
      <protection locked="0"/>
    </xf>
    <xf numFmtId="0" fontId="6" fillId="6" borderId="6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4" fillId="2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1" fillId="3" borderId="13" xfId="0" applyFont="1" applyFill="1" applyBorder="1" applyAlignment="1" applyProtection="1">
      <alignment horizontal="center"/>
      <protection locked="0"/>
    </xf>
    <xf numFmtId="0" fontId="6" fillId="5" borderId="14" xfId="0" applyFont="1" applyFill="1" applyBorder="1" applyAlignment="1">
      <alignment horizontal="center" vertical="center"/>
    </xf>
    <xf numFmtId="0" fontId="6" fillId="6" borderId="13" xfId="0" applyFont="1" applyFill="1" applyBorder="1" applyAlignment="1" applyProtection="1">
      <alignment horizontal="center"/>
      <protection locked="0"/>
    </xf>
    <xf numFmtId="0" fontId="6" fillId="6" borderId="1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4" fillId="2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6" fillId="5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 applyProtection="1">
      <alignment horizontal="center" vertical="center"/>
      <protection locked="0"/>
    </xf>
    <xf numFmtId="0" fontId="6" fillId="6" borderId="18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9" fillId="7" borderId="15" xfId="0" applyFont="1" applyFill="1" applyBorder="1" applyAlignment="1" applyProtection="1">
      <alignment horizontal="center" vertical="center"/>
      <protection locked="0"/>
    </xf>
    <xf numFmtId="0" fontId="3" fillId="7" borderId="16" xfId="0" applyFont="1" applyFill="1" applyBorder="1" applyProtection="1">
      <protection locked="0"/>
    </xf>
    <xf numFmtId="0" fontId="3" fillId="7" borderId="19" xfId="0" applyFont="1" applyFill="1" applyBorder="1" applyProtection="1">
      <protection locked="0"/>
    </xf>
    <xf numFmtId="0" fontId="10" fillId="7" borderId="15" xfId="0" applyFont="1" applyFill="1" applyBorder="1" applyAlignment="1" applyProtection="1">
      <alignment horizontal="center" vertical="center"/>
      <protection locked="0"/>
    </xf>
    <xf numFmtId="0" fontId="9" fillId="0" borderId="20" xfId="0" applyFont="1" applyBorder="1" applyAlignment="1">
      <alignment horizontal="center" vertical="center"/>
    </xf>
    <xf numFmtId="0" fontId="10" fillId="7" borderId="20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7" borderId="15" xfId="0" applyFont="1" applyFill="1" applyBorder="1" applyAlignment="1" applyProtection="1">
      <alignment horizontal="center" vertical="center"/>
      <protection locked="0"/>
    </xf>
    <xf numFmtId="0" fontId="13" fillId="8" borderId="15" xfId="0" applyFont="1" applyFill="1" applyBorder="1" applyAlignment="1">
      <alignment horizontal="center" vertical="center"/>
    </xf>
    <xf numFmtId="0" fontId="14" fillId="9" borderId="19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/>
    </xf>
    <xf numFmtId="0" fontId="14" fillId="7" borderId="15" xfId="0" applyFont="1" applyFill="1" applyBorder="1" applyAlignment="1" applyProtection="1">
      <alignment horizontal="center" vertical="center"/>
      <protection locked="0"/>
    </xf>
    <xf numFmtId="0" fontId="3" fillId="7" borderId="9" xfId="0" applyFont="1" applyFill="1" applyBorder="1" applyProtection="1">
      <protection locked="0"/>
    </xf>
    <xf numFmtId="0" fontId="15" fillId="10" borderId="24" xfId="0" applyFont="1" applyFill="1" applyBorder="1" applyAlignment="1">
      <alignment horizontal="center" vertical="center"/>
    </xf>
    <xf numFmtId="0" fontId="3" fillId="0" borderId="0" xfId="0" applyFont="1"/>
    <xf numFmtId="0" fontId="3" fillId="0" borderId="25" xfId="0" applyFont="1" applyBorder="1"/>
    <xf numFmtId="0" fontId="16" fillId="0" borderId="0" xfId="0" applyFont="1"/>
    <xf numFmtId="0" fontId="14" fillId="0" borderId="2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3" fillId="0" borderId="27" xfId="0" applyFont="1" applyBorder="1"/>
    <xf numFmtId="0" fontId="14" fillId="8" borderId="15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14" fillId="6" borderId="29" xfId="0" applyFont="1" applyFill="1" applyBorder="1" applyAlignment="1">
      <alignment horizontal="center" vertical="center"/>
    </xf>
    <xf numFmtId="0" fontId="14" fillId="12" borderId="29" xfId="0" applyFont="1" applyFill="1" applyBorder="1" applyAlignment="1">
      <alignment horizontal="center" vertical="center"/>
    </xf>
    <xf numFmtId="0" fontId="14" fillId="13" borderId="30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3" fillId="0" borderId="31" xfId="0" applyFont="1" applyBorder="1"/>
    <xf numFmtId="0" fontId="17" fillId="7" borderId="32" xfId="0" applyFont="1" applyFill="1" applyBorder="1" applyAlignment="1" applyProtection="1">
      <alignment horizontal="center" vertical="center" wrapText="1"/>
      <protection locked="0"/>
    </xf>
    <xf numFmtId="0" fontId="17" fillId="7" borderId="32" xfId="0" applyFont="1" applyFill="1" applyBorder="1" applyAlignment="1" applyProtection="1">
      <alignment vertical="center" wrapText="1"/>
      <protection locked="0"/>
    </xf>
    <xf numFmtId="0" fontId="18" fillId="7" borderId="32" xfId="0" applyFont="1" applyFill="1" applyBorder="1" applyAlignment="1" applyProtection="1">
      <alignment vertical="center" wrapText="1"/>
      <protection locked="0"/>
    </xf>
    <xf numFmtId="0" fontId="18" fillId="0" borderId="2" xfId="0" applyFont="1" applyBorder="1" applyAlignment="1">
      <alignment vertical="center" wrapText="1"/>
    </xf>
    <xf numFmtId="0" fontId="14" fillId="7" borderId="32" xfId="0" applyFont="1" applyFill="1" applyBorder="1" applyAlignment="1" applyProtection="1">
      <alignment horizontal="center" vertical="center"/>
      <protection locked="0"/>
    </xf>
    <xf numFmtId="0" fontId="18" fillId="7" borderId="32" xfId="0" applyFont="1" applyFill="1" applyBorder="1" applyAlignment="1" applyProtection="1">
      <alignment vertical="center"/>
      <protection locked="0"/>
    </xf>
    <xf numFmtId="0" fontId="19" fillId="13" borderId="2" xfId="0" applyFont="1" applyFill="1" applyBorder="1" applyAlignment="1">
      <alignment horizontal="center"/>
    </xf>
    <xf numFmtId="0" fontId="14" fillId="0" borderId="33" xfId="0" applyFont="1" applyBorder="1" applyAlignment="1" applyProtection="1">
      <alignment horizontal="center" vertical="center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35" xfId="0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9" fillId="13" borderId="0" xfId="0" applyFont="1" applyFill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23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3" fillId="0" borderId="40" xfId="0" applyFont="1" applyBorder="1"/>
    <xf numFmtId="0" fontId="10" fillId="6" borderId="4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42" xfId="0" applyFont="1" applyBorder="1"/>
    <xf numFmtId="0" fontId="20" fillId="13" borderId="22" xfId="0" applyFont="1" applyFill="1" applyBorder="1" applyAlignment="1">
      <alignment horizontal="center" vertical="center"/>
    </xf>
    <xf numFmtId="0" fontId="20" fillId="13" borderId="42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3" fillId="0" borderId="43" xfId="0" applyFont="1" applyBorder="1"/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23" fillId="0" borderId="47" xfId="0" applyFont="1" applyBorder="1" applyProtection="1">
      <protection locked="0"/>
    </xf>
    <xf numFmtId="0" fontId="24" fillId="0" borderId="47" xfId="0" applyFont="1" applyBorder="1" applyProtection="1">
      <protection locked="0"/>
    </xf>
    <xf numFmtId="0" fontId="25" fillId="0" borderId="36" xfId="0" applyFont="1" applyBorder="1" applyAlignment="1">
      <alignment horizontal="center" vertical="center"/>
    </xf>
    <xf numFmtId="0" fontId="19" fillId="14" borderId="48" xfId="0" applyFont="1" applyFill="1" applyBorder="1" applyProtection="1">
      <protection locked="0"/>
    </xf>
    <xf numFmtId="0" fontId="19" fillId="14" borderId="49" xfId="0" applyFont="1" applyFill="1" applyBorder="1" applyProtection="1">
      <protection locked="0"/>
    </xf>
    <xf numFmtId="0" fontId="19" fillId="12" borderId="49" xfId="0" applyFont="1" applyFill="1" applyBorder="1" applyProtection="1">
      <protection locked="0"/>
    </xf>
    <xf numFmtId="0" fontId="19" fillId="6" borderId="49" xfId="0" applyFont="1" applyFill="1" applyBorder="1" applyProtection="1">
      <protection locked="0"/>
    </xf>
    <xf numFmtId="0" fontId="19" fillId="13" borderId="49" xfId="0" applyFont="1" applyFill="1" applyBorder="1" applyProtection="1">
      <protection locked="0"/>
    </xf>
    <xf numFmtId="0" fontId="19" fillId="13" borderId="50" xfId="0" applyFont="1" applyFill="1" applyBorder="1" applyProtection="1">
      <protection locked="0"/>
    </xf>
    <xf numFmtId="0" fontId="19" fillId="13" borderId="51" xfId="0" applyFont="1" applyFill="1" applyBorder="1"/>
    <xf numFmtId="0" fontId="18" fillId="0" borderId="32" xfId="0" applyFont="1" applyBorder="1" applyAlignment="1" applyProtection="1">
      <alignment horizontal="center" wrapText="1"/>
      <protection locked="0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19" fillId="14" borderId="53" xfId="0" applyFont="1" applyFill="1" applyBorder="1" applyProtection="1">
      <protection locked="0"/>
    </xf>
    <xf numFmtId="0" fontId="19" fillId="14" borderId="47" xfId="0" applyFont="1" applyFill="1" applyBorder="1" applyProtection="1">
      <protection locked="0"/>
    </xf>
    <xf numFmtId="0" fontId="19" fillId="12" borderId="47" xfId="0" applyFont="1" applyFill="1" applyBorder="1" applyProtection="1">
      <protection locked="0"/>
    </xf>
    <xf numFmtId="0" fontId="19" fillId="6" borderId="47" xfId="0" applyFont="1" applyFill="1" applyBorder="1" applyProtection="1">
      <protection locked="0"/>
    </xf>
    <xf numFmtId="0" fontId="19" fillId="13" borderId="47" xfId="0" applyFont="1" applyFill="1" applyBorder="1" applyProtection="1">
      <protection locked="0"/>
    </xf>
    <xf numFmtId="0" fontId="19" fillId="13" borderId="54" xfId="0" applyFont="1" applyFill="1" applyBorder="1" applyProtection="1">
      <protection locked="0"/>
    </xf>
    <xf numFmtId="0" fontId="19" fillId="13" borderId="11" xfId="0" applyFont="1" applyFill="1" applyBorder="1"/>
    <xf numFmtId="0" fontId="6" fillId="0" borderId="1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26" fillId="0" borderId="47" xfId="0" applyFont="1" applyBorder="1" applyAlignment="1" applyProtection="1">
      <alignment horizontal="left"/>
      <protection locked="0"/>
    </xf>
    <xf numFmtId="0" fontId="26" fillId="0" borderId="36" xfId="0" applyFont="1" applyBorder="1" applyAlignment="1" applyProtection="1">
      <alignment horizontal="left"/>
      <protection locked="0"/>
    </xf>
    <xf numFmtId="0" fontId="27" fillId="0" borderId="47" xfId="0" applyFont="1" applyBorder="1" applyAlignment="1" applyProtection="1">
      <alignment horizontal="left"/>
      <protection locked="0"/>
    </xf>
    <xf numFmtId="0" fontId="1" fillId="0" borderId="47" xfId="0" applyFont="1" applyBorder="1" applyAlignment="1" applyProtection="1">
      <alignment horizontal="left" vertical="top"/>
      <protection locked="0"/>
    </xf>
    <xf numFmtId="0" fontId="1" fillId="0" borderId="47" xfId="0" applyFont="1" applyBorder="1" applyAlignment="1" applyProtection="1">
      <alignment horizontal="left"/>
      <protection locked="0"/>
    </xf>
    <xf numFmtId="0" fontId="1" fillId="0" borderId="47" xfId="0" applyFont="1" applyBorder="1" applyProtection="1">
      <protection locked="0"/>
    </xf>
    <xf numFmtId="0" fontId="1" fillId="0" borderId="47" xfId="0" applyFont="1" applyBorder="1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0" fontId="18" fillId="0" borderId="47" xfId="0" applyFont="1" applyBorder="1" applyAlignment="1" applyProtection="1">
      <alignment horizontal="center"/>
      <protection locked="0"/>
    </xf>
    <xf numFmtId="0" fontId="18" fillId="0" borderId="47" xfId="0" applyFont="1" applyBorder="1" applyAlignment="1" applyProtection="1">
      <alignment horizontal="left"/>
      <protection locked="0"/>
    </xf>
    <xf numFmtId="0" fontId="6" fillId="0" borderId="23" xfId="0" applyFont="1" applyBorder="1" applyAlignment="1">
      <alignment horizontal="center" vertical="center"/>
    </xf>
    <xf numFmtId="0" fontId="29" fillId="0" borderId="47" xfId="0" applyFont="1" applyBorder="1" applyAlignment="1" applyProtection="1">
      <alignment horizontal="left" vertical="center"/>
      <protection locked="0"/>
    </xf>
    <xf numFmtId="0" fontId="19" fillId="14" borderId="55" xfId="0" applyFont="1" applyFill="1" applyBorder="1" applyProtection="1">
      <protection locked="0"/>
    </xf>
    <xf numFmtId="0" fontId="19" fillId="14" borderId="56" xfId="0" applyFont="1" applyFill="1" applyBorder="1" applyProtection="1">
      <protection locked="0"/>
    </xf>
    <xf numFmtId="0" fontId="19" fillId="12" borderId="56" xfId="0" applyFont="1" applyFill="1" applyBorder="1" applyProtection="1">
      <protection locked="0"/>
    </xf>
    <xf numFmtId="0" fontId="19" fillId="6" borderId="56" xfId="0" applyFont="1" applyFill="1" applyBorder="1" applyProtection="1">
      <protection locked="0"/>
    </xf>
    <xf numFmtId="0" fontId="19" fillId="13" borderId="56" xfId="0" applyFont="1" applyFill="1" applyBorder="1" applyProtection="1">
      <protection locked="0"/>
    </xf>
    <xf numFmtId="0" fontId="19" fillId="13" borderId="57" xfId="0" applyFont="1" applyFill="1" applyBorder="1" applyProtection="1">
      <protection locked="0"/>
    </xf>
    <xf numFmtId="0" fontId="19" fillId="13" borderId="58" xfId="0" applyFont="1" applyFill="1" applyBorder="1"/>
    <xf numFmtId="0" fontId="19" fillId="13" borderId="45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18" fillId="0" borderId="0" xfId="0" applyFont="1"/>
    <xf numFmtId="0" fontId="1" fillId="0" borderId="32" xfId="0" applyFont="1" applyBorder="1"/>
    <xf numFmtId="0" fontId="6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25" fillId="0" borderId="0" xfId="0" applyFont="1"/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18</xdr:col>
      <xdr:colOff>0</xdr:colOff>
      <xdr:row>0</xdr:row>
      <xdr:rowOff>106680</xdr:rowOff>
    </xdr:from>
    <xdr:ext cx="5737860" cy="57911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V400"/>
  <sheetViews>
    <sheetView workbookViewId="0" zoomScale="100" zoomScaleNormal="100">
      <pane ySplit="12" topLeftCell="A31" activePane="bottomLeft" state="frozen"/>
      <selection pane="bottomLeft" activeCell="J5" sqref="J5"/>
    </sheetView>
  </sheetViews>
  <sheetFormatPr defaultRowHeight="15" outlineLevelRow="0" outlineLevelCol="0" x14ac:dyDescent="0.3" defaultColWidth="14.44140625"/>
  <cols>
    <col min="1" max="1" width="17.5546875" customWidth="1"/>
    <col min="2" max="2" width="36.88671875" customWidth="1"/>
    <col min="3" max="3" width="14" customWidth="1"/>
    <col min="4" max="19" width="5.6640625" customWidth="1"/>
    <col min="20" max="20" width="2.44140625" customWidth="1"/>
    <col min="21" max="36" width="5.6640625" customWidth="1"/>
    <col min="37" max="38" width="6.44140625" customWidth="1"/>
    <col min="39" max="40" width="4" customWidth="1"/>
    <col min="41" max="42" width="6.44140625" customWidth="1"/>
    <col min="43" max="44" width="6.6640625" customWidth="1"/>
    <col min="45" max="46" width="6.44140625" customWidth="1"/>
    <col min="47" max="48" width="4.109375" customWidth="1"/>
    <col min="49" max="49" width="3.33203125" customWidth="1"/>
    <col min="50" max="50" width="3.6640625" hidden="1" customWidth="1"/>
    <col min="51" max="51" width="4.6640625" customWidth="1"/>
    <col min="52" max="52" width="9.33203125" customWidth="1"/>
    <col min="53" max="53" width="5.88671875" customWidth="1"/>
    <col min="54" max="60" width="7.33203125" customWidth="1"/>
    <col min="61" max="61" width="6.44140625" hidden="1" customWidth="1"/>
    <col min="62" max="62" width="9.33203125" hidden="1" customWidth="1"/>
    <col min="63" max="63" width="7.88671875" hidden="1" customWidth="1"/>
    <col min="64" max="64" width="6.44140625" hidden="1" customWidth="1"/>
    <col min="65" max="65" width="9.33203125" hidden="1" customWidth="1"/>
    <col min="66" max="66" width="7.6640625" hidden="1" customWidth="1"/>
    <col min="67" max="67" width="6.44140625" hidden="1" customWidth="1"/>
    <col min="68" max="68" width="9.33203125" hidden="1" customWidth="1"/>
    <col min="69" max="69" width="7.6640625" hidden="1" customWidth="1"/>
    <col min="70" max="70" width="6.44140625" hidden="1" customWidth="1"/>
    <col min="71" max="71" width="9.33203125" hidden="1" customWidth="1"/>
    <col min="72" max="72" width="7.6640625" hidden="1" customWidth="1"/>
    <col min="73" max="73" width="6.44140625" hidden="1" customWidth="1"/>
    <col min="74" max="74" width="9.33203125" hidden="1" customWidth="1"/>
    <col min="75" max="75" width="7.6640625" hidden="1" customWidth="1"/>
    <col min="76" max="76" width="6.44140625" hidden="1" customWidth="1"/>
    <col min="77" max="77" width="9.33203125" hidden="1" customWidth="1"/>
    <col min="78" max="78" width="7.5546875" hidden="1" customWidth="1"/>
  </cols>
  <sheetData>
    <row r="1" ht="27" customHeight="1" spans="1:78" x14ac:dyDescent="0.25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 t="s">
        <v>1</v>
      </c>
      <c r="BB1" s="5"/>
      <c r="BC1" s="5"/>
      <c r="BD1" s="5"/>
      <c r="BE1" s="5"/>
      <c r="BF1" s="6"/>
      <c r="BG1" s="7">
        <v>40</v>
      </c>
      <c r="BH1" s="8" t="s">
        <v>2</v>
      </c>
      <c r="BI1" s="9" t="s">
        <v>3</v>
      </c>
      <c r="BJ1" s="10" t="s">
        <v>4</v>
      </c>
      <c r="BK1" s="11">
        <v>40</v>
      </c>
      <c r="BL1" s="8"/>
      <c r="BM1" s="9"/>
      <c r="BN1" s="10"/>
      <c r="BO1" s="12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ht="31.8" customHeight="1" spans="1:78" x14ac:dyDescent="0.25">
      <c r="A2" s="1"/>
      <c r="B2" s="9" t="s">
        <v>5</v>
      </c>
      <c r="C2" s="1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5" t="s">
        <v>6</v>
      </c>
      <c r="BB2" s="16"/>
      <c r="BC2" s="16"/>
      <c r="BD2" s="16"/>
      <c r="BE2" s="16"/>
      <c r="BF2" s="17"/>
      <c r="BG2" s="18">
        <v>60</v>
      </c>
      <c r="BH2" s="8" t="s">
        <v>7</v>
      </c>
      <c r="BI2" s="9"/>
      <c r="BJ2" s="19" t="s">
        <v>8</v>
      </c>
      <c r="BK2" s="20">
        <v>50</v>
      </c>
      <c r="BL2" s="8"/>
      <c r="BM2" s="9"/>
      <c r="BN2" s="19"/>
      <c r="BO2" s="2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ht="15" customHeight="1" spans="1:78" x14ac:dyDescent="0.25">
      <c r="A3" s="22" t="s">
        <v>9</v>
      </c>
      <c r="C3" s="22"/>
      <c r="D3" s="23" t="s">
        <v>10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5"/>
      <c r="AZ3" s="24"/>
      <c r="BA3" s="26" t="s">
        <v>11</v>
      </c>
      <c r="BB3" s="16"/>
      <c r="BC3" s="16"/>
      <c r="BD3" s="16"/>
      <c r="BE3" s="16"/>
      <c r="BF3" s="17"/>
      <c r="BG3" s="27">
        <v>80</v>
      </c>
      <c r="BH3" s="8" t="s">
        <v>12</v>
      </c>
      <c r="BI3" s="9"/>
      <c r="BJ3" s="28" t="s">
        <v>13</v>
      </c>
      <c r="BK3" s="29">
        <v>60</v>
      </c>
      <c r="BL3" s="8"/>
      <c r="BM3" s="9"/>
      <c r="BN3" s="28"/>
      <c r="BO3" s="30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</row>
    <row r="4" ht="15" customHeight="1" spans="1:78" x14ac:dyDescent="0.25">
      <c r="A4" s="22"/>
      <c r="B4" s="31" t="s">
        <v>14</v>
      </c>
      <c r="C4" s="22"/>
      <c r="D4" s="32" t="s">
        <v>15</v>
      </c>
      <c r="E4" s="33"/>
      <c r="F4" s="33"/>
      <c r="G4" s="33"/>
      <c r="H4" s="33"/>
      <c r="I4" s="33"/>
      <c r="J4" s="33"/>
      <c r="K4" s="33"/>
      <c r="L4" s="34"/>
      <c r="M4" s="33"/>
      <c r="N4" s="35" t="s">
        <v>16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7"/>
      <c r="Z4" s="32" t="s">
        <v>17</v>
      </c>
      <c r="AA4" s="34"/>
      <c r="AB4" s="33"/>
      <c r="AC4" s="38">
        <v>6</v>
      </c>
      <c r="AD4" s="36"/>
      <c r="AE4" s="37"/>
      <c r="AF4" s="34"/>
      <c r="AG4" s="39" t="s">
        <v>18</v>
      </c>
      <c r="AH4" s="39"/>
      <c r="AI4" s="40"/>
      <c r="AJ4" s="32" t="s">
        <v>19</v>
      </c>
      <c r="AK4" s="33"/>
      <c r="AL4" s="33"/>
      <c r="AM4" s="33"/>
      <c r="AN4" s="33"/>
      <c r="AO4" s="34"/>
      <c r="AP4" s="38" t="s">
        <v>20</v>
      </c>
      <c r="AQ4" s="37"/>
      <c r="AR4" s="33"/>
      <c r="AS4" s="32" t="s">
        <v>21</v>
      </c>
      <c r="AT4" s="33"/>
      <c r="AU4" s="33"/>
      <c r="AV4" s="33"/>
      <c r="AW4" s="33"/>
      <c r="AX4" s="33"/>
      <c r="AY4" s="38">
        <v>173</v>
      </c>
      <c r="AZ4" s="37"/>
      <c r="BA4" s="41" t="s">
        <v>22</v>
      </c>
      <c r="BB4" s="42"/>
      <c r="BC4" s="42"/>
      <c r="BD4" s="42"/>
      <c r="BE4" s="42"/>
      <c r="BF4" s="43"/>
      <c r="BG4" s="44">
        <v>20</v>
      </c>
      <c r="BH4" s="45"/>
      <c r="BI4" s="46"/>
      <c r="BJ4" s="46"/>
      <c r="BK4" s="46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</row>
    <row r="5" ht="21.6" customHeight="1" spans="1:78" x14ac:dyDescent="0.25">
      <c r="A5" s="22"/>
      <c r="B5" s="22"/>
      <c r="C5" s="22"/>
      <c r="D5" s="47" t="s">
        <v>23</v>
      </c>
      <c r="E5" s="33"/>
      <c r="F5" s="33"/>
      <c r="G5" s="33"/>
      <c r="H5" s="34"/>
      <c r="I5" s="33"/>
      <c r="J5" s="48" t="s">
        <v>24</v>
      </c>
      <c r="K5" s="36"/>
      <c r="L5" s="36"/>
      <c r="M5" s="36"/>
      <c r="N5" s="36"/>
      <c r="O5" s="36"/>
      <c r="P5" s="36"/>
      <c r="Q5" s="36"/>
      <c r="R5" s="36"/>
      <c r="S5" s="36"/>
      <c r="T5" s="33"/>
      <c r="U5" s="49" t="s">
        <v>25</v>
      </c>
      <c r="V5" s="33"/>
      <c r="W5" s="33"/>
      <c r="X5" s="33"/>
      <c r="Y5" s="34"/>
      <c r="Z5" s="50">
        <v>50</v>
      </c>
      <c r="AA5" s="32" t="s">
        <v>26</v>
      </c>
      <c r="AB5" s="51"/>
      <c r="AC5" s="33"/>
      <c r="AD5" s="33"/>
      <c r="AE5" s="33"/>
      <c r="AF5" s="33"/>
      <c r="AG5" s="33"/>
      <c r="AH5" s="33"/>
      <c r="AI5" s="52" t="s">
        <v>27</v>
      </c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53"/>
      <c r="AZ5" s="36"/>
      <c r="BA5" s="54" t="s">
        <v>28</v>
      </c>
      <c r="BB5" s="55"/>
      <c r="BC5" s="55"/>
      <c r="BD5" s="55"/>
      <c r="BE5" s="55"/>
      <c r="BF5" s="55"/>
      <c r="BG5" s="56"/>
      <c r="BH5" s="55"/>
      <c r="BI5" s="46"/>
      <c r="BJ5" s="46"/>
      <c r="BK5" s="46"/>
      <c r="BL5" s="22"/>
      <c r="BM5" s="22"/>
      <c r="BN5" s="57" t="str">
        <f>BH1&amp;BK1&amp;""&amp;BL1&amp;""&amp;AK5&amp;BI1</f>
        <v>Attainment Level 1: 40% of maximum marks </v>
      </c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</row>
    <row r="6" ht="15.75" customHeight="1" spans="1:78" x14ac:dyDescent="0.25">
      <c r="A6" s="58" t="s">
        <v>29</v>
      </c>
      <c r="B6" s="58" t="s">
        <v>30</v>
      </c>
      <c r="C6" s="59"/>
      <c r="D6" s="60" t="s">
        <v>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3"/>
      <c r="U6" s="61" t="s">
        <v>32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62"/>
      <c r="AK6" s="63" t="s">
        <v>32</v>
      </c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5" t="s">
        <v>33</v>
      </c>
      <c r="BB6" s="66" t="s">
        <v>34</v>
      </c>
      <c r="BC6" s="66" t="s">
        <v>35</v>
      </c>
      <c r="BD6" s="67" t="s">
        <v>36</v>
      </c>
      <c r="BE6" s="67" t="s">
        <v>37</v>
      </c>
      <c r="BF6" s="68" t="s">
        <v>38</v>
      </c>
      <c r="BG6" s="69" t="s">
        <v>39</v>
      </c>
      <c r="BH6" s="70"/>
      <c r="BI6" s="46"/>
      <c r="BJ6" s="46"/>
      <c r="BK6" s="46"/>
      <c r="BL6" s="22"/>
      <c r="BM6" s="22"/>
      <c r="BN6" s="57" t="str">
        <f>BH2&amp;BK2&amp;""&amp;BL1&amp;""&amp;AK5&amp;BI1</f>
        <v>Attainment Level 2: 50% of maximum marks </v>
      </c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</row>
    <row r="7" ht="15.75" customHeight="1" spans="1:78" x14ac:dyDescent="0.25">
      <c r="A7" s="71"/>
      <c r="B7" s="71"/>
      <c r="C7" s="59" t="s">
        <v>40</v>
      </c>
      <c r="D7" s="72" t="s">
        <v>41</v>
      </c>
      <c r="E7" s="72" t="s">
        <v>42</v>
      </c>
      <c r="F7" s="73"/>
      <c r="G7" s="73"/>
      <c r="H7" s="72"/>
      <c r="I7" s="72"/>
      <c r="J7" s="72"/>
      <c r="K7" s="73"/>
      <c r="L7" s="72"/>
      <c r="M7" s="72"/>
      <c r="N7" s="72"/>
      <c r="O7" s="73"/>
      <c r="P7" s="72"/>
      <c r="Q7" s="72"/>
      <c r="R7" s="72"/>
      <c r="S7" s="74"/>
      <c r="T7" s="75"/>
      <c r="U7" s="76"/>
      <c r="V7" s="76"/>
      <c r="W7" s="76"/>
      <c r="X7" s="76"/>
      <c r="Y7" s="76"/>
      <c r="Z7" s="76"/>
      <c r="AA7" s="76"/>
      <c r="AB7" s="76"/>
      <c r="AC7" s="76"/>
      <c r="AD7" s="76"/>
      <c r="AE7" s="77"/>
      <c r="AF7" s="77"/>
      <c r="AG7" s="76"/>
      <c r="AH7" s="76"/>
      <c r="AI7" s="76"/>
      <c r="AJ7" s="76"/>
      <c r="AK7" s="78">
        <f>SUMIF($D$6:$AJ$6,"IA-2",D135:AJ135)+AN135+AO135</f>
      </c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9"/>
      <c r="BB7" s="80"/>
      <c r="BC7" s="80"/>
      <c r="BD7" s="80"/>
      <c r="BE7" s="80"/>
      <c r="BF7" s="81"/>
      <c r="BG7" s="81"/>
      <c r="BH7" s="82"/>
      <c r="BI7" s="46"/>
      <c r="BJ7" s="46"/>
      <c r="BK7" s="46"/>
      <c r="BL7" s="22"/>
      <c r="BM7" s="22"/>
      <c r="BN7" s="57" t="str">
        <f>BH3&amp;BK3&amp;""&amp;BL1&amp;""&amp;AK5&amp;BI1</f>
        <v>Attainment Level 3: 60% of maximum marks </v>
      </c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</row>
    <row r="8" ht="15.75" customHeight="1" spans="1:78" x14ac:dyDescent="0.25">
      <c r="A8" s="71"/>
      <c r="B8" s="71"/>
      <c r="C8" s="59" t="s">
        <v>43</v>
      </c>
      <c r="D8" s="83" t="s">
        <v>44</v>
      </c>
      <c r="E8" s="83" t="s">
        <v>45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59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5"/>
      <c r="BB8" s="86"/>
      <c r="BC8" s="86"/>
      <c r="BD8" s="86"/>
      <c r="BE8" s="86"/>
      <c r="BF8" s="86"/>
      <c r="BG8" s="87"/>
      <c r="BH8" s="82"/>
      <c r="BI8" s="88"/>
      <c r="BJ8" s="3"/>
      <c r="BK8" s="62"/>
      <c r="BL8" s="89"/>
      <c r="BM8" s="33"/>
      <c r="BN8" s="34"/>
      <c r="BO8" s="89"/>
      <c r="BP8" s="33"/>
      <c r="BQ8" s="34"/>
      <c r="BR8" s="89"/>
      <c r="BS8" s="33"/>
      <c r="BT8" s="34"/>
      <c r="BU8" s="89"/>
      <c r="BV8" s="33"/>
      <c r="BW8" s="34"/>
      <c r="BX8" s="89"/>
      <c r="BY8" s="33"/>
      <c r="BZ8" s="34"/>
    </row>
    <row r="9" ht="15.75" customHeight="1" spans="1:78" x14ac:dyDescent="0.25">
      <c r="A9" s="71"/>
      <c r="B9" s="71"/>
      <c r="C9" s="90" t="s">
        <v>46</v>
      </c>
      <c r="D9" s="76">
        <v>5</v>
      </c>
      <c r="E9" s="76">
        <v>5</v>
      </c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91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92"/>
      <c r="BB9" s="93"/>
      <c r="BC9" s="93"/>
      <c r="BD9" s="93"/>
      <c r="BE9" s="93"/>
      <c r="BF9" s="94"/>
      <c r="BG9" s="94"/>
      <c r="BH9" s="82"/>
      <c r="BI9" s="95" t="s">
        <v>47</v>
      </c>
      <c r="BJ9" s="96"/>
      <c r="BK9" s="97">
        <f>IFERROR(IF(BK10&lt;BK1,0,IF(BK10&gt;=BK3,3,IF(BK10&gt;=BK2,2,1))),0)</f>
        <v>3</v>
      </c>
      <c r="BL9" s="95" t="s">
        <v>47</v>
      </c>
      <c r="BM9" s="96"/>
      <c r="BN9" s="98">
        <f>IFERROR(IF(BN10&lt;BK1,0,IF(BN10&gt;=BK3,3,IF(BN10&gt;=BK2,2,1))),0)</f>
        <v>3</v>
      </c>
      <c r="BO9" s="95" t="s">
        <v>47</v>
      </c>
      <c r="BP9" s="96"/>
      <c r="BQ9" s="98">
        <f>IFERROR(IF(BQ10&lt;BK1,0,IF(BQ10&gt;=BK3,3,IF(BQ10&gt;=BK2,2,1))),0)</f>
        <v>3</v>
      </c>
      <c r="BR9" s="95" t="s">
        <v>47</v>
      </c>
      <c r="BS9" s="96"/>
      <c r="BT9" s="98">
        <f>IFERROR(IF(BT10&lt;BK1,0,IF(BT10&gt;=BK3,3,IF(BT10&gt;=BK2,2,1))),0)</f>
        <v>3</v>
      </c>
      <c r="BU9" s="95" t="s">
        <v>47</v>
      </c>
      <c r="BV9" s="96"/>
      <c r="BW9" s="98">
        <f>IFERROR(IF(BW10&lt;BK1,0,IF(BW10&gt;=BK3,3,IF(BW10&gt;=BK2,2,1))),0)</f>
        <v>3</v>
      </c>
      <c r="BX9" s="95" t="s">
        <v>47</v>
      </c>
      <c r="BY9" s="96"/>
      <c r="BZ9" s="98">
        <f>IFERROR(IF(BZ10&lt;BK1,0,IF(BZ10&gt;=BK3,3,IF(BZ10&gt;=BK2,2,1))),0)</f>
        <v>0</v>
      </c>
    </row>
    <row r="10" ht="15.75" customHeight="1" spans="1:78" x14ac:dyDescent="0.25">
      <c r="A10" s="71"/>
      <c r="B10" s="71"/>
      <c r="C10" s="99"/>
      <c r="D10" s="100" t="s">
        <v>48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3"/>
      <c r="BB10" s="3"/>
      <c r="BC10" s="3"/>
      <c r="BD10" s="3"/>
      <c r="BE10" s="3"/>
      <c r="BF10" s="3"/>
      <c r="BG10" s="62"/>
      <c r="BH10" s="55"/>
      <c r="BI10" s="103" t="s">
        <v>49</v>
      </c>
      <c r="BJ10" s="104"/>
      <c r="BK10" s="105">
        <f>IFERROR(BK11/BI11*100,0)</f>
        <v>85.12396694214877</v>
      </c>
      <c r="BL10" s="103" t="s">
        <v>49</v>
      </c>
      <c r="BM10" s="104"/>
      <c r="BN10" s="106">
        <f>IFERROR(BN11/BL11*100,0)</f>
        <v>89.25619834710744</v>
      </c>
      <c r="BO10" s="103" t="s">
        <v>49</v>
      </c>
      <c r="BP10" s="104"/>
      <c r="BQ10" s="106">
        <f>IFERROR(BQ11/BO11*100,0)</f>
        <v>86.77685950413223</v>
      </c>
      <c r="BR10" s="103" t="s">
        <v>49</v>
      </c>
      <c r="BS10" s="104"/>
      <c r="BT10" s="106">
        <f>IFERROR(BT11/BR11*100,0)</f>
        <v>80.99173553719008</v>
      </c>
      <c r="BU10" s="103" t="s">
        <v>49</v>
      </c>
      <c r="BV10" s="104"/>
      <c r="BW10" s="106">
        <f>IFERROR(BW11/BU11*100,0)</f>
        <v>78.51239669421489</v>
      </c>
      <c r="BX10" s="103" t="s">
        <v>49</v>
      </c>
      <c r="BY10" s="104"/>
      <c r="BZ10" s="106">
        <f>IFERROR(BZ11/BX11*100,0)</f>
        <v>0</v>
      </c>
    </row>
    <row r="11" ht="15.75" customHeight="1" spans="1:78" x14ac:dyDescent="0.25">
      <c r="A11" s="71"/>
      <c r="B11" s="71"/>
      <c r="C11" s="71"/>
      <c r="D11" s="100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G11" s="56"/>
      <c r="BH11" s="55"/>
      <c r="BI11" s="107">
        <f>COUNTIF(BJ13:BJ200,"&gt;"&amp;0)</f>
        <v>121</v>
      </c>
      <c r="BJ11" s="34"/>
      <c r="BK11" s="108">
        <f>COUNTIF(BK13:BK200,"&gt;="&amp;Z5)</f>
        <v>103</v>
      </c>
      <c r="BL11" s="107">
        <f>COUNTIF(BM13:BM200,"&gt;"&amp;0)</f>
        <v>121</v>
      </c>
      <c r="BM11" s="34"/>
      <c r="BN11" s="109">
        <f>COUNTIF(BN13:BN200,"&gt;="&amp;Z5)</f>
        <v>108</v>
      </c>
      <c r="BO11" s="107">
        <f>COUNTIF(BP13:BP200,"&gt;"&amp;0)</f>
        <v>121</v>
      </c>
      <c r="BP11" s="34"/>
      <c r="BQ11" s="109">
        <f>COUNTIF(BQ13:BQ200,"&gt;="&amp;Z5)</f>
        <v>105</v>
      </c>
      <c r="BR11" s="107">
        <f>COUNTIF(BS13:BS200,"&gt;"&amp;0)</f>
        <v>121</v>
      </c>
      <c r="BS11" s="34"/>
      <c r="BT11" s="109">
        <f>COUNTIF(BT13:BT200,"&gt;="&amp;Z5)</f>
        <v>98</v>
      </c>
      <c r="BU11" s="107">
        <f>COUNTIF(BV13:BV200,"&gt;"&amp;0)</f>
        <v>121</v>
      </c>
      <c r="BV11" s="34"/>
      <c r="BW11" s="109">
        <f>COUNTIF(BW13:BW200,"&gt;="&amp;Z5)</f>
        <v>95</v>
      </c>
      <c r="BX11" s="107">
        <f>COUNTIF(BY13:BY200,"&gt;"&amp;0)</f>
        <v>0</v>
      </c>
      <c r="BY11" s="34"/>
      <c r="BZ11" s="109">
        <f>COUNTIF(BZ13:BZ200,"&gt;="&amp;Z5)</f>
        <v>0</v>
      </c>
    </row>
    <row r="12" ht="15.75" customHeight="1" spans="1:78" x14ac:dyDescent="0.25">
      <c r="A12" s="110"/>
      <c r="B12" s="110"/>
      <c r="C12" s="110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55"/>
      <c r="BB12" s="55"/>
      <c r="BC12" s="55"/>
      <c r="BD12" s="55"/>
      <c r="BE12" s="55"/>
      <c r="BF12" s="55"/>
      <c r="BG12" s="56"/>
      <c r="BH12" s="56"/>
      <c r="BI12" s="113" t="s">
        <v>50</v>
      </c>
      <c r="BJ12" s="114" t="s">
        <v>51</v>
      </c>
      <c r="BK12" s="114" t="s">
        <v>52</v>
      </c>
      <c r="BL12" s="115" t="s">
        <v>50</v>
      </c>
      <c r="BM12" s="115" t="s">
        <v>51</v>
      </c>
      <c r="BN12" s="116" t="s">
        <v>52</v>
      </c>
      <c r="BO12" s="115" t="s">
        <v>50</v>
      </c>
      <c r="BP12" s="115" t="s">
        <v>51</v>
      </c>
      <c r="BQ12" s="116" t="s">
        <v>52</v>
      </c>
      <c r="BR12" s="115" t="s">
        <v>50</v>
      </c>
      <c r="BS12" s="115" t="s">
        <v>51</v>
      </c>
      <c r="BT12" s="116" t="s">
        <v>52</v>
      </c>
      <c r="BU12" s="115" t="s">
        <v>50</v>
      </c>
      <c r="BV12" s="115" t="s">
        <v>51</v>
      </c>
      <c r="BW12" s="116" t="s">
        <v>52</v>
      </c>
      <c r="BX12" s="115" t="s">
        <v>50</v>
      </c>
      <c r="BY12" s="115" t="s">
        <v>51</v>
      </c>
      <c r="BZ12" s="116" t="s">
        <v>52</v>
      </c>
    </row>
    <row r="13" ht="15.75" customHeight="1" spans="1:78" x14ac:dyDescent="0.25">
      <c r="A13" s="117">
        <v>1</v>
      </c>
      <c r="B13" s="118" t="s">
        <v>53</v>
      </c>
      <c r="C13" s="119" t="s">
        <v>54</v>
      </c>
      <c r="D13" s="120"/>
      <c r="E13" s="121"/>
      <c r="F13" s="122"/>
      <c r="G13" s="122"/>
      <c r="H13" s="123"/>
      <c r="I13" s="123"/>
      <c r="J13" s="124"/>
      <c r="K13" s="125"/>
      <c r="L13" s="122"/>
      <c r="M13" s="122"/>
      <c r="N13" s="123"/>
      <c r="O13" s="123"/>
      <c r="P13" s="124"/>
      <c r="Q13" s="124"/>
      <c r="R13" s="123"/>
      <c r="S13" s="123"/>
      <c r="T13" s="126"/>
      <c r="U13" s="120"/>
      <c r="V13" s="121"/>
      <c r="W13" s="122"/>
      <c r="X13" s="122"/>
      <c r="Y13" s="123"/>
      <c r="Z13" s="123"/>
      <c r="AA13" s="124"/>
      <c r="AB13" s="125"/>
      <c r="AC13" s="122"/>
      <c r="AD13" s="122"/>
      <c r="AE13" s="123"/>
      <c r="AF13" s="123"/>
      <c r="AG13" s="124"/>
      <c r="AH13" s="124"/>
      <c r="AI13" s="123"/>
      <c r="AJ13" s="123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127"/>
      <c r="BB13" s="127"/>
      <c r="BC13" s="127"/>
      <c r="BD13" s="127"/>
      <c r="BE13" s="127"/>
      <c r="BF13" s="128"/>
      <c r="BG13" s="129"/>
      <c r="BH13" s="46"/>
      <c r="BI13" s="130">
        <f>SUMIF($D$7:$BG$7,"1",$D13:$BG13)</f>
        <v>13</v>
      </c>
      <c r="BJ13" s="131">
        <f>SUMIFS($D$9:$BG$9,$D$7:$BG$7,"1",$D13:$BG13,"&gt;"&amp;-1)</f>
        <v>12.5</v>
      </c>
      <c r="BK13" s="132">
        <f t="shared" ref="BK13:BK200" si="0">ROUNDUP(IF(BJ13,BI13/BJ13%,0),2)</f>
        <v>104</v>
      </c>
      <c r="BL13" s="133">
        <f>SUMIF($D$7:$BG$7,"2",$D13:$BG13)</f>
        <v>27</v>
      </c>
      <c r="BM13" s="131">
        <f>SUMIFS($D$9:$BG$9,$D$7:$BG$7,"2",$D13:$BG13,"&gt;"&amp;-1)</f>
        <v>27</v>
      </c>
      <c r="BN13" s="132">
        <f t="shared" ref="BN13:BN200" si="1">ROUNDUP(IF(BM13,BL13/BM13%,0),2)</f>
        <v>100</v>
      </c>
      <c r="BO13" s="133">
        <f>SUMIF($D$7:$BG$7,"3",$D13:$BG13)</f>
        <v>24</v>
      </c>
      <c r="BP13" s="131">
        <f>SUMIFS($D$9:$BG$9,$D$7:$BG$7,"3",$D13:$BG13,"&gt;"&amp;-1)</f>
        <v>25</v>
      </c>
      <c r="BQ13" s="132">
        <f t="shared" ref="BQ13:BQ200" si="2">ROUNDUP(IF(BP13,BO13/BP13%,0),2)</f>
        <v>96</v>
      </c>
      <c r="BR13" s="133">
        <f>SUMIF($D$7:$BG$7,"4",$D13:$BG13)</f>
        <v>15</v>
      </c>
      <c r="BS13" s="131">
        <f>SUMIFS($D$9:$BG$9,$D$7:$BG$7,"4",$D13:$BG13,"&gt;"&amp;-1)</f>
        <v>15</v>
      </c>
      <c r="BT13" s="132">
        <f t="shared" ref="BT13:BT200" si="3">ROUNDUP(IF(BS13,BR13/BS13%,0),2)</f>
        <v>100</v>
      </c>
      <c r="BU13" s="133">
        <f>SUMIF($D$7:$BG$7,"5",$D13:$BG13)</f>
        <v>13</v>
      </c>
      <c r="BV13" s="131">
        <f>SUMIFS($D$9:$BG$9,$D$7:$BG$7,"5",$D13:$BG13,"&gt;"&amp;-1)</f>
        <v>15</v>
      </c>
      <c r="BW13" s="132">
        <f t="shared" ref="BW13:BW200" si="4">ROUNDUP(IF(BV13,BU13/BV13%,0),2)</f>
        <v>86.67</v>
      </c>
      <c r="BX13" s="133">
        <f>SUMIF($D$7:$BG$7,"6",$D13:$BG13)</f>
        <v>0</v>
      </c>
      <c r="BY13" s="131">
        <f>SUMIFS($D$9:$BG$9,$D$7:$BG$7,"6",$D13:$BG13,"&gt;"&amp;-1)</f>
        <v>0</v>
      </c>
      <c r="BZ13" s="132">
        <f t="shared" ref="BZ13:BZ200" si="5">ROUNDUP(IF(BY13,BX13/BY13%,0),2)</f>
        <v>0</v>
      </c>
    </row>
    <row r="14" ht="15.75" customHeight="1" spans="1:78" x14ac:dyDescent="0.25">
      <c r="A14" s="117">
        <v>2</v>
      </c>
      <c r="B14" s="118" t="s">
        <v>55</v>
      </c>
      <c r="C14" s="119" t="s">
        <v>56</v>
      </c>
      <c r="D14" s="134"/>
      <c r="E14" s="135"/>
      <c r="F14" s="136"/>
      <c r="G14" s="136"/>
      <c r="H14" s="137"/>
      <c r="I14" s="137"/>
      <c r="J14" s="138"/>
      <c r="K14" s="139"/>
      <c r="L14" s="136"/>
      <c r="M14" s="136"/>
      <c r="N14" s="137"/>
      <c r="O14" s="137"/>
      <c r="P14" s="138"/>
      <c r="Q14" s="138"/>
      <c r="R14" s="137"/>
      <c r="S14" s="137"/>
      <c r="T14" s="140"/>
      <c r="U14" s="134"/>
      <c r="V14" s="135"/>
      <c r="W14" s="136"/>
      <c r="X14" s="136"/>
      <c r="Y14" s="137"/>
      <c r="Z14" s="137"/>
      <c r="AA14" s="138"/>
      <c r="AB14" s="139"/>
      <c r="AC14" s="136"/>
      <c r="AD14" s="136"/>
      <c r="AE14" s="137"/>
      <c r="AF14" s="137"/>
      <c r="AG14" s="138"/>
      <c r="AH14" s="138"/>
      <c r="AI14" s="137"/>
      <c r="AJ14" s="137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127"/>
      <c r="BB14" s="127"/>
      <c r="BC14" s="127"/>
      <c r="BD14" s="127"/>
      <c r="BE14" s="127"/>
      <c r="BF14" s="128"/>
      <c r="BG14" s="129"/>
      <c r="BH14" s="46"/>
      <c r="BI14" s="141">
        <f>SUMIF($D$7:$BG$7,"1",$D14:$BG14)</f>
        <v>12</v>
      </c>
      <c r="BJ14" s="142">
        <f>SUMIFS($D$9:$BG$9,$D$7:$BG$7,"1",$D14:$BG14,"&gt;"&amp;-1)</f>
        <v>15</v>
      </c>
      <c r="BK14" s="143">
        <f t="shared" si="0"/>
        <v>80</v>
      </c>
      <c r="BL14" s="144">
        <f>SUMIF($D$7:$BG$7,"2",$D14:$BG14)</f>
        <v>21</v>
      </c>
      <c r="BM14" s="142">
        <f>SUMIFS($D$9:$BG$9,$D$7:$BG$7,"2",$D14:$BG14,"&gt;"&amp;-1)</f>
        <v>25</v>
      </c>
      <c r="BN14" s="143">
        <f t="shared" si="1"/>
        <v>84</v>
      </c>
      <c r="BO14" s="144">
        <f>SUMIF($D$7:$BG$7,"3",$D14:$BG14)</f>
        <v>19</v>
      </c>
      <c r="BP14" s="142">
        <f>SUMIFS($D$9:$BG$9,$D$7:$BG$7,"3",$D14:$BG14,"&gt;"&amp;-1)</f>
        <v>20</v>
      </c>
      <c r="BQ14" s="143">
        <f t="shared" si="2"/>
        <v>95</v>
      </c>
      <c r="BR14" s="144">
        <f>SUMIF($D$7:$BG$7,"4",$D14:$BG14)</f>
        <v>15</v>
      </c>
      <c r="BS14" s="142">
        <f>SUMIFS($D$9:$BG$9,$D$7:$BG$7,"4",$D14:$BG14,"&gt;"&amp;-1)</f>
        <v>15</v>
      </c>
      <c r="BT14" s="143">
        <f t="shared" si="3"/>
        <v>100</v>
      </c>
      <c r="BU14" s="144">
        <f>SUMIF($D$7:$BG$7,"5",$D14:$BG14)</f>
        <v>11</v>
      </c>
      <c r="BV14" s="142">
        <f>SUMIFS($D$9:$BG$9,$D$7:$BG$7,"5",$D14:$BG14,"&gt;"&amp;-1)</f>
        <v>20</v>
      </c>
      <c r="BW14" s="143">
        <f t="shared" si="4"/>
        <v>55</v>
      </c>
      <c r="BX14" s="144">
        <f>SUMIF($D$7:$BG$7,"6",$D14:$BG14)</f>
        <v>0</v>
      </c>
      <c r="BY14" s="142">
        <f>SUMIFS($D$9:$BG$9,$D$7:$BG$7,"6",$D14:$BG14,"&gt;"&amp;-1)</f>
        <v>0</v>
      </c>
      <c r="BZ14" s="143">
        <f t="shared" si="5"/>
        <v>0</v>
      </c>
    </row>
    <row r="15" ht="15.75" customHeight="1" spans="1:78" x14ac:dyDescent="0.25">
      <c r="A15" s="117">
        <v>3</v>
      </c>
      <c r="B15" s="118" t="s">
        <v>57</v>
      </c>
      <c r="C15" s="119" t="s">
        <v>58</v>
      </c>
      <c r="D15" s="134"/>
      <c r="E15" s="135"/>
      <c r="F15" s="136"/>
      <c r="G15" s="136"/>
      <c r="H15" s="137"/>
      <c r="I15" s="137"/>
      <c r="J15" s="138"/>
      <c r="K15" s="139"/>
      <c r="L15" s="136"/>
      <c r="M15" s="136"/>
      <c r="N15" s="137"/>
      <c r="O15" s="137"/>
      <c r="P15" s="138"/>
      <c r="Q15" s="138"/>
      <c r="R15" s="137"/>
      <c r="S15" s="137"/>
      <c r="T15" s="140"/>
      <c r="U15" s="134"/>
      <c r="V15" s="135"/>
      <c r="W15" s="136"/>
      <c r="X15" s="136"/>
      <c r="Y15" s="137"/>
      <c r="Z15" s="137"/>
      <c r="AA15" s="138"/>
      <c r="AB15" s="139"/>
      <c r="AC15" s="136"/>
      <c r="AD15" s="136"/>
      <c r="AE15" s="137"/>
      <c r="AF15" s="137"/>
      <c r="AG15" s="138"/>
      <c r="AH15" s="138"/>
      <c r="AI15" s="137"/>
      <c r="AJ15" s="137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127"/>
      <c r="BB15" s="127"/>
      <c r="BC15" s="127"/>
      <c r="BD15" s="127"/>
      <c r="BE15" s="127"/>
      <c r="BF15" s="128"/>
      <c r="BG15" s="129"/>
      <c r="BH15" s="46"/>
      <c r="BI15" s="141">
        <f>SUMIF($D$7:$BG$7,"1",$D15:$BG15)</f>
        <v>10</v>
      </c>
      <c r="BJ15" s="142">
        <f>SUMIFS($D$9:$BG$9,$D$7:$BG$7,"1",$D15:$BG15,"&gt;"&amp;-1)</f>
        <v>10</v>
      </c>
      <c r="BK15" s="143">
        <f t="shared" si="0"/>
        <v>100</v>
      </c>
      <c r="BL15" s="144">
        <f>SUMIF($D$7:$BG$7,"2",$D15:$BG15)</f>
        <v>25</v>
      </c>
      <c r="BM15" s="142">
        <f>SUMIFS($D$9:$BG$9,$D$7:$BG$7,"2",$D15:$BG15,"&gt;"&amp;-1)</f>
        <v>25</v>
      </c>
      <c r="BN15" s="143">
        <f t="shared" si="1"/>
        <v>100</v>
      </c>
      <c r="BO15" s="144">
        <f>SUMIF($D$7:$BG$7,"3",$D15:$BG15)</f>
        <v>34</v>
      </c>
      <c r="BP15" s="142">
        <f>SUMIFS($D$9:$BG$9,$D$7:$BG$7,"3",$D15:$BG15,"&gt;"&amp;-1)</f>
        <v>35</v>
      </c>
      <c r="BQ15" s="143">
        <f t="shared" si="2"/>
        <v>97.15</v>
      </c>
      <c r="BR15" s="144">
        <f>SUMIF($D$7:$BG$7,"4",$D15:$BG15)</f>
        <v>15</v>
      </c>
      <c r="BS15" s="142">
        <f>SUMIFS($D$9:$BG$9,$D$7:$BG$7,"4",$D15:$BG15,"&gt;"&amp;-1)</f>
        <v>15</v>
      </c>
      <c r="BT15" s="143">
        <f t="shared" si="3"/>
        <v>100</v>
      </c>
      <c r="BU15" s="144">
        <f>SUMIF($D$7:$BG$7,"5",$D15:$BG15)</f>
        <v>15</v>
      </c>
      <c r="BV15" s="142">
        <f>SUMIFS($D$9:$BG$9,$D$7:$BG$7,"5",$D15:$BG15,"&gt;"&amp;-1)</f>
        <v>20</v>
      </c>
      <c r="BW15" s="143">
        <f t="shared" si="4"/>
        <v>75</v>
      </c>
      <c r="BX15" s="144">
        <f>SUMIF($D$7:$BG$7,"6",$D15:$BG15)</f>
        <v>0</v>
      </c>
      <c r="BY15" s="142">
        <f>SUMIFS($D$9:$BG$9,$D$7:$BG$7,"6",$D15:$BG15,"&gt;"&amp;-1)</f>
        <v>0</v>
      </c>
      <c r="BZ15" s="143">
        <f t="shared" si="5"/>
        <v>0</v>
      </c>
    </row>
    <row r="16" ht="15.75" customHeight="1" spans="1:78" x14ac:dyDescent="0.25">
      <c r="A16" s="117">
        <v>4</v>
      </c>
      <c r="B16" s="118" t="s">
        <v>59</v>
      </c>
      <c r="C16" s="119" t="s">
        <v>60</v>
      </c>
      <c r="D16" s="134"/>
      <c r="E16" s="135"/>
      <c r="F16" s="136"/>
      <c r="G16" s="136"/>
      <c r="H16" s="137"/>
      <c r="I16" s="137"/>
      <c r="J16" s="138"/>
      <c r="K16" s="139"/>
      <c r="L16" s="136"/>
      <c r="M16" s="136"/>
      <c r="N16" s="137"/>
      <c r="O16" s="137"/>
      <c r="P16" s="138"/>
      <c r="Q16" s="138"/>
      <c r="R16" s="137"/>
      <c r="S16" s="137"/>
      <c r="T16" s="140"/>
      <c r="U16" s="134"/>
      <c r="V16" s="135"/>
      <c r="W16" s="136"/>
      <c r="X16" s="136"/>
      <c r="Y16" s="137"/>
      <c r="Z16" s="137"/>
      <c r="AA16" s="138"/>
      <c r="AB16" s="139"/>
      <c r="AC16" s="136"/>
      <c r="AD16" s="136"/>
      <c r="AE16" s="137"/>
      <c r="AF16" s="137"/>
      <c r="AG16" s="138"/>
      <c r="AH16" s="138"/>
      <c r="AI16" s="137"/>
      <c r="AJ16" s="137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127"/>
      <c r="BB16" s="127"/>
      <c r="BC16" s="127"/>
      <c r="BD16" s="127"/>
      <c r="BE16" s="127"/>
      <c r="BF16" s="128"/>
      <c r="BG16" s="129"/>
      <c r="BH16" s="46"/>
      <c r="BI16" s="141">
        <f>SUMIF($D$7:$BG$7,"1",$D16:$BG16)</f>
        <v>15</v>
      </c>
      <c r="BJ16" s="142">
        <f>SUMIFS($D$9:$BG$9,$D$7:$BG$7,"1",$D16:$BG16,"&gt;"&amp;-1)</f>
        <v>15</v>
      </c>
      <c r="BK16" s="143">
        <f t="shared" si="0"/>
        <v>100</v>
      </c>
      <c r="BL16" s="144">
        <f>SUMIF($D$7:$BG$7,"2",$D16:$BG16)</f>
        <v>25</v>
      </c>
      <c r="BM16" s="142">
        <f>SUMIFS($D$9:$BG$9,$D$7:$BG$7,"2",$D16:$BG16,"&gt;"&amp;-1)</f>
        <v>25</v>
      </c>
      <c r="BN16" s="143">
        <f t="shared" si="1"/>
        <v>100</v>
      </c>
      <c r="BO16" s="144">
        <f>SUMIF($D$7:$BG$7,"3",$D16:$BG16)</f>
        <v>35</v>
      </c>
      <c r="BP16" s="142">
        <f>SUMIFS($D$9:$BG$9,$D$7:$BG$7,"3",$D16:$BG16,"&gt;"&amp;-1)</f>
        <v>35</v>
      </c>
      <c r="BQ16" s="143">
        <f t="shared" si="2"/>
        <v>100</v>
      </c>
      <c r="BR16" s="144">
        <f>SUMIF($D$7:$BG$7,"4",$D16:$BG16)</f>
        <v>15</v>
      </c>
      <c r="BS16" s="142">
        <f>SUMIFS($D$9:$BG$9,$D$7:$BG$7,"4",$D16:$BG16,"&gt;"&amp;-1)</f>
        <v>15</v>
      </c>
      <c r="BT16" s="143">
        <f t="shared" si="3"/>
        <v>100</v>
      </c>
      <c r="BU16" s="144">
        <f>SUMIF($D$7:$BG$7,"5",$D16:$BG16)</f>
        <v>15</v>
      </c>
      <c r="BV16" s="142">
        <f>SUMIFS($D$9:$BG$9,$D$7:$BG$7,"5",$D16:$BG16,"&gt;"&amp;-1)</f>
        <v>20</v>
      </c>
      <c r="BW16" s="143">
        <f t="shared" si="4"/>
        <v>75</v>
      </c>
      <c r="BX16" s="144">
        <f>SUMIF($D$7:$BG$7,"6",$D16:$BG16)</f>
        <v>0</v>
      </c>
      <c r="BY16" s="142">
        <f>SUMIFS($D$9:$BG$9,$D$7:$BG$7,"6",$D16:$BG16,"&gt;"&amp;-1)</f>
        <v>0</v>
      </c>
      <c r="BZ16" s="143">
        <f t="shared" si="5"/>
        <v>0</v>
      </c>
    </row>
    <row r="17" ht="15.75" customHeight="1" spans="1:78" x14ac:dyDescent="0.25">
      <c r="A17" s="117">
        <v>5</v>
      </c>
      <c r="B17" s="118" t="s">
        <v>61</v>
      </c>
      <c r="C17" s="119" t="s">
        <v>62</v>
      </c>
      <c r="D17" s="134"/>
      <c r="E17" s="135"/>
      <c r="F17" s="136"/>
      <c r="G17" s="136"/>
      <c r="H17" s="137"/>
      <c r="I17" s="137"/>
      <c r="J17" s="138"/>
      <c r="K17" s="139"/>
      <c r="L17" s="136"/>
      <c r="M17" s="136"/>
      <c r="N17" s="137"/>
      <c r="O17" s="137"/>
      <c r="P17" s="138"/>
      <c r="Q17" s="138"/>
      <c r="R17" s="137"/>
      <c r="S17" s="137"/>
      <c r="T17" s="140"/>
      <c r="U17" s="134"/>
      <c r="V17" s="135"/>
      <c r="W17" s="136"/>
      <c r="X17" s="136"/>
      <c r="Y17" s="137"/>
      <c r="Z17" s="137"/>
      <c r="AA17" s="138"/>
      <c r="AB17" s="139"/>
      <c r="AC17" s="136"/>
      <c r="AD17" s="136"/>
      <c r="AE17" s="137"/>
      <c r="AF17" s="137"/>
      <c r="AG17" s="138"/>
      <c r="AH17" s="138"/>
      <c r="AI17" s="137"/>
      <c r="AJ17" s="137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127"/>
      <c r="BB17" s="127"/>
      <c r="BC17" s="127"/>
      <c r="BD17" s="127"/>
      <c r="BE17" s="127"/>
      <c r="BF17" s="128"/>
      <c r="BG17" s="129"/>
      <c r="BH17" s="46"/>
      <c r="BI17" s="141">
        <f>SUMIF($D$7:$BG$7,"1",$D17:$BG17)</f>
        <v>10</v>
      </c>
      <c r="BJ17" s="142">
        <f>SUMIFS($D$9:$BG$9,$D$7:$BG$7,"1",$D17:$BG17,"&gt;"&amp;-1)</f>
        <v>15</v>
      </c>
      <c r="BK17" s="143">
        <f t="shared" si="0"/>
        <v>66.67</v>
      </c>
      <c r="BL17" s="144">
        <f>SUMIF($D$7:$BG$7,"2",$D17:$BG17)</f>
        <v>20</v>
      </c>
      <c r="BM17" s="142">
        <f>SUMIFS($D$9:$BG$9,$D$7:$BG$7,"2",$D17:$BG17,"&gt;"&amp;-1)</f>
        <v>25</v>
      </c>
      <c r="BN17" s="143">
        <f t="shared" si="1"/>
        <v>80</v>
      </c>
      <c r="BO17" s="144">
        <f>SUMIF($D$7:$BG$7,"3",$D17:$BG17)</f>
        <v>30</v>
      </c>
      <c r="BP17" s="142">
        <f>SUMIFS($D$9:$BG$9,$D$7:$BG$7,"3",$D17:$BG17,"&gt;"&amp;-1)</f>
        <v>35</v>
      </c>
      <c r="BQ17" s="143">
        <f t="shared" si="2"/>
        <v>85.72</v>
      </c>
      <c r="BR17" s="144">
        <f>SUMIF($D$7:$BG$7,"4",$D17:$BG17)</f>
        <v>14</v>
      </c>
      <c r="BS17" s="142">
        <f>SUMIFS($D$9:$BG$9,$D$7:$BG$7,"4",$D17:$BG17,"&gt;"&amp;-1)</f>
        <v>15</v>
      </c>
      <c r="BT17" s="143">
        <f t="shared" si="3"/>
        <v>93.34</v>
      </c>
      <c r="BU17" s="144">
        <f>SUMIF($D$7:$BG$7,"5",$D17:$BG17)</f>
        <v>10</v>
      </c>
      <c r="BV17" s="142">
        <f>SUMIFS($D$9:$BG$9,$D$7:$BG$7,"5",$D17:$BG17,"&gt;"&amp;-1)</f>
        <v>20</v>
      </c>
      <c r="BW17" s="143">
        <f t="shared" si="4"/>
        <v>50</v>
      </c>
      <c r="BX17" s="144">
        <f>SUMIF($D$7:$BG$7,"6",$D17:$BG17)</f>
        <v>0</v>
      </c>
      <c r="BY17" s="142">
        <f>SUMIFS($D$9:$BG$9,$D$7:$BG$7,"6",$D17:$BG17,"&gt;"&amp;-1)</f>
        <v>0</v>
      </c>
      <c r="BZ17" s="143">
        <f t="shared" si="5"/>
        <v>0</v>
      </c>
    </row>
    <row r="18" ht="15.75" customHeight="1" spans="1:78" x14ac:dyDescent="0.25">
      <c r="A18" s="117">
        <v>6</v>
      </c>
      <c r="B18" s="118" t="s">
        <v>63</v>
      </c>
      <c r="C18" s="119" t="s">
        <v>64</v>
      </c>
      <c r="D18" s="134"/>
      <c r="E18" s="135"/>
      <c r="F18" s="136"/>
      <c r="G18" s="136"/>
      <c r="H18" s="137"/>
      <c r="I18" s="137"/>
      <c r="J18" s="138"/>
      <c r="K18" s="139"/>
      <c r="L18" s="136"/>
      <c r="M18" s="136"/>
      <c r="N18" s="137"/>
      <c r="O18" s="137"/>
      <c r="P18" s="138"/>
      <c r="Q18" s="138"/>
      <c r="R18" s="137"/>
      <c r="S18" s="137"/>
      <c r="T18" s="140"/>
      <c r="U18" s="134"/>
      <c r="V18" s="135"/>
      <c r="W18" s="136"/>
      <c r="X18" s="136"/>
      <c r="Y18" s="137"/>
      <c r="Z18" s="137"/>
      <c r="AA18" s="138"/>
      <c r="AB18" s="139"/>
      <c r="AC18" s="136"/>
      <c r="AD18" s="136"/>
      <c r="AE18" s="137"/>
      <c r="AF18" s="137"/>
      <c r="AG18" s="138"/>
      <c r="AH18" s="138"/>
      <c r="AI18" s="137"/>
      <c r="AJ18" s="137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127"/>
      <c r="BB18" s="127"/>
      <c r="BC18" s="127"/>
      <c r="BD18" s="127"/>
      <c r="BE18" s="127"/>
      <c r="BF18" s="128"/>
      <c r="BG18" s="129"/>
      <c r="BH18" s="46"/>
      <c r="BI18" s="141">
        <f>SUMIF($D$7:$BG$7,"1",$D18:$BG18)</f>
        <v>14</v>
      </c>
      <c r="BJ18" s="142">
        <f>SUMIFS($D$9:$BG$9,$D$7:$BG$7,"1",$D18:$BG18,"&gt;"&amp;-1)</f>
        <v>15</v>
      </c>
      <c r="BK18" s="143">
        <f t="shared" si="0"/>
        <v>93.34</v>
      </c>
      <c r="BL18" s="144">
        <f>SUMIF($D$7:$BG$7,"2",$D18:$BG18)</f>
        <v>21</v>
      </c>
      <c r="BM18" s="142">
        <f>SUMIFS($D$9:$BG$9,$D$7:$BG$7,"2",$D18:$BG18,"&gt;"&amp;-1)</f>
        <v>25</v>
      </c>
      <c r="BN18" s="143">
        <f t="shared" si="1"/>
        <v>84</v>
      </c>
      <c r="BO18" s="144">
        <f>SUMIF($D$7:$BG$7,"3",$D18:$BG18)</f>
        <v>25</v>
      </c>
      <c r="BP18" s="142">
        <f>SUMIFS($D$9:$BG$9,$D$7:$BG$7,"3",$D18:$BG18,"&gt;"&amp;-1)</f>
        <v>30</v>
      </c>
      <c r="BQ18" s="143">
        <f t="shared" si="2"/>
        <v>83.34</v>
      </c>
      <c r="BR18" s="144">
        <f>SUMIF($D$7:$BG$7,"4",$D18:$BG18)</f>
        <v>14</v>
      </c>
      <c r="BS18" s="142">
        <f>SUMIFS($D$9:$BG$9,$D$7:$BG$7,"4",$D18:$BG18,"&gt;"&amp;-1)</f>
        <v>15</v>
      </c>
      <c r="BT18" s="143">
        <f t="shared" si="3"/>
        <v>93.34</v>
      </c>
      <c r="BU18" s="144">
        <f>SUMIF($D$7:$BG$7,"5",$D18:$BG18)</f>
        <v>11</v>
      </c>
      <c r="BV18" s="142">
        <f>SUMIFS($D$9:$BG$9,$D$7:$BG$7,"5",$D18:$BG18,"&gt;"&amp;-1)</f>
        <v>20</v>
      </c>
      <c r="BW18" s="143">
        <f t="shared" si="4"/>
        <v>55</v>
      </c>
      <c r="BX18" s="144">
        <f>SUMIF($D$7:$BG$7,"6",$D18:$BG18)</f>
        <v>0</v>
      </c>
      <c r="BY18" s="142">
        <f>SUMIFS($D$9:$BG$9,$D$7:$BG$7,"6",$D18:$BG18,"&gt;"&amp;-1)</f>
        <v>0</v>
      </c>
      <c r="BZ18" s="143">
        <f t="shared" si="5"/>
        <v>0</v>
      </c>
    </row>
    <row r="19" ht="15.75" customHeight="1" spans="1:78" x14ac:dyDescent="0.25">
      <c r="A19" s="145">
        <v>7</v>
      </c>
      <c r="B19" s="146" t="s">
        <v>65</v>
      </c>
      <c r="C19" s="119" t="s">
        <v>66</v>
      </c>
      <c r="D19" s="134"/>
      <c r="E19" s="135"/>
      <c r="F19" s="136"/>
      <c r="G19" s="136"/>
      <c r="H19" s="137"/>
      <c r="I19" s="137"/>
      <c r="J19" s="138"/>
      <c r="K19" s="139"/>
      <c r="L19" s="136"/>
      <c r="M19" s="136"/>
      <c r="N19" s="137"/>
      <c r="O19" s="137"/>
      <c r="P19" s="138"/>
      <c r="Q19" s="138"/>
      <c r="R19" s="137"/>
      <c r="S19" s="137"/>
      <c r="T19" s="140"/>
      <c r="U19" s="134"/>
      <c r="V19" s="135"/>
      <c r="W19" s="136"/>
      <c r="X19" s="136"/>
      <c r="Y19" s="137"/>
      <c r="Z19" s="137"/>
      <c r="AA19" s="138"/>
      <c r="AB19" s="139"/>
      <c r="AC19" s="136"/>
      <c r="AD19" s="136"/>
      <c r="AE19" s="137"/>
      <c r="AF19" s="137"/>
      <c r="AG19" s="138"/>
      <c r="AH19" s="138"/>
      <c r="AI19" s="137"/>
      <c r="AJ19" s="137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127"/>
      <c r="BB19" s="127"/>
      <c r="BC19" s="127"/>
      <c r="BD19" s="127"/>
      <c r="BE19" s="127"/>
      <c r="BF19" s="128"/>
      <c r="BG19" s="129"/>
      <c r="BH19" s="46"/>
      <c r="BI19" s="141">
        <f>SUMIF($D$7:$BG$7,"1",$D19:$BG19)</f>
        <v>13</v>
      </c>
      <c r="BJ19" s="142">
        <f>SUMIFS($D$9:$BG$9,$D$7:$BG$7,"1",$D19:$BG19,"&gt;"&amp;-1)</f>
        <v>15</v>
      </c>
      <c r="BK19" s="143">
        <f t="shared" si="0"/>
        <v>86.67</v>
      </c>
      <c r="BL19" s="144">
        <f>SUMIF($D$7:$BG$7,"2",$D19:$BG19)</f>
        <v>24</v>
      </c>
      <c r="BM19" s="142">
        <f>SUMIFS($D$9:$BG$9,$D$7:$BG$7,"2",$D19:$BG19,"&gt;"&amp;-1)</f>
        <v>30</v>
      </c>
      <c r="BN19" s="143">
        <f t="shared" si="1"/>
        <v>80</v>
      </c>
      <c r="BO19" s="144">
        <f>SUMIF($D$7:$BG$7,"3",$D19:$BG19)</f>
        <v>14</v>
      </c>
      <c r="BP19" s="142">
        <f>SUMIFS($D$9:$BG$9,$D$7:$BG$7,"3",$D19:$BG19,"&gt;"&amp;-1)</f>
        <v>20</v>
      </c>
      <c r="BQ19" s="143">
        <f t="shared" si="2"/>
        <v>70</v>
      </c>
      <c r="BR19" s="144">
        <f>SUMIF($D$7:$BG$7,"4",$D19:$BG19)</f>
        <v>13</v>
      </c>
      <c r="BS19" s="142">
        <f>SUMIFS($D$9:$BG$9,$D$7:$BG$7,"4",$D19:$BG19,"&gt;"&amp;-1)</f>
        <v>15</v>
      </c>
      <c r="BT19" s="143">
        <f t="shared" si="3"/>
        <v>86.67</v>
      </c>
      <c r="BU19" s="144">
        <f>SUMIF($D$7:$BG$7,"5",$D19:$BG19)</f>
        <v>12</v>
      </c>
      <c r="BV19" s="142">
        <f>SUMIFS($D$9:$BG$9,$D$7:$BG$7,"5",$D19:$BG19,"&gt;"&amp;-1)</f>
        <v>20</v>
      </c>
      <c r="BW19" s="143">
        <f t="shared" si="4"/>
        <v>60</v>
      </c>
      <c r="BX19" s="144">
        <f>SUMIF($D$7:$BG$7,"6",$D19:$BG19)</f>
        <v>0</v>
      </c>
      <c r="BY19" s="142">
        <f>SUMIFS($D$9:$BG$9,$D$7:$BG$7,"6",$D19:$BG19,"&gt;"&amp;-1)</f>
        <v>0</v>
      </c>
      <c r="BZ19" s="143">
        <f t="shared" si="5"/>
        <v>0</v>
      </c>
    </row>
    <row r="20" ht="15.75" customHeight="1" spans="1:78" x14ac:dyDescent="0.25">
      <c r="A20" s="145">
        <v>8</v>
      </c>
      <c r="B20" s="146" t="s">
        <v>67</v>
      </c>
      <c r="C20" s="119" t="s">
        <v>68</v>
      </c>
      <c r="D20" s="134"/>
      <c r="E20" s="135"/>
      <c r="F20" s="136"/>
      <c r="G20" s="136"/>
      <c r="H20" s="137"/>
      <c r="I20" s="137"/>
      <c r="J20" s="138"/>
      <c r="K20" s="139"/>
      <c r="L20" s="136"/>
      <c r="M20" s="136"/>
      <c r="N20" s="137"/>
      <c r="O20" s="137"/>
      <c r="P20" s="138"/>
      <c r="Q20" s="138"/>
      <c r="R20" s="137"/>
      <c r="S20" s="137"/>
      <c r="T20" s="140"/>
      <c r="U20" s="134"/>
      <c r="V20" s="135"/>
      <c r="W20" s="136"/>
      <c r="X20" s="136"/>
      <c r="Y20" s="137"/>
      <c r="Z20" s="137"/>
      <c r="AA20" s="138"/>
      <c r="AB20" s="139"/>
      <c r="AC20" s="136"/>
      <c r="AD20" s="136"/>
      <c r="AE20" s="137"/>
      <c r="AF20" s="137"/>
      <c r="AG20" s="138"/>
      <c r="AH20" s="138"/>
      <c r="AI20" s="137"/>
      <c r="AJ20" s="137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127"/>
      <c r="BB20" s="127"/>
      <c r="BC20" s="127"/>
      <c r="BD20" s="127"/>
      <c r="BE20" s="127"/>
      <c r="BF20" s="128"/>
      <c r="BG20" s="129"/>
      <c r="BH20" s="46"/>
      <c r="BI20" s="141">
        <f>SUMIF($D$7:$BG$7,"1",$D20:$BG20)</f>
        <v>7.5</v>
      </c>
      <c r="BJ20" s="142">
        <f>SUMIFS($D$9:$BG$9,$D$7:$BG$7,"1",$D20:$BG20,"&gt;"&amp;-1)</f>
        <v>15</v>
      </c>
      <c r="BK20" s="143">
        <f t="shared" si="0"/>
        <v>50</v>
      </c>
      <c r="BL20" s="144">
        <f>SUMIF($D$7:$BG$7,"2",$D20:$BG20)</f>
        <v>12.5</v>
      </c>
      <c r="BM20" s="142">
        <f>SUMIFS($D$9:$BG$9,$D$7:$BG$7,"2",$D20:$BG20,"&gt;"&amp;-1)</f>
        <v>30</v>
      </c>
      <c r="BN20" s="143">
        <f t="shared" si="1"/>
        <v>41.669999999999995</v>
      </c>
      <c r="BO20" s="144">
        <f>SUMIF($D$7:$BG$7,"3",$D20:$BG20)</f>
        <v>12.5</v>
      </c>
      <c r="BP20" s="142">
        <f>SUMIFS($D$9:$BG$9,$D$7:$BG$7,"3",$D20:$BG20,"&gt;"&amp;-1)</f>
        <v>25</v>
      </c>
      <c r="BQ20" s="143">
        <f t="shared" si="2"/>
        <v>50</v>
      </c>
      <c r="BR20" s="144">
        <f>SUMIF($D$7:$BG$7,"4",$D20:$BG20)</f>
        <v>7.5</v>
      </c>
      <c r="BS20" s="142">
        <f>SUMIFS($D$9:$BG$9,$D$7:$BG$7,"4",$D20:$BG20,"&gt;"&amp;-1)</f>
        <v>10</v>
      </c>
      <c r="BT20" s="143">
        <f t="shared" si="3"/>
        <v>75</v>
      </c>
      <c r="BU20" s="144">
        <f>SUMIF($D$7:$BG$7,"5",$D20:$BG20)</f>
        <v>7.5</v>
      </c>
      <c r="BV20" s="142">
        <f>SUMIFS($D$9:$BG$9,$D$7:$BG$7,"5",$D20:$BG20,"&gt;"&amp;-1)</f>
        <v>20</v>
      </c>
      <c r="BW20" s="143">
        <f t="shared" si="4"/>
        <v>37.5</v>
      </c>
      <c r="BX20" s="144">
        <f>SUMIF($D$7:$BG$7,"6",$D20:$BG20)</f>
        <v>0</v>
      </c>
      <c r="BY20" s="142">
        <f>SUMIFS($D$9:$BG$9,$D$7:$BG$7,"6",$D20:$BG20,"&gt;"&amp;-1)</f>
        <v>0</v>
      </c>
      <c r="BZ20" s="143">
        <f t="shared" si="5"/>
        <v>0</v>
      </c>
    </row>
    <row r="21" ht="15.75" customHeight="1" spans="1:78" x14ac:dyDescent="0.25">
      <c r="A21" s="145">
        <v>9</v>
      </c>
      <c r="B21" s="146" t="s">
        <v>69</v>
      </c>
      <c r="C21" s="119" t="s">
        <v>70</v>
      </c>
      <c r="D21" s="134"/>
      <c r="E21" s="135"/>
      <c r="F21" s="136"/>
      <c r="G21" s="136"/>
      <c r="H21" s="137"/>
      <c r="I21" s="137"/>
      <c r="J21" s="138"/>
      <c r="K21" s="139"/>
      <c r="L21" s="136"/>
      <c r="M21" s="136"/>
      <c r="N21" s="137"/>
      <c r="O21" s="137"/>
      <c r="P21" s="138"/>
      <c r="Q21" s="138"/>
      <c r="R21" s="137"/>
      <c r="S21" s="137"/>
      <c r="T21" s="140"/>
      <c r="U21" s="134"/>
      <c r="V21" s="135"/>
      <c r="W21" s="136"/>
      <c r="X21" s="136"/>
      <c r="Y21" s="137"/>
      <c r="Z21" s="137"/>
      <c r="AA21" s="138"/>
      <c r="AB21" s="139"/>
      <c r="AC21" s="136"/>
      <c r="AD21" s="136"/>
      <c r="AE21" s="137"/>
      <c r="AF21" s="137"/>
      <c r="AG21" s="138"/>
      <c r="AH21" s="138"/>
      <c r="AI21" s="137"/>
      <c r="AJ21" s="137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127"/>
      <c r="BB21" s="127"/>
      <c r="BC21" s="127"/>
      <c r="BD21" s="127"/>
      <c r="BE21" s="127"/>
      <c r="BF21" s="128"/>
      <c r="BG21" s="129"/>
      <c r="BH21" s="46"/>
      <c r="BI21" s="141">
        <f>SUMIF($D$7:$BG$7,"1",$D21:$BG21)</f>
        <v>10</v>
      </c>
      <c r="BJ21" s="142">
        <f>SUMIFS($D$9:$BG$9,$D$7:$BG$7,"1",$D21:$BG21,"&gt;"&amp;-1)</f>
        <v>10</v>
      </c>
      <c r="BK21" s="143">
        <f t="shared" si="0"/>
        <v>100</v>
      </c>
      <c r="BL21" s="144">
        <f>SUMIF($D$7:$BG$7,"2",$D21:$BG21)</f>
        <v>13</v>
      </c>
      <c r="BM21" s="142">
        <f>SUMIFS($D$9:$BG$9,$D$7:$BG$7,"2",$D21:$BG21,"&gt;"&amp;-1)</f>
        <v>18</v>
      </c>
      <c r="BN21" s="143">
        <f t="shared" si="1"/>
        <v>72.23</v>
      </c>
      <c r="BO21" s="144">
        <f>SUMIF($D$7:$BG$7,"3",$D21:$BG21)</f>
        <v>11</v>
      </c>
      <c r="BP21" s="142">
        <f>SUMIFS($D$9:$BG$9,$D$7:$BG$7,"3",$D21:$BG21,"&gt;"&amp;-1)</f>
        <v>15</v>
      </c>
      <c r="BQ21" s="143">
        <f t="shared" si="2"/>
        <v>73.34</v>
      </c>
      <c r="BR21" s="144">
        <f>SUMIF($D$7:$BG$7,"4",$D21:$BG21)</f>
        <v>10</v>
      </c>
      <c r="BS21" s="142">
        <f>SUMIFS($D$9:$BG$9,$D$7:$BG$7,"4",$D21:$BG21,"&gt;"&amp;-1)</f>
        <v>10</v>
      </c>
      <c r="BT21" s="143">
        <f t="shared" si="3"/>
        <v>100</v>
      </c>
      <c r="BU21" s="144">
        <f>SUMIF($D$7:$BG$7,"5",$D21:$BG21)</f>
        <v>10</v>
      </c>
      <c r="BV21" s="142">
        <f>SUMIFS($D$9:$BG$9,$D$7:$BG$7,"5",$D21:$BG21,"&gt;"&amp;-1)</f>
        <v>10</v>
      </c>
      <c r="BW21" s="143">
        <f t="shared" si="4"/>
        <v>100</v>
      </c>
      <c r="BX21" s="144">
        <f>SUMIF($D$7:$BG$7,"6",$D21:$BG21)</f>
        <v>0</v>
      </c>
      <c r="BY21" s="142">
        <f>SUMIFS($D$9:$BG$9,$D$7:$BG$7,"6",$D21:$BG21,"&gt;"&amp;-1)</f>
        <v>0</v>
      </c>
      <c r="BZ21" s="143">
        <f t="shared" si="5"/>
        <v>0</v>
      </c>
    </row>
    <row r="22" ht="15.75" customHeight="1" spans="1:78" x14ac:dyDescent="0.25">
      <c r="A22" s="145">
        <v>10</v>
      </c>
      <c r="B22" s="146" t="s">
        <v>71</v>
      </c>
      <c r="C22" s="119" t="s">
        <v>72</v>
      </c>
      <c r="D22" s="134"/>
      <c r="E22" s="135"/>
      <c r="F22" s="136"/>
      <c r="G22" s="136"/>
      <c r="H22" s="137"/>
      <c r="I22" s="137"/>
      <c r="J22" s="138"/>
      <c r="K22" s="139"/>
      <c r="L22" s="136"/>
      <c r="M22" s="136"/>
      <c r="N22" s="137"/>
      <c r="O22" s="137"/>
      <c r="P22" s="138"/>
      <c r="Q22" s="138"/>
      <c r="R22" s="137"/>
      <c r="S22" s="137"/>
      <c r="T22" s="140"/>
      <c r="U22" s="134"/>
      <c r="V22" s="135"/>
      <c r="W22" s="136"/>
      <c r="X22" s="136"/>
      <c r="Y22" s="137"/>
      <c r="Z22" s="137"/>
      <c r="AA22" s="138"/>
      <c r="AB22" s="139"/>
      <c r="AC22" s="136"/>
      <c r="AD22" s="136"/>
      <c r="AE22" s="137"/>
      <c r="AF22" s="137"/>
      <c r="AG22" s="138"/>
      <c r="AH22" s="138"/>
      <c r="AI22" s="137"/>
      <c r="AJ22" s="137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127"/>
      <c r="BB22" s="127"/>
      <c r="BC22" s="127"/>
      <c r="BD22" s="127"/>
      <c r="BE22" s="127"/>
      <c r="BF22" s="128"/>
      <c r="BG22" s="129"/>
      <c r="BH22" s="46"/>
      <c r="BI22" s="141">
        <f>SUMIF($D$7:$BG$7,"1",$D22:$BG22)</f>
        <v>14</v>
      </c>
      <c r="BJ22" s="142">
        <f>SUMIFS($D$9:$BG$9,$D$7:$BG$7,"1",$D22:$BG22,"&gt;"&amp;-1)</f>
        <v>15</v>
      </c>
      <c r="BK22" s="143">
        <f t="shared" si="0"/>
        <v>93.34</v>
      </c>
      <c r="BL22" s="144">
        <f>SUMIF($D$7:$BG$7,"2",$D22:$BG22)</f>
        <v>26</v>
      </c>
      <c r="BM22" s="142">
        <f>SUMIFS($D$9:$BG$9,$D$7:$BG$7,"2",$D22:$BG22,"&gt;"&amp;-1)</f>
        <v>30</v>
      </c>
      <c r="BN22" s="143">
        <f t="shared" si="1"/>
        <v>86.67</v>
      </c>
      <c r="BO22" s="144">
        <f>SUMIF($D$7:$BG$7,"3",$D22:$BG22)</f>
        <v>32</v>
      </c>
      <c r="BP22" s="142">
        <f>SUMIFS($D$9:$BG$9,$D$7:$BG$7,"3",$D22:$BG22,"&gt;"&amp;-1)</f>
        <v>35</v>
      </c>
      <c r="BQ22" s="143">
        <f t="shared" si="2"/>
        <v>91.43</v>
      </c>
      <c r="BR22" s="144">
        <f>SUMIF($D$7:$BG$7,"4",$D22:$BG22)</f>
        <v>15</v>
      </c>
      <c r="BS22" s="142">
        <f>SUMIFS($D$9:$BG$9,$D$7:$BG$7,"4",$D22:$BG22,"&gt;"&amp;-1)</f>
        <v>15</v>
      </c>
      <c r="BT22" s="143">
        <f t="shared" si="3"/>
        <v>100</v>
      </c>
      <c r="BU22" s="144">
        <f>SUMIF($D$7:$BG$7,"5",$D22:$BG22)</f>
        <v>14</v>
      </c>
      <c r="BV22" s="142">
        <f>SUMIFS($D$9:$BG$9,$D$7:$BG$7,"5",$D22:$BG22,"&gt;"&amp;-1)</f>
        <v>20</v>
      </c>
      <c r="BW22" s="143">
        <f t="shared" si="4"/>
        <v>70</v>
      </c>
      <c r="BX22" s="144">
        <f>SUMIF($D$7:$BG$7,"6",$D22:$BG22)</f>
        <v>0</v>
      </c>
      <c r="BY22" s="142">
        <f>SUMIFS($D$9:$BG$9,$D$7:$BG$7,"6",$D22:$BG22,"&gt;"&amp;-1)</f>
        <v>0</v>
      </c>
      <c r="BZ22" s="143">
        <f t="shared" si="5"/>
        <v>0</v>
      </c>
    </row>
    <row r="23" ht="15.75" customHeight="1" spans="1:78" x14ac:dyDescent="0.25">
      <c r="A23" s="145">
        <v>11</v>
      </c>
      <c r="B23" s="146" t="s">
        <v>73</v>
      </c>
      <c r="C23" s="119" t="s">
        <v>74</v>
      </c>
      <c r="D23" s="134"/>
      <c r="E23" s="135"/>
      <c r="F23" s="136"/>
      <c r="G23" s="136"/>
      <c r="H23" s="137"/>
      <c r="I23" s="137"/>
      <c r="J23" s="138"/>
      <c r="K23" s="139"/>
      <c r="L23" s="136"/>
      <c r="M23" s="136"/>
      <c r="N23" s="137"/>
      <c r="O23" s="137"/>
      <c r="P23" s="138"/>
      <c r="Q23" s="138"/>
      <c r="R23" s="137"/>
      <c r="S23" s="137"/>
      <c r="T23" s="140"/>
      <c r="U23" s="134"/>
      <c r="V23" s="135"/>
      <c r="W23" s="136"/>
      <c r="X23" s="136"/>
      <c r="Y23" s="137"/>
      <c r="Z23" s="137"/>
      <c r="AA23" s="138"/>
      <c r="AB23" s="139"/>
      <c r="AC23" s="136"/>
      <c r="AD23" s="136"/>
      <c r="AE23" s="137"/>
      <c r="AF23" s="137"/>
      <c r="AG23" s="138"/>
      <c r="AH23" s="138"/>
      <c r="AI23" s="137"/>
      <c r="AJ23" s="137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127"/>
      <c r="BB23" s="127"/>
      <c r="BC23" s="127"/>
      <c r="BD23" s="127"/>
      <c r="BE23" s="127"/>
      <c r="BF23" s="128"/>
      <c r="BG23" s="129"/>
      <c r="BH23" s="46"/>
      <c r="BI23" s="141">
        <f>SUMIF($D$7:$BG$7,"1",$D23:$BG23)</f>
        <v>12</v>
      </c>
      <c r="BJ23" s="142">
        <f>SUMIFS($D$9:$BG$9,$D$7:$BG$7,"1",$D23:$BG23,"&gt;"&amp;-1)</f>
        <v>15</v>
      </c>
      <c r="BK23" s="143">
        <f t="shared" si="0"/>
        <v>80</v>
      </c>
      <c r="BL23" s="144">
        <f>SUMIF($D$7:$BG$7,"2",$D23:$BG23)</f>
        <v>23</v>
      </c>
      <c r="BM23" s="142">
        <f>SUMIFS($D$9:$BG$9,$D$7:$BG$7,"2",$D23:$BG23,"&gt;"&amp;-1)</f>
        <v>25</v>
      </c>
      <c r="BN23" s="143">
        <f t="shared" si="1"/>
        <v>92</v>
      </c>
      <c r="BO23" s="144">
        <f>SUMIF($D$7:$BG$7,"3",$D23:$BG23)</f>
        <v>17</v>
      </c>
      <c r="BP23" s="142">
        <f>SUMIFS($D$9:$BG$9,$D$7:$BG$7,"3",$D23:$BG23,"&gt;"&amp;-1)</f>
        <v>20</v>
      </c>
      <c r="BQ23" s="143">
        <f t="shared" si="2"/>
        <v>85</v>
      </c>
      <c r="BR23" s="144">
        <f>SUMIF($D$7:$BG$7,"4",$D23:$BG23)</f>
        <v>11</v>
      </c>
      <c r="BS23" s="142">
        <f>SUMIFS($D$9:$BG$9,$D$7:$BG$7,"4",$D23:$BG23,"&gt;"&amp;-1)</f>
        <v>15</v>
      </c>
      <c r="BT23" s="143">
        <f t="shared" si="3"/>
        <v>73.34</v>
      </c>
      <c r="BU23" s="144">
        <f>SUMIF($D$7:$BG$7,"5",$D23:$BG23)</f>
        <v>13</v>
      </c>
      <c r="BV23" s="142">
        <f>SUMIFS($D$9:$BG$9,$D$7:$BG$7,"5",$D23:$BG23,"&gt;"&amp;-1)</f>
        <v>20</v>
      </c>
      <c r="BW23" s="143">
        <f t="shared" si="4"/>
        <v>65</v>
      </c>
      <c r="BX23" s="144">
        <f>SUMIF($D$7:$BG$7,"6",$D23:$BG23)</f>
        <v>0</v>
      </c>
      <c r="BY23" s="142">
        <f>SUMIFS($D$9:$BG$9,$D$7:$BG$7,"6",$D23:$BG23,"&gt;"&amp;-1)</f>
        <v>0</v>
      </c>
      <c r="BZ23" s="143">
        <f t="shared" si="5"/>
        <v>0</v>
      </c>
    </row>
    <row r="24" ht="15.75" customHeight="1" spans="1:78" x14ac:dyDescent="0.25">
      <c r="A24" s="145">
        <v>12</v>
      </c>
      <c r="B24" s="146" t="s">
        <v>75</v>
      </c>
      <c r="C24" s="119" t="s">
        <v>76</v>
      </c>
      <c r="D24" s="134"/>
      <c r="E24" s="135"/>
      <c r="F24" s="136"/>
      <c r="G24" s="136"/>
      <c r="H24" s="137"/>
      <c r="I24" s="137"/>
      <c r="J24" s="138"/>
      <c r="K24" s="139"/>
      <c r="L24" s="136"/>
      <c r="M24" s="136"/>
      <c r="N24" s="137"/>
      <c r="O24" s="137"/>
      <c r="P24" s="138"/>
      <c r="Q24" s="138"/>
      <c r="R24" s="137"/>
      <c r="S24" s="137"/>
      <c r="T24" s="140"/>
      <c r="U24" s="134"/>
      <c r="V24" s="135"/>
      <c r="W24" s="136"/>
      <c r="X24" s="136"/>
      <c r="Y24" s="137"/>
      <c r="Z24" s="137"/>
      <c r="AA24" s="138"/>
      <c r="AB24" s="139"/>
      <c r="AC24" s="136"/>
      <c r="AD24" s="136"/>
      <c r="AE24" s="137"/>
      <c r="AF24" s="137"/>
      <c r="AG24" s="138"/>
      <c r="AH24" s="138"/>
      <c r="AI24" s="137"/>
      <c r="AJ24" s="137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127"/>
      <c r="BB24" s="127"/>
      <c r="BC24" s="127"/>
      <c r="BD24" s="127"/>
      <c r="BE24" s="127"/>
      <c r="BF24" s="128"/>
      <c r="BG24" s="129"/>
      <c r="BH24" s="46"/>
      <c r="BI24" s="141">
        <f>SUMIF($D$7:$BG$7,"1",$D24:$BG24)</f>
        <v>15</v>
      </c>
      <c r="BJ24" s="142">
        <f>SUMIFS($D$9:$BG$9,$D$7:$BG$7,"1",$D24:$BG24,"&gt;"&amp;-1)</f>
        <v>15</v>
      </c>
      <c r="BK24" s="143">
        <f t="shared" si="0"/>
        <v>100</v>
      </c>
      <c r="BL24" s="144">
        <f>SUMIF($D$7:$BG$7,"2",$D24:$BG24)</f>
        <v>19</v>
      </c>
      <c r="BM24" s="142">
        <f>SUMIFS($D$9:$BG$9,$D$7:$BG$7,"2",$D24:$BG24,"&gt;"&amp;-1)</f>
        <v>20</v>
      </c>
      <c r="BN24" s="143">
        <f t="shared" si="1"/>
        <v>95</v>
      </c>
      <c r="BO24" s="144">
        <f>SUMIF($D$7:$BG$7,"3",$D24:$BG24)</f>
        <v>22</v>
      </c>
      <c r="BP24" s="142">
        <f>SUMIFS($D$9:$BG$9,$D$7:$BG$7,"3",$D24:$BG24,"&gt;"&amp;-1)</f>
        <v>25</v>
      </c>
      <c r="BQ24" s="143">
        <f t="shared" si="2"/>
        <v>88</v>
      </c>
      <c r="BR24" s="144">
        <f>SUMIF($D$7:$BG$7,"4",$D24:$BG24)</f>
        <v>10</v>
      </c>
      <c r="BS24" s="142">
        <f>SUMIFS($D$9:$BG$9,$D$7:$BG$7,"4",$D24:$BG24,"&gt;"&amp;-1)</f>
        <v>10</v>
      </c>
      <c r="BT24" s="143">
        <f t="shared" si="3"/>
        <v>100</v>
      </c>
      <c r="BU24" s="144">
        <f>SUMIF($D$7:$BG$7,"5",$D24:$BG24)</f>
        <v>10</v>
      </c>
      <c r="BV24" s="142">
        <f>SUMIFS($D$9:$BG$9,$D$7:$BG$7,"5",$D24:$BG24,"&gt;"&amp;-1)</f>
        <v>10</v>
      </c>
      <c r="BW24" s="143">
        <f t="shared" si="4"/>
        <v>100</v>
      </c>
      <c r="BX24" s="144">
        <f>SUMIF($D$7:$BG$7,"6",$D24:$BG24)</f>
        <v>0</v>
      </c>
      <c r="BY24" s="142">
        <f>SUMIFS($D$9:$BG$9,$D$7:$BG$7,"6",$D24:$BG24,"&gt;"&amp;-1)</f>
        <v>0</v>
      </c>
      <c r="BZ24" s="143">
        <f t="shared" si="5"/>
        <v>0</v>
      </c>
    </row>
    <row r="25" ht="15.75" customHeight="1" spans="1:78" x14ac:dyDescent="0.25">
      <c r="A25" s="145">
        <v>13</v>
      </c>
      <c r="B25" s="146" t="s">
        <v>77</v>
      </c>
      <c r="C25" s="119" t="s">
        <v>78</v>
      </c>
      <c r="D25" s="134"/>
      <c r="E25" s="135"/>
      <c r="F25" s="136"/>
      <c r="G25" s="136"/>
      <c r="H25" s="137"/>
      <c r="I25" s="137"/>
      <c r="J25" s="138"/>
      <c r="K25" s="139"/>
      <c r="L25" s="136"/>
      <c r="M25" s="136"/>
      <c r="N25" s="137"/>
      <c r="O25" s="137"/>
      <c r="P25" s="138"/>
      <c r="Q25" s="138"/>
      <c r="R25" s="137"/>
      <c r="S25" s="137"/>
      <c r="T25" s="140"/>
      <c r="U25" s="134"/>
      <c r="V25" s="135"/>
      <c r="W25" s="136"/>
      <c r="X25" s="136"/>
      <c r="Y25" s="137"/>
      <c r="Z25" s="137"/>
      <c r="AA25" s="138"/>
      <c r="AB25" s="139"/>
      <c r="AC25" s="136"/>
      <c r="AD25" s="136"/>
      <c r="AE25" s="137"/>
      <c r="AF25" s="137"/>
      <c r="AG25" s="138"/>
      <c r="AH25" s="138"/>
      <c r="AI25" s="137"/>
      <c r="AJ25" s="137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127"/>
      <c r="BB25" s="127"/>
      <c r="BC25" s="127"/>
      <c r="BD25" s="127"/>
      <c r="BE25" s="127"/>
      <c r="BF25" s="128"/>
      <c r="BG25" s="129"/>
      <c r="BH25" s="46"/>
      <c r="BI25" s="141">
        <f>SUMIF($D$7:$BG$7,"1",$D25:$BG25)</f>
        <v>12</v>
      </c>
      <c r="BJ25" s="142">
        <f>SUMIFS($D$9:$BG$9,$D$7:$BG$7,"1",$D25:$BG25,"&gt;"&amp;-1)</f>
        <v>15</v>
      </c>
      <c r="BK25" s="143">
        <f t="shared" si="0"/>
        <v>80</v>
      </c>
      <c r="BL25" s="144">
        <f>SUMIF($D$7:$BG$7,"2",$D25:$BG25)</f>
        <v>21</v>
      </c>
      <c r="BM25" s="142">
        <f>SUMIFS($D$9:$BG$9,$D$7:$BG$7,"2",$D25:$BG25,"&gt;"&amp;-1)</f>
        <v>25</v>
      </c>
      <c r="BN25" s="143">
        <f t="shared" si="1"/>
        <v>84</v>
      </c>
      <c r="BO25" s="144">
        <f>SUMIF($D$7:$BG$7,"3",$D25:$BG25)</f>
        <v>19</v>
      </c>
      <c r="BP25" s="142">
        <f>SUMIFS($D$9:$BG$9,$D$7:$BG$7,"3",$D25:$BG25,"&gt;"&amp;-1)</f>
        <v>25</v>
      </c>
      <c r="BQ25" s="143">
        <f t="shared" si="2"/>
        <v>76</v>
      </c>
      <c r="BR25" s="144">
        <f>SUMIF($D$7:$BG$7,"4",$D25:$BG25)</f>
        <v>10</v>
      </c>
      <c r="BS25" s="142">
        <f>SUMIFS($D$9:$BG$9,$D$7:$BG$7,"4",$D25:$BG25,"&gt;"&amp;-1)</f>
        <v>10</v>
      </c>
      <c r="BT25" s="143">
        <f t="shared" si="3"/>
        <v>100</v>
      </c>
      <c r="BU25" s="144">
        <f>SUMIF($D$7:$BG$7,"5",$D25:$BG25)</f>
        <v>10</v>
      </c>
      <c r="BV25" s="142">
        <f>SUMIFS($D$9:$BG$9,$D$7:$BG$7,"5",$D25:$BG25,"&gt;"&amp;-1)</f>
        <v>10</v>
      </c>
      <c r="BW25" s="143">
        <f t="shared" si="4"/>
        <v>100</v>
      </c>
      <c r="BX25" s="144">
        <f>SUMIF($D$7:$BG$7,"6",$D25:$BG25)</f>
        <v>0</v>
      </c>
      <c r="BY25" s="142">
        <f>SUMIFS($D$9:$BG$9,$D$7:$BG$7,"6",$D25:$BG25,"&gt;"&amp;-1)</f>
        <v>0</v>
      </c>
      <c r="BZ25" s="143">
        <f t="shared" si="5"/>
        <v>0</v>
      </c>
    </row>
    <row r="26" ht="15.75" customHeight="1" spans="1:78" x14ac:dyDescent="0.25">
      <c r="A26" s="145">
        <v>14</v>
      </c>
      <c r="B26" s="146" t="s">
        <v>79</v>
      </c>
      <c r="C26" s="119" t="s">
        <v>80</v>
      </c>
      <c r="D26" s="134"/>
      <c r="E26" s="135"/>
      <c r="F26" s="136"/>
      <c r="G26" s="136"/>
      <c r="H26" s="137"/>
      <c r="I26" s="137"/>
      <c r="J26" s="138"/>
      <c r="K26" s="139"/>
      <c r="L26" s="136"/>
      <c r="M26" s="136"/>
      <c r="N26" s="137"/>
      <c r="O26" s="137"/>
      <c r="P26" s="138"/>
      <c r="Q26" s="138"/>
      <c r="R26" s="137"/>
      <c r="S26" s="137"/>
      <c r="T26" s="140"/>
      <c r="U26" s="134"/>
      <c r="V26" s="135"/>
      <c r="W26" s="136"/>
      <c r="X26" s="136"/>
      <c r="Y26" s="137"/>
      <c r="Z26" s="137"/>
      <c r="AA26" s="138"/>
      <c r="AB26" s="139"/>
      <c r="AC26" s="136"/>
      <c r="AD26" s="136"/>
      <c r="AE26" s="137"/>
      <c r="AF26" s="137"/>
      <c r="AG26" s="138"/>
      <c r="AH26" s="138"/>
      <c r="AI26" s="137"/>
      <c r="AJ26" s="137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127"/>
      <c r="BB26" s="127"/>
      <c r="BC26" s="127"/>
      <c r="BD26" s="127"/>
      <c r="BE26" s="127"/>
      <c r="BF26" s="128"/>
      <c r="BG26" s="129"/>
      <c r="BH26" s="46"/>
      <c r="BI26" s="141">
        <f>SUMIF($D$7:$BG$7,"1",$D26:$BG26)</f>
        <v>10</v>
      </c>
      <c r="BJ26" s="142">
        <f>SUMIFS($D$9:$BG$9,$D$7:$BG$7,"1",$D26:$BG26,"&gt;"&amp;-1)</f>
        <v>10</v>
      </c>
      <c r="BK26" s="143">
        <f t="shared" si="0"/>
        <v>100</v>
      </c>
      <c r="BL26" s="144">
        <f>SUMIF($D$7:$BG$7,"2",$D26:$BG26)</f>
        <v>17</v>
      </c>
      <c r="BM26" s="142">
        <f>SUMIFS($D$9:$BG$9,$D$7:$BG$7,"2",$D26:$BG26,"&gt;"&amp;-1)</f>
        <v>20</v>
      </c>
      <c r="BN26" s="143">
        <f t="shared" si="1"/>
        <v>85</v>
      </c>
      <c r="BO26" s="144">
        <f>SUMIF($D$7:$BG$7,"3",$D26:$BG26)</f>
        <v>15</v>
      </c>
      <c r="BP26" s="142">
        <f>SUMIFS($D$9:$BG$9,$D$7:$BG$7,"3",$D26:$BG26,"&gt;"&amp;-1)</f>
        <v>15</v>
      </c>
      <c r="BQ26" s="143">
        <f t="shared" si="2"/>
        <v>100</v>
      </c>
      <c r="BR26" s="144">
        <f>SUMIF($D$7:$BG$7,"4",$D26:$BG26)</f>
        <v>10</v>
      </c>
      <c r="BS26" s="142">
        <f>SUMIFS($D$9:$BG$9,$D$7:$BG$7,"4",$D26:$BG26,"&gt;"&amp;-1)</f>
        <v>10</v>
      </c>
      <c r="BT26" s="143">
        <f t="shared" si="3"/>
        <v>100</v>
      </c>
      <c r="BU26" s="144">
        <f>SUMIF($D$7:$BG$7,"5",$D26:$BG26)</f>
        <v>10</v>
      </c>
      <c r="BV26" s="142">
        <f>SUMIFS($D$9:$BG$9,$D$7:$BG$7,"5",$D26:$BG26,"&gt;"&amp;-1)</f>
        <v>10</v>
      </c>
      <c r="BW26" s="143">
        <f t="shared" si="4"/>
        <v>100</v>
      </c>
      <c r="BX26" s="144">
        <f>SUMIF($D$7:$BG$7,"6",$D26:$BG26)</f>
        <v>0</v>
      </c>
      <c r="BY26" s="142">
        <f>SUMIFS($D$9:$BG$9,$D$7:$BG$7,"6",$D26:$BG26,"&gt;"&amp;-1)</f>
        <v>0</v>
      </c>
      <c r="BZ26" s="143">
        <f t="shared" si="5"/>
        <v>0</v>
      </c>
    </row>
    <row r="27" ht="15.75" customHeight="1" spans="1:78" x14ac:dyDescent="0.25">
      <c r="A27" s="147">
        <v>15</v>
      </c>
      <c r="B27" s="146" t="s">
        <v>81</v>
      </c>
      <c r="C27" s="119" t="s">
        <v>82</v>
      </c>
      <c r="D27" s="134"/>
      <c r="E27" s="135"/>
      <c r="F27" s="136"/>
      <c r="G27" s="136"/>
      <c r="H27" s="137"/>
      <c r="I27" s="137"/>
      <c r="J27" s="138"/>
      <c r="K27" s="139"/>
      <c r="L27" s="136"/>
      <c r="M27" s="136"/>
      <c r="N27" s="137"/>
      <c r="O27" s="137"/>
      <c r="P27" s="138"/>
      <c r="Q27" s="138"/>
      <c r="R27" s="137"/>
      <c r="S27" s="137"/>
      <c r="T27" s="140"/>
      <c r="U27" s="134"/>
      <c r="V27" s="135"/>
      <c r="W27" s="136"/>
      <c r="X27" s="136"/>
      <c r="Y27" s="137"/>
      <c r="Z27" s="137"/>
      <c r="AA27" s="138"/>
      <c r="AB27" s="139"/>
      <c r="AC27" s="136"/>
      <c r="AD27" s="136"/>
      <c r="AE27" s="137"/>
      <c r="AF27" s="137"/>
      <c r="AG27" s="138"/>
      <c r="AH27" s="138"/>
      <c r="AI27" s="137"/>
      <c r="AJ27" s="137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127"/>
      <c r="BB27" s="127"/>
      <c r="BC27" s="127"/>
      <c r="BD27" s="127"/>
      <c r="BE27" s="127"/>
      <c r="BF27" s="128"/>
      <c r="BG27" s="129"/>
      <c r="BH27" s="46"/>
      <c r="BI27" s="141">
        <f>SUMIF($D$7:$BG$7,"1",$D27:$BG27)</f>
        <v>10</v>
      </c>
      <c r="BJ27" s="142">
        <f>SUMIFS($D$9:$BG$9,$D$7:$BG$7,"1",$D27:$BG27,"&gt;"&amp;-1)</f>
        <v>10</v>
      </c>
      <c r="BK27" s="143">
        <f t="shared" si="0"/>
        <v>100</v>
      </c>
      <c r="BL27" s="144">
        <f>SUMIF($D$7:$BG$7,"2",$D27:$BG27)</f>
        <v>19</v>
      </c>
      <c r="BM27" s="142">
        <f>SUMIFS($D$9:$BG$9,$D$7:$BG$7,"2",$D27:$BG27,"&gt;"&amp;-1)</f>
        <v>22</v>
      </c>
      <c r="BN27" s="143">
        <f t="shared" si="1"/>
        <v>86.37</v>
      </c>
      <c r="BO27" s="144">
        <f>SUMIF($D$7:$BG$7,"3",$D27:$BG27)</f>
        <v>15</v>
      </c>
      <c r="BP27" s="142">
        <f>SUMIFS($D$9:$BG$9,$D$7:$BG$7,"3",$D27:$BG27,"&gt;"&amp;-1)</f>
        <v>15</v>
      </c>
      <c r="BQ27" s="143">
        <f t="shared" si="2"/>
        <v>100</v>
      </c>
      <c r="BR27" s="144">
        <f>SUMIF($D$7:$BG$7,"4",$D27:$BG27)</f>
        <v>10</v>
      </c>
      <c r="BS27" s="142">
        <f>SUMIFS($D$9:$BG$9,$D$7:$BG$7,"4",$D27:$BG27,"&gt;"&amp;-1)</f>
        <v>10</v>
      </c>
      <c r="BT27" s="143">
        <f t="shared" si="3"/>
        <v>100</v>
      </c>
      <c r="BU27" s="144">
        <f>SUMIF($D$7:$BG$7,"5",$D27:$BG27)</f>
        <v>12</v>
      </c>
      <c r="BV27" s="142">
        <f>SUMIFS($D$9:$BG$9,$D$7:$BG$7,"5",$D27:$BG27,"&gt;"&amp;-1)</f>
        <v>15</v>
      </c>
      <c r="BW27" s="143">
        <f t="shared" si="4"/>
        <v>80</v>
      </c>
      <c r="BX27" s="144">
        <f>SUMIF($D$7:$BG$7,"6",$D27:$BG27)</f>
        <v>0</v>
      </c>
      <c r="BY27" s="142">
        <f>SUMIFS($D$9:$BG$9,$D$7:$BG$7,"6",$D27:$BG27,"&gt;"&amp;-1)</f>
        <v>0</v>
      </c>
      <c r="BZ27" s="143">
        <f t="shared" si="5"/>
        <v>0</v>
      </c>
    </row>
    <row r="28" ht="15.75" customHeight="1" spans="1:78" x14ac:dyDescent="0.25">
      <c r="A28" s="147">
        <v>16</v>
      </c>
      <c r="B28" s="146" t="s">
        <v>83</v>
      </c>
      <c r="C28" s="119" t="s">
        <v>84</v>
      </c>
      <c r="D28" s="134"/>
      <c r="E28" s="135"/>
      <c r="F28" s="136"/>
      <c r="G28" s="136"/>
      <c r="H28" s="137"/>
      <c r="I28" s="137"/>
      <c r="J28" s="138"/>
      <c r="K28" s="139"/>
      <c r="L28" s="136"/>
      <c r="M28" s="136"/>
      <c r="N28" s="137"/>
      <c r="O28" s="137"/>
      <c r="P28" s="138"/>
      <c r="Q28" s="138"/>
      <c r="R28" s="137"/>
      <c r="S28" s="137"/>
      <c r="T28" s="140"/>
      <c r="U28" s="134"/>
      <c r="V28" s="135"/>
      <c r="W28" s="136"/>
      <c r="X28" s="136"/>
      <c r="Y28" s="137"/>
      <c r="Z28" s="137"/>
      <c r="AA28" s="138"/>
      <c r="AB28" s="139"/>
      <c r="AC28" s="136"/>
      <c r="AD28" s="136"/>
      <c r="AE28" s="137"/>
      <c r="AF28" s="137"/>
      <c r="AG28" s="138"/>
      <c r="AH28" s="138"/>
      <c r="AI28" s="137"/>
      <c r="AJ28" s="137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127"/>
      <c r="BB28" s="127"/>
      <c r="BC28" s="127"/>
      <c r="BD28" s="127"/>
      <c r="BE28" s="127"/>
      <c r="BF28" s="128"/>
      <c r="BG28" s="129"/>
      <c r="BH28" s="46"/>
      <c r="BI28" s="141">
        <f>SUMIF($D$7:$BG$7,"1",$D28:$BG28)</f>
        <v>15</v>
      </c>
      <c r="BJ28" s="142">
        <f>SUMIFS($D$9:$BG$9,$D$7:$BG$7,"1",$D28:$BG28,"&gt;"&amp;-1)</f>
        <v>15</v>
      </c>
      <c r="BK28" s="143">
        <f t="shared" si="0"/>
        <v>100</v>
      </c>
      <c r="BL28" s="144">
        <f>SUMIF($D$7:$BG$7,"2",$D28:$BG28)</f>
        <v>24</v>
      </c>
      <c r="BM28" s="142">
        <f>SUMIFS($D$9:$BG$9,$D$7:$BG$7,"2",$D28:$BG28,"&gt;"&amp;-1)</f>
        <v>25</v>
      </c>
      <c r="BN28" s="143">
        <f t="shared" si="1"/>
        <v>96</v>
      </c>
      <c r="BO28" s="144">
        <f>SUMIF($D$7:$BG$7,"3",$D28:$BG28)</f>
        <v>23</v>
      </c>
      <c r="BP28" s="142">
        <f>SUMIFS($D$9:$BG$9,$D$7:$BG$7,"3",$D28:$BG28,"&gt;"&amp;-1)</f>
        <v>25</v>
      </c>
      <c r="BQ28" s="143">
        <f t="shared" si="2"/>
        <v>92</v>
      </c>
      <c r="BR28" s="144">
        <f>SUMIF($D$7:$BG$7,"4",$D28:$BG28)</f>
        <v>15</v>
      </c>
      <c r="BS28" s="142">
        <f>SUMIFS($D$9:$BG$9,$D$7:$BG$7,"4",$D28:$BG28,"&gt;"&amp;-1)</f>
        <v>15</v>
      </c>
      <c r="BT28" s="143">
        <f t="shared" si="3"/>
        <v>100</v>
      </c>
      <c r="BU28" s="144">
        <f>SUMIF($D$7:$BG$7,"5",$D28:$BG28)</f>
        <v>14</v>
      </c>
      <c r="BV28" s="142">
        <f>SUMIFS($D$9:$BG$9,$D$7:$BG$7,"5",$D28:$BG28,"&gt;"&amp;-1)</f>
        <v>20</v>
      </c>
      <c r="BW28" s="143">
        <f t="shared" si="4"/>
        <v>70</v>
      </c>
      <c r="BX28" s="144">
        <f>SUMIF($D$7:$BG$7,"6",$D28:$BG28)</f>
        <v>0</v>
      </c>
      <c r="BY28" s="142">
        <f>SUMIFS($D$9:$BG$9,$D$7:$BG$7,"6",$D28:$BG28,"&gt;"&amp;-1)</f>
        <v>0</v>
      </c>
      <c r="BZ28" s="143">
        <f t="shared" si="5"/>
        <v>0</v>
      </c>
    </row>
    <row r="29" ht="15.75" customHeight="1" spans="1:78" x14ac:dyDescent="0.25">
      <c r="A29" s="147">
        <v>17</v>
      </c>
      <c r="B29" s="146" t="s">
        <v>85</v>
      </c>
      <c r="C29" s="119" t="s">
        <v>86</v>
      </c>
      <c r="D29" s="134"/>
      <c r="E29" s="135"/>
      <c r="F29" s="136"/>
      <c r="G29" s="136"/>
      <c r="H29" s="137"/>
      <c r="I29" s="137"/>
      <c r="J29" s="138"/>
      <c r="K29" s="139"/>
      <c r="L29" s="136"/>
      <c r="M29" s="136"/>
      <c r="N29" s="137"/>
      <c r="O29" s="137"/>
      <c r="P29" s="138"/>
      <c r="Q29" s="138"/>
      <c r="R29" s="137"/>
      <c r="S29" s="137"/>
      <c r="T29" s="140"/>
      <c r="U29" s="134"/>
      <c r="V29" s="135"/>
      <c r="W29" s="136"/>
      <c r="X29" s="136"/>
      <c r="Y29" s="137"/>
      <c r="Z29" s="137"/>
      <c r="AA29" s="138"/>
      <c r="AB29" s="139"/>
      <c r="AC29" s="136"/>
      <c r="AD29" s="136"/>
      <c r="AE29" s="137"/>
      <c r="AF29" s="137"/>
      <c r="AG29" s="138"/>
      <c r="AH29" s="138"/>
      <c r="AI29" s="137"/>
      <c r="AJ29" s="137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127"/>
      <c r="BB29" s="127"/>
      <c r="BC29" s="127"/>
      <c r="BD29" s="127"/>
      <c r="BE29" s="127"/>
      <c r="BF29" s="128"/>
      <c r="BG29" s="129"/>
      <c r="BH29" s="46"/>
      <c r="BI29" s="141">
        <f>SUMIF($D$7:$BG$7,"1",$D29:$BG29)</f>
        <v>14</v>
      </c>
      <c r="BJ29" s="142">
        <f>SUMIFS($D$9:$BG$9,$D$7:$BG$7,"1",$D29:$BG29,"&gt;"&amp;-1)</f>
        <v>15</v>
      </c>
      <c r="BK29" s="143">
        <f t="shared" si="0"/>
        <v>93.34</v>
      </c>
      <c r="BL29" s="144">
        <f>SUMIF($D$7:$BG$7,"2",$D29:$BG29)</f>
        <v>23</v>
      </c>
      <c r="BM29" s="142">
        <f>SUMIFS($D$9:$BG$9,$D$7:$BG$7,"2",$D29:$BG29,"&gt;"&amp;-1)</f>
        <v>25</v>
      </c>
      <c r="BN29" s="143">
        <f t="shared" si="1"/>
        <v>92</v>
      </c>
      <c r="BO29" s="144">
        <f>SUMIF($D$7:$BG$7,"3",$D29:$BG29)</f>
        <v>24</v>
      </c>
      <c r="BP29" s="142">
        <f>SUMIFS($D$9:$BG$9,$D$7:$BG$7,"3",$D29:$BG29,"&gt;"&amp;-1)</f>
        <v>25</v>
      </c>
      <c r="BQ29" s="143">
        <f t="shared" si="2"/>
        <v>96</v>
      </c>
      <c r="BR29" s="144">
        <f>SUMIF($D$7:$BG$7,"4",$D29:$BG29)</f>
        <v>15</v>
      </c>
      <c r="BS29" s="142">
        <f>SUMIFS($D$9:$BG$9,$D$7:$BG$7,"4",$D29:$BG29,"&gt;"&amp;-1)</f>
        <v>15</v>
      </c>
      <c r="BT29" s="143">
        <f t="shared" si="3"/>
        <v>100</v>
      </c>
      <c r="BU29" s="144">
        <f>SUMIF($D$7:$BG$7,"5",$D29:$BG29)</f>
        <v>14</v>
      </c>
      <c r="BV29" s="142">
        <f>SUMIFS($D$9:$BG$9,$D$7:$BG$7,"5",$D29:$BG29,"&gt;"&amp;-1)</f>
        <v>20</v>
      </c>
      <c r="BW29" s="143">
        <f t="shared" si="4"/>
        <v>70</v>
      </c>
      <c r="BX29" s="144">
        <f>SUMIF($D$7:$BG$7,"6",$D29:$BG29)</f>
        <v>0</v>
      </c>
      <c r="BY29" s="142">
        <f>SUMIFS($D$9:$BG$9,$D$7:$BG$7,"6",$D29:$BG29,"&gt;"&amp;-1)</f>
        <v>0</v>
      </c>
      <c r="BZ29" s="143">
        <f t="shared" si="5"/>
        <v>0</v>
      </c>
    </row>
    <row r="30" ht="15.75" customHeight="1" spans="1:78" x14ac:dyDescent="0.25">
      <c r="A30" s="147">
        <v>18</v>
      </c>
      <c r="B30" s="146" t="s">
        <v>87</v>
      </c>
      <c r="C30" s="119" t="s">
        <v>88</v>
      </c>
      <c r="D30" s="134"/>
      <c r="E30" s="135"/>
      <c r="F30" s="136"/>
      <c r="G30" s="136"/>
      <c r="H30" s="137"/>
      <c r="I30" s="137"/>
      <c r="J30" s="138"/>
      <c r="K30" s="139"/>
      <c r="L30" s="136"/>
      <c r="M30" s="136"/>
      <c r="N30" s="137"/>
      <c r="O30" s="137"/>
      <c r="P30" s="138"/>
      <c r="Q30" s="138"/>
      <c r="R30" s="137"/>
      <c r="S30" s="137"/>
      <c r="T30" s="140"/>
      <c r="U30" s="134"/>
      <c r="V30" s="135"/>
      <c r="W30" s="136"/>
      <c r="X30" s="136"/>
      <c r="Y30" s="137"/>
      <c r="Z30" s="137"/>
      <c r="AA30" s="138"/>
      <c r="AB30" s="139"/>
      <c r="AC30" s="136"/>
      <c r="AD30" s="136"/>
      <c r="AE30" s="137"/>
      <c r="AF30" s="137"/>
      <c r="AG30" s="138"/>
      <c r="AH30" s="138"/>
      <c r="AI30" s="137"/>
      <c r="AJ30" s="13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127"/>
      <c r="BB30" s="127"/>
      <c r="BC30" s="127"/>
      <c r="BD30" s="127"/>
      <c r="BE30" s="127"/>
      <c r="BF30" s="128"/>
      <c r="BG30" s="129"/>
      <c r="BH30" s="46"/>
      <c r="BI30" s="141">
        <f>SUMIF($D$7:$BG$7,"1",$D30:$BG30)</f>
        <v>12</v>
      </c>
      <c r="BJ30" s="142">
        <f>SUMIFS($D$9:$BG$9,$D$7:$BG$7,"1",$D30:$BG30,"&gt;"&amp;-1)</f>
        <v>15</v>
      </c>
      <c r="BK30" s="143">
        <f t="shared" si="0"/>
        <v>80</v>
      </c>
      <c r="BL30" s="144">
        <f>SUMIF($D$7:$BG$7,"2",$D30:$BG30)</f>
        <v>17</v>
      </c>
      <c r="BM30" s="142">
        <f>SUMIFS($D$9:$BG$9,$D$7:$BG$7,"2",$D30:$BG30,"&gt;"&amp;-1)</f>
        <v>20</v>
      </c>
      <c r="BN30" s="143">
        <f t="shared" si="1"/>
        <v>85</v>
      </c>
      <c r="BO30" s="144">
        <f>SUMIF($D$7:$BG$7,"3",$D30:$BG30)</f>
        <v>29</v>
      </c>
      <c r="BP30" s="142">
        <f>SUMIFS($D$9:$BG$9,$D$7:$BG$7,"3",$D30:$BG30,"&gt;"&amp;-1)</f>
        <v>30</v>
      </c>
      <c r="BQ30" s="143">
        <f t="shared" si="2"/>
        <v>96.67</v>
      </c>
      <c r="BR30" s="144">
        <f>SUMIF($D$7:$BG$7,"4",$D30:$BG30)</f>
        <v>15</v>
      </c>
      <c r="BS30" s="142">
        <f>SUMIFS($D$9:$BG$9,$D$7:$BG$7,"4",$D30:$BG30,"&gt;"&amp;-1)</f>
        <v>15</v>
      </c>
      <c r="BT30" s="143">
        <f t="shared" si="3"/>
        <v>100</v>
      </c>
      <c r="BU30" s="144">
        <f>SUMIF($D$7:$BG$7,"5",$D30:$BG30)</f>
        <v>10</v>
      </c>
      <c r="BV30" s="142">
        <f>SUMIFS($D$9:$BG$9,$D$7:$BG$7,"5",$D30:$BG30,"&gt;"&amp;-1)</f>
        <v>10</v>
      </c>
      <c r="BW30" s="143">
        <f t="shared" si="4"/>
        <v>100</v>
      </c>
      <c r="BX30" s="144">
        <f>SUMIF($D$7:$BG$7,"6",$D30:$BG30)</f>
        <v>0</v>
      </c>
      <c r="BY30" s="142">
        <f>SUMIFS($D$9:$BG$9,$D$7:$BG$7,"6",$D30:$BG30,"&gt;"&amp;-1)</f>
        <v>0</v>
      </c>
      <c r="BZ30" s="143">
        <f t="shared" si="5"/>
        <v>0</v>
      </c>
    </row>
    <row r="31" ht="15.75" customHeight="1" spans="1:78" x14ac:dyDescent="0.25">
      <c r="A31" s="147">
        <v>19</v>
      </c>
      <c r="B31" s="146" t="s">
        <v>89</v>
      </c>
      <c r="C31" s="119" t="s">
        <v>90</v>
      </c>
      <c r="D31" s="134"/>
      <c r="E31" s="135"/>
      <c r="F31" s="136"/>
      <c r="G31" s="136"/>
      <c r="H31" s="137"/>
      <c r="I31" s="137"/>
      <c r="J31" s="138"/>
      <c r="K31" s="139"/>
      <c r="L31" s="136"/>
      <c r="M31" s="136"/>
      <c r="N31" s="137"/>
      <c r="O31" s="137"/>
      <c r="P31" s="138"/>
      <c r="Q31" s="138"/>
      <c r="R31" s="137"/>
      <c r="S31" s="137"/>
      <c r="T31" s="140"/>
      <c r="U31" s="134"/>
      <c r="V31" s="135"/>
      <c r="W31" s="136"/>
      <c r="X31" s="136"/>
      <c r="Y31" s="137"/>
      <c r="Z31" s="137"/>
      <c r="AA31" s="138"/>
      <c r="AB31" s="139"/>
      <c r="AC31" s="136"/>
      <c r="AD31" s="136"/>
      <c r="AE31" s="137"/>
      <c r="AF31" s="137"/>
      <c r="AG31" s="138"/>
      <c r="AH31" s="138"/>
      <c r="AI31" s="137"/>
      <c r="AJ31" s="137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127"/>
      <c r="BB31" s="127"/>
      <c r="BC31" s="127"/>
      <c r="BD31" s="127"/>
      <c r="BE31" s="127"/>
      <c r="BF31" s="128"/>
      <c r="BG31" s="129"/>
      <c r="BH31" s="46"/>
      <c r="BI31" s="141">
        <f>SUMIF($D$7:$BG$7,"1",$D31:$BG31)</f>
        <v>15</v>
      </c>
      <c r="BJ31" s="142">
        <f>SUMIFS($D$9:$BG$9,$D$7:$BG$7,"1",$D31:$BG31,"&gt;"&amp;-1)</f>
        <v>15</v>
      </c>
      <c r="BK31" s="143">
        <f t="shared" si="0"/>
        <v>100</v>
      </c>
      <c r="BL31" s="144">
        <f>SUMIF($D$7:$BG$7,"2",$D31:$BG31)</f>
        <v>30</v>
      </c>
      <c r="BM31" s="142">
        <f>SUMIFS($D$9:$BG$9,$D$7:$BG$7,"2",$D31:$BG31,"&gt;"&amp;-1)</f>
        <v>30</v>
      </c>
      <c r="BN31" s="143">
        <f t="shared" si="1"/>
        <v>100</v>
      </c>
      <c r="BO31" s="144">
        <f>SUMIF($D$7:$BG$7,"3",$D31:$BG31)</f>
        <v>22</v>
      </c>
      <c r="BP31" s="142">
        <f>SUMIFS($D$9:$BG$9,$D$7:$BG$7,"3",$D31:$BG31,"&gt;"&amp;-1)</f>
        <v>25</v>
      </c>
      <c r="BQ31" s="143">
        <f t="shared" si="2"/>
        <v>88</v>
      </c>
      <c r="BR31" s="144">
        <f>SUMIF($D$7:$BG$7,"4",$D31:$BG31)</f>
        <v>15</v>
      </c>
      <c r="BS31" s="142">
        <f>SUMIFS($D$9:$BG$9,$D$7:$BG$7,"4",$D31:$BG31,"&gt;"&amp;-1)</f>
        <v>15</v>
      </c>
      <c r="BT31" s="143">
        <f t="shared" si="3"/>
        <v>100</v>
      </c>
      <c r="BU31" s="144">
        <f>SUMIF($D$7:$BG$7,"5",$D31:$BG31)</f>
        <v>15</v>
      </c>
      <c r="BV31" s="142">
        <f>SUMIFS($D$9:$BG$9,$D$7:$BG$7,"5",$D31:$BG31,"&gt;"&amp;-1)</f>
        <v>20</v>
      </c>
      <c r="BW31" s="143">
        <f t="shared" si="4"/>
        <v>75</v>
      </c>
      <c r="BX31" s="144">
        <f>SUMIF($D$7:$BG$7,"6",$D31:$BG31)</f>
        <v>0</v>
      </c>
      <c r="BY31" s="142">
        <f>SUMIFS($D$9:$BG$9,$D$7:$BG$7,"6",$D31:$BG31,"&gt;"&amp;-1)</f>
        <v>0</v>
      </c>
      <c r="BZ31" s="143">
        <f t="shared" si="5"/>
        <v>0</v>
      </c>
    </row>
    <row r="32" ht="15.75" customHeight="1" spans="1:78" x14ac:dyDescent="0.25">
      <c r="A32" s="148">
        <v>20</v>
      </c>
      <c r="B32" s="148" t="s">
        <v>91</v>
      </c>
      <c r="C32" s="119" t="s">
        <v>92</v>
      </c>
      <c r="D32" s="134"/>
      <c r="E32" s="135"/>
      <c r="F32" s="136"/>
      <c r="G32" s="136"/>
      <c r="H32" s="137"/>
      <c r="I32" s="137"/>
      <c r="J32" s="138"/>
      <c r="K32" s="139"/>
      <c r="L32" s="136"/>
      <c r="M32" s="136"/>
      <c r="N32" s="137"/>
      <c r="O32" s="137"/>
      <c r="P32" s="138"/>
      <c r="Q32" s="138"/>
      <c r="R32" s="137"/>
      <c r="S32" s="137"/>
      <c r="T32" s="140"/>
      <c r="U32" s="134"/>
      <c r="V32" s="135"/>
      <c r="W32" s="136"/>
      <c r="X32" s="136"/>
      <c r="Y32" s="137"/>
      <c r="Z32" s="137"/>
      <c r="AA32" s="138"/>
      <c r="AB32" s="139"/>
      <c r="AC32" s="136"/>
      <c r="AD32" s="136"/>
      <c r="AE32" s="137"/>
      <c r="AF32" s="137"/>
      <c r="AG32" s="138"/>
      <c r="AH32" s="138"/>
      <c r="AI32" s="137"/>
      <c r="AJ32" s="137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127"/>
      <c r="BB32" s="127"/>
      <c r="BC32" s="127"/>
      <c r="BD32" s="127"/>
      <c r="BE32" s="127"/>
      <c r="BF32" s="128"/>
      <c r="BG32" s="129"/>
      <c r="BH32" s="46"/>
      <c r="BI32" s="141">
        <f>SUMIF($D$7:$BG$7,"1",$D32:$BG32)</f>
        <v>15</v>
      </c>
      <c r="BJ32" s="142">
        <f>SUMIFS($D$9:$BG$9,$D$7:$BG$7,"1",$D32:$BG32,"&gt;"&amp;-1)</f>
        <v>15</v>
      </c>
      <c r="BK32" s="143">
        <f t="shared" si="0"/>
        <v>100</v>
      </c>
      <c r="BL32" s="144">
        <f>SUMIF($D$7:$BG$7,"2",$D32:$BG32)</f>
        <v>31</v>
      </c>
      <c r="BM32" s="142">
        <f>SUMIFS($D$9:$BG$9,$D$7:$BG$7,"2",$D32:$BG32,"&gt;"&amp;-1)</f>
        <v>30</v>
      </c>
      <c r="BN32" s="143">
        <f t="shared" si="1"/>
        <v>103.34</v>
      </c>
      <c r="BO32" s="144">
        <f>SUMIF($D$7:$BG$7,"3",$D32:$BG32)</f>
        <v>29</v>
      </c>
      <c r="BP32" s="142">
        <f>SUMIFS($D$9:$BG$9,$D$7:$BG$7,"3",$D32:$BG32,"&gt;"&amp;-1)</f>
        <v>30</v>
      </c>
      <c r="BQ32" s="143">
        <f t="shared" si="2"/>
        <v>96.67</v>
      </c>
      <c r="BR32" s="144">
        <f>SUMIF($D$7:$BG$7,"4",$D32:$BG32)</f>
        <v>15</v>
      </c>
      <c r="BS32" s="142">
        <f>SUMIFS($D$9:$BG$9,$D$7:$BG$7,"4",$D32:$BG32,"&gt;"&amp;-1)</f>
        <v>15</v>
      </c>
      <c r="BT32" s="143">
        <f t="shared" si="3"/>
        <v>100</v>
      </c>
      <c r="BU32" s="144">
        <f>SUMIF($D$7:$BG$7,"5",$D32:$BG32)</f>
        <v>17</v>
      </c>
      <c r="BV32" s="142">
        <f>SUMIFS($D$9:$BG$9,$D$7:$BG$7,"5",$D32:$BG32,"&gt;"&amp;-1)</f>
        <v>20</v>
      </c>
      <c r="BW32" s="143">
        <f t="shared" si="4"/>
        <v>85</v>
      </c>
      <c r="BX32" s="144">
        <f>SUMIF($D$7:$BG$7,"6",$D32:$BG32)</f>
        <v>0</v>
      </c>
      <c r="BY32" s="142">
        <f>SUMIFS($D$9:$BG$9,$D$7:$BG$7,"6",$D32:$BG32,"&gt;"&amp;-1)</f>
        <v>0</v>
      </c>
      <c r="BZ32" s="143">
        <f t="shared" si="5"/>
        <v>0</v>
      </c>
    </row>
    <row r="33" ht="15.75" customHeight="1" spans="1:78" x14ac:dyDescent="0.25">
      <c r="A33" s="148">
        <v>21</v>
      </c>
      <c r="B33" s="148" t="s">
        <v>93</v>
      </c>
      <c r="C33" s="119" t="s">
        <v>94</v>
      </c>
      <c r="D33" s="134"/>
      <c r="E33" s="135"/>
      <c r="F33" s="136"/>
      <c r="G33" s="136"/>
      <c r="H33" s="137"/>
      <c r="I33" s="137"/>
      <c r="J33" s="138"/>
      <c r="K33" s="139"/>
      <c r="L33" s="136"/>
      <c r="M33" s="136"/>
      <c r="N33" s="137"/>
      <c r="O33" s="137"/>
      <c r="P33" s="138"/>
      <c r="Q33" s="138"/>
      <c r="R33" s="137"/>
      <c r="S33" s="137"/>
      <c r="T33" s="140"/>
      <c r="U33" s="134"/>
      <c r="V33" s="135"/>
      <c r="W33" s="136"/>
      <c r="X33" s="136"/>
      <c r="Y33" s="137"/>
      <c r="Z33" s="137"/>
      <c r="AA33" s="138"/>
      <c r="AB33" s="139"/>
      <c r="AC33" s="136"/>
      <c r="AD33" s="136"/>
      <c r="AE33" s="137"/>
      <c r="AF33" s="137"/>
      <c r="AG33" s="138"/>
      <c r="AH33" s="138"/>
      <c r="AI33" s="137"/>
      <c r="AJ33" s="13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127"/>
      <c r="BB33" s="127"/>
      <c r="BC33" s="127"/>
      <c r="BD33" s="127"/>
      <c r="BE33" s="127"/>
      <c r="BF33" s="128"/>
      <c r="BG33" s="129"/>
      <c r="BH33" s="46"/>
      <c r="BI33" s="141">
        <f>SUMIF($D$7:$BG$7,"1",$D33:$BG33)</f>
        <v>10</v>
      </c>
      <c r="BJ33" s="142">
        <f>SUMIFS($D$9:$BG$9,$D$7:$BG$7,"1",$D33:$BG33,"&gt;"&amp;-1)</f>
        <v>10</v>
      </c>
      <c r="BK33" s="143">
        <f t="shared" si="0"/>
        <v>100</v>
      </c>
      <c r="BL33" s="144">
        <f>SUMIF($D$7:$BG$7,"2",$D33:$BG33)</f>
        <v>27</v>
      </c>
      <c r="BM33" s="142">
        <f>SUMIFS($D$9:$BG$9,$D$7:$BG$7,"2",$D33:$BG33,"&gt;"&amp;-1)</f>
        <v>28</v>
      </c>
      <c r="BN33" s="143">
        <f t="shared" si="1"/>
        <v>96.43</v>
      </c>
      <c r="BO33" s="144">
        <f>SUMIF($D$7:$BG$7,"3",$D33:$BG33)</f>
        <v>29</v>
      </c>
      <c r="BP33" s="142">
        <f>SUMIFS($D$9:$BG$9,$D$7:$BG$7,"3",$D33:$BG33,"&gt;"&amp;-1)</f>
        <v>30</v>
      </c>
      <c r="BQ33" s="143">
        <f t="shared" si="2"/>
        <v>96.67</v>
      </c>
      <c r="BR33" s="144">
        <f>SUMIF($D$7:$BG$7,"4",$D33:$BG33)</f>
        <v>10</v>
      </c>
      <c r="BS33" s="142">
        <f>SUMIFS($D$9:$BG$9,$D$7:$BG$7,"4",$D33:$BG33,"&gt;"&amp;-1)</f>
        <v>10</v>
      </c>
      <c r="BT33" s="143">
        <f t="shared" si="3"/>
        <v>100</v>
      </c>
      <c r="BU33" s="144">
        <f>SUMIF($D$7:$BG$7,"5",$D33:$BG33)</f>
        <v>12</v>
      </c>
      <c r="BV33" s="142">
        <f>SUMIFS($D$9:$BG$9,$D$7:$BG$7,"5",$D33:$BG33,"&gt;"&amp;-1)</f>
        <v>15</v>
      </c>
      <c r="BW33" s="143">
        <f t="shared" si="4"/>
        <v>80</v>
      </c>
      <c r="BX33" s="144">
        <f>SUMIF($D$7:$BG$7,"6",$D33:$BG33)</f>
        <v>0</v>
      </c>
      <c r="BY33" s="142">
        <f>SUMIFS($D$9:$BG$9,$D$7:$BG$7,"6",$D33:$BG33,"&gt;"&amp;-1)</f>
        <v>0</v>
      </c>
      <c r="BZ33" s="143">
        <f t="shared" si="5"/>
        <v>0</v>
      </c>
    </row>
    <row r="34" ht="15.75" customHeight="1" spans="1:78" x14ac:dyDescent="0.25">
      <c r="A34" s="148">
        <v>22</v>
      </c>
      <c r="B34" s="148" t="s">
        <v>95</v>
      </c>
      <c r="C34" s="119" t="s">
        <v>96</v>
      </c>
      <c r="D34" s="134"/>
      <c r="E34" s="135"/>
      <c r="F34" s="136"/>
      <c r="G34" s="136"/>
      <c r="H34" s="137"/>
      <c r="I34" s="137"/>
      <c r="J34" s="138"/>
      <c r="K34" s="139"/>
      <c r="L34" s="136"/>
      <c r="M34" s="136"/>
      <c r="N34" s="137"/>
      <c r="O34" s="137"/>
      <c r="P34" s="138"/>
      <c r="Q34" s="138"/>
      <c r="R34" s="137"/>
      <c r="S34" s="137"/>
      <c r="T34" s="140"/>
      <c r="U34" s="134"/>
      <c r="V34" s="135"/>
      <c r="W34" s="136"/>
      <c r="X34" s="136"/>
      <c r="Y34" s="137"/>
      <c r="Z34" s="137"/>
      <c r="AA34" s="138"/>
      <c r="AB34" s="139"/>
      <c r="AC34" s="136"/>
      <c r="AD34" s="136"/>
      <c r="AE34" s="137"/>
      <c r="AF34" s="137"/>
      <c r="AG34" s="138"/>
      <c r="AH34" s="138"/>
      <c r="AI34" s="137"/>
      <c r="AJ34" s="137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127"/>
      <c r="BB34" s="127"/>
      <c r="BC34" s="127"/>
      <c r="BD34" s="127"/>
      <c r="BE34" s="127"/>
      <c r="BF34" s="128"/>
      <c r="BG34" s="129"/>
      <c r="BH34" s="46"/>
      <c r="BI34" s="141">
        <f>SUMIF($D$7:$BG$7,"1",$D34:$BG34)</f>
        <v>15</v>
      </c>
      <c r="BJ34" s="142">
        <f>SUMIFS($D$9:$BG$9,$D$7:$BG$7,"1",$D34:$BG34,"&gt;"&amp;-1)</f>
        <v>15</v>
      </c>
      <c r="BK34" s="143">
        <f t="shared" si="0"/>
        <v>100</v>
      </c>
      <c r="BL34" s="144">
        <f>SUMIF($D$7:$BG$7,"2",$D34:$BG34)</f>
        <v>24</v>
      </c>
      <c r="BM34" s="142">
        <f>SUMIFS($D$9:$BG$9,$D$7:$BG$7,"2",$D34:$BG34,"&gt;"&amp;-1)</f>
        <v>25</v>
      </c>
      <c r="BN34" s="143">
        <f t="shared" si="1"/>
        <v>96</v>
      </c>
      <c r="BO34" s="144">
        <f>SUMIF($D$7:$BG$7,"3",$D34:$BG34)</f>
        <v>20</v>
      </c>
      <c r="BP34" s="142">
        <f>SUMIFS($D$9:$BG$9,$D$7:$BG$7,"3",$D34:$BG34,"&gt;"&amp;-1)</f>
        <v>20</v>
      </c>
      <c r="BQ34" s="143">
        <f t="shared" si="2"/>
        <v>100</v>
      </c>
      <c r="BR34" s="144">
        <f>SUMIF($D$7:$BG$7,"4",$D34:$BG34)</f>
        <v>15</v>
      </c>
      <c r="BS34" s="142">
        <f>SUMIFS($D$9:$BG$9,$D$7:$BG$7,"4",$D34:$BG34,"&gt;"&amp;-1)</f>
        <v>15</v>
      </c>
      <c r="BT34" s="143">
        <f t="shared" si="3"/>
        <v>100</v>
      </c>
      <c r="BU34" s="144">
        <f>SUMIF($D$7:$BG$7,"5",$D34:$BG34)</f>
        <v>14</v>
      </c>
      <c r="BV34" s="142">
        <f>SUMIFS($D$9:$BG$9,$D$7:$BG$7,"5",$D34:$BG34,"&gt;"&amp;-1)</f>
        <v>20</v>
      </c>
      <c r="BW34" s="143">
        <f t="shared" si="4"/>
        <v>70</v>
      </c>
      <c r="BX34" s="144">
        <f>SUMIF($D$7:$BG$7,"6",$D34:$BG34)</f>
        <v>0</v>
      </c>
      <c r="BY34" s="142">
        <f>SUMIFS($D$9:$BG$9,$D$7:$BG$7,"6",$D34:$BG34,"&gt;"&amp;-1)</f>
        <v>0</v>
      </c>
      <c r="BZ34" s="143">
        <f t="shared" si="5"/>
        <v>0</v>
      </c>
    </row>
    <row r="35" ht="15.75" customHeight="1" spans="1:78" x14ac:dyDescent="0.25">
      <c r="A35" s="149">
        <v>23</v>
      </c>
      <c r="B35" s="148" t="s">
        <v>97</v>
      </c>
      <c r="C35" s="119" t="s">
        <v>98</v>
      </c>
      <c r="D35" s="134"/>
      <c r="E35" s="135"/>
      <c r="F35" s="136"/>
      <c r="G35" s="136"/>
      <c r="H35" s="137"/>
      <c r="I35" s="137"/>
      <c r="J35" s="138"/>
      <c r="K35" s="139"/>
      <c r="L35" s="136"/>
      <c r="M35" s="136"/>
      <c r="N35" s="137"/>
      <c r="O35" s="137"/>
      <c r="P35" s="138"/>
      <c r="Q35" s="138"/>
      <c r="R35" s="137"/>
      <c r="S35" s="137"/>
      <c r="T35" s="140"/>
      <c r="U35" s="134"/>
      <c r="V35" s="135"/>
      <c r="W35" s="136"/>
      <c r="X35" s="136"/>
      <c r="Y35" s="137"/>
      <c r="Z35" s="137"/>
      <c r="AA35" s="138"/>
      <c r="AB35" s="139"/>
      <c r="AC35" s="136"/>
      <c r="AD35" s="136"/>
      <c r="AE35" s="137"/>
      <c r="AF35" s="137"/>
      <c r="AG35" s="138"/>
      <c r="AH35" s="138"/>
      <c r="AI35" s="137"/>
      <c r="AJ35" s="137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127"/>
      <c r="BB35" s="127"/>
      <c r="BC35" s="127"/>
      <c r="BD35" s="127"/>
      <c r="BE35" s="127"/>
      <c r="BF35" s="128"/>
      <c r="BG35" s="129"/>
      <c r="BH35" s="46"/>
      <c r="BI35" s="141">
        <f>SUMIF($D$7:$BG$7,"1",$D35:$BG35)</f>
        <v>10</v>
      </c>
      <c r="BJ35" s="142">
        <f>SUMIFS($D$9:$BG$9,$D$7:$BG$7,"1",$D35:$BG35,"&gt;"&amp;-1)</f>
        <v>10</v>
      </c>
      <c r="BK35" s="143">
        <f t="shared" si="0"/>
        <v>100</v>
      </c>
      <c r="BL35" s="144">
        <f>SUMIF($D$7:$BG$7,"2",$D35:$BG35)</f>
        <v>21</v>
      </c>
      <c r="BM35" s="142">
        <f>SUMIFS($D$9:$BG$9,$D$7:$BG$7,"2",$D35:$BG35,"&gt;"&amp;-1)</f>
        <v>22</v>
      </c>
      <c r="BN35" s="143">
        <f t="shared" si="1"/>
        <v>95.46000000000001</v>
      </c>
      <c r="BO35" s="144">
        <f>SUMIF($D$7:$BG$7,"3",$D35:$BG35)</f>
        <v>18</v>
      </c>
      <c r="BP35" s="142">
        <f>SUMIFS($D$9:$BG$9,$D$7:$BG$7,"3",$D35:$BG35,"&gt;"&amp;-1)</f>
        <v>25</v>
      </c>
      <c r="BQ35" s="143">
        <f t="shared" si="2"/>
        <v>72</v>
      </c>
      <c r="BR35" s="144">
        <f>SUMIF($D$7:$BG$7,"4",$D35:$BG35)</f>
        <v>10</v>
      </c>
      <c r="BS35" s="142">
        <f>SUMIFS($D$9:$BG$9,$D$7:$BG$7,"4",$D35:$BG35,"&gt;"&amp;-1)</f>
        <v>10</v>
      </c>
      <c r="BT35" s="143">
        <f t="shared" si="3"/>
        <v>100</v>
      </c>
      <c r="BU35" s="144">
        <f>SUMIF($D$7:$BG$7,"5",$D35:$BG35)</f>
        <v>11</v>
      </c>
      <c r="BV35" s="142">
        <f>SUMIFS($D$9:$BG$9,$D$7:$BG$7,"5",$D35:$BG35,"&gt;"&amp;-1)</f>
        <v>15</v>
      </c>
      <c r="BW35" s="143">
        <f t="shared" si="4"/>
        <v>73.34</v>
      </c>
      <c r="BX35" s="144">
        <f>SUMIF($D$7:$BG$7,"6",$D35:$BG35)</f>
        <v>0</v>
      </c>
      <c r="BY35" s="142">
        <f>SUMIFS($D$9:$BG$9,$D$7:$BG$7,"6",$D35:$BG35,"&gt;"&amp;-1)</f>
        <v>0</v>
      </c>
      <c r="BZ35" s="143">
        <f t="shared" si="5"/>
        <v>0</v>
      </c>
    </row>
    <row r="36" ht="15.75" customHeight="1" spans="1:78" x14ac:dyDescent="0.25">
      <c r="A36" s="149">
        <v>24</v>
      </c>
      <c r="B36" s="148" t="s">
        <v>99</v>
      </c>
      <c r="C36" s="119" t="s">
        <v>100</v>
      </c>
      <c r="D36" s="134"/>
      <c r="E36" s="135"/>
      <c r="F36" s="136"/>
      <c r="G36" s="136"/>
      <c r="H36" s="137"/>
      <c r="I36" s="137"/>
      <c r="J36" s="138"/>
      <c r="K36" s="139"/>
      <c r="L36" s="136"/>
      <c r="M36" s="136"/>
      <c r="N36" s="137"/>
      <c r="O36" s="137"/>
      <c r="P36" s="138"/>
      <c r="Q36" s="138"/>
      <c r="R36" s="137"/>
      <c r="S36" s="137"/>
      <c r="T36" s="140"/>
      <c r="U36" s="134"/>
      <c r="V36" s="135"/>
      <c r="W36" s="136"/>
      <c r="X36" s="136"/>
      <c r="Y36" s="137"/>
      <c r="Z36" s="137"/>
      <c r="AA36" s="138"/>
      <c r="AB36" s="139"/>
      <c r="AC36" s="136"/>
      <c r="AD36" s="136"/>
      <c r="AE36" s="137"/>
      <c r="AF36" s="137"/>
      <c r="AG36" s="138"/>
      <c r="AH36" s="138"/>
      <c r="AI36" s="137"/>
      <c r="AJ36" s="137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127"/>
      <c r="BB36" s="127"/>
      <c r="BC36" s="127"/>
      <c r="BD36" s="127"/>
      <c r="BE36" s="127"/>
      <c r="BF36" s="128"/>
      <c r="BG36" s="129"/>
      <c r="BH36" s="46"/>
      <c r="BI36" s="141">
        <f>SUMIF($D$7:$BG$7,"1",$D36:$BG36)</f>
        <v>10</v>
      </c>
      <c r="BJ36" s="142">
        <f>SUMIFS($D$9:$BG$9,$D$7:$BG$7,"1",$D36:$BG36,"&gt;"&amp;-1)</f>
        <v>10</v>
      </c>
      <c r="BK36" s="143">
        <f t="shared" si="0"/>
        <v>100</v>
      </c>
      <c r="BL36" s="144">
        <f>SUMIF($D$7:$BG$7,"2",$D36:$BG36)</f>
        <v>20</v>
      </c>
      <c r="BM36" s="142">
        <f>SUMIFS($D$9:$BG$9,$D$7:$BG$7,"2",$D36:$BG36,"&gt;"&amp;-1)</f>
        <v>20</v>
      </c>
      <c r="BN36" s="143">
        <f t="shared" si="1"/>
        <v>100</v>
      </c>
      <c r="BO36" s="144">
        <f>SUMIF($D$7:$BG$7,"3",$D36:$BG36)</f>
        <v>11</v>
      </c>
      <c r="BP36" s="142">
        <f>SUMIFS($D$9:$BG$9,$D$7:$BG$7,"3",$D36:$BG36,"&gt;"&amp;-1)</f>
        <v>15</v>
      </c>
      <c r="BQ36" s="143">
        <f t="shared" si="2"/>
        <v>73.34</v>
      </c>
      <c r="BR36" s="144">
        <f>SUMIF($D$7:$BG$7,"4",$D36:$BG36)</f>
        <v>10</v>
      </c>
      <c r="BS36" s="142">
        <f>SUMIFS($D$9:$BG$9,$D$7:$BG$7,"4",$D36:$BG36,"&gt;"&amp;-1)</f>
        <v>10</v>
      </c>
      <c r="BT36" s="143">
        <f t="shared" si="3"/>
        <v>100</v>
      </c>
      <c r="BU36" s="144">
        <f>SUMIF($D$7:$BG$7,"5",$D36:$BG36)</f>
        <v>10</v>
      </c>
      <c r="BV36" s="142">
        <f>SUMIFS($D$9:$BG$9,$D$7:$BG$7,"5",$D36:$BG36,"&gt;"&amp;-1)</f>
        <v>10</v>
      </c>
      <c r="BW36" s="143">
        <f t="shared" si="4"/>
        <v>100</v>
      </c>
      <c r="BX36" s="144">
        <f>SUMIF($D$7:$BG$7,"6",$D36:$BG36)</f>
        <v>0</v>
      </c>
      <c r="BY36" s="142">
        <f>SUMIFS($D$9:$BG$9,$D$7:$BG$7,"6",$D36:$BG36,"&gt;"&amp;-1)</f>
        <v>0</v>
      </c>
      <c r="BZ36" s="143">
        <f t="shared" si="5"/>
        <v>0</v>
      </c>
    </row>
    <row r="37" ht="15.75" customHeight="1" spans="1:78" x14ac:dyDescent="0.25">
      <c r="A37" s="149">
        <v>25</v>
      </c>
      <c r="B37" s="148" t="s">
        <v>101</v>
      </c>
      <c r="C37" s="119" t="s">
        <v>102</v>
      </c>
      <c r="D37" s="134"/>
      <c r="E37" s="135"/>
      <c r="F37" s="136"/>
      <c r="G37" s="136"/>
      <c r="H37" s="137"/>
      <c r="I37" s="137"/>
      <c r="J37" s="138"/>
      <c r="K37" s="139"/>
      <c r="L37" s="136"/>
      <c r="M37" s="136"/>
      <c r="N37" s="137"/>
      <c r="O37" s="137"/>
      <c r="P37" s="138"/>
      <c r="Q37" s="138"/>
      <c r="R37" s="137"/>
      <c r="S37" s="137"/>
      <c r="T37" s="140"/>
      <c r="U37" s="134"/>
      <c r="V37" s="135"/>
      <c r="W37" s="136"/>
      <c r="X37" s="136"/>
      <c r="Y37" s="137"/>
      <c r="Z37" s="137"/>
      <c r="AA37" s="138"/>
      <c r="AB37" s="139"/>
      <c r="AC37" s="136"/>
      <c r="AD37" s="136"/>
      <c r="AE37" s="137"/>
      <c r="AF37" s="137"/>
      <c r="AG37" s="138"/>
      <c r="AH37" s="138"/>
      <c r="AI37" s="137"/>
      <c r="AJ37" s="137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127"/>
      <c r="BB37" s="127"/>
      <c r="BC37" s="127"/>
      <c r="BD37" s="127"/>
      <c r="BE37" s="127"/>
      <c r="BF37" s="128"/>
      <c r="BG37" s="129"/>
      <c r="BH37" s="46"/>
      <c r="BI37" s="141">
        <f>SUMIF($D$7:$BG$7,"1",$D37:$BG37)</f>
        <v>10</v>
      </c>
      <c r="BJ37" s="142">
        <f>SUMIFS($D$9:$BG$9,$D$7:$BG$7,"1",$D37:$BG37,"&gt;"&amp;-1)</f>
        <v>10</v>
      </c>
      <c r="BK37" s="143">
        <f t="shared" si="0"/>
        <v>100</v>
      </c>
      <c r="BL37" s="144">
        <f>SUMIF($D$7:$BG$7,"2",$D37:$BG37)</f>
        <v>18</v>
      </c>
      <c r="BM37" s="142">
        <f>SUMIFS($D$9:$BG$9,$D$7:$BG$7,"2",$D37:$BG37,"&gt;"&amp;-1)</f>
        <v>18</v>
      </c>
      <c r="BN37" s="143">
        <f t="shared" si="1"/>
        <v>100</v>
      </c>
      <c r="BO37" s="144">
        <f>SUMIF($D$7:$BG$7,"3",$D37:$BG37)</f>
        <v>16</v>
      </c>
      <c r="BP37" s="142">
        <f>SUMIFS($D$9:$BG$9,$D$7:$BG$7,"3",$D37:$BG37,"&gt;"&amp;-1)</f>
        <v>20</v>
      </c>
      <c r="BQ37" s="143">
        <f t="shared" si="2"/>
        <v>80</v>
      </c>
      <c r="BR37" s="144">
        <f>SUMIF($D$7:$BG$7,"4",$D37:$BG37)</f>
        <v>10</v>
      </c>
      <c r="BS37" s="142">
        <f>SUMIFS($D$9:$BG$9,$D$7:$BG$7,"4",$D37:$BG37,"&gt;"&amp;-1)</f>
        <v>10</v>
      </c>
      <c r="BT37" s="143">
        <f t="shared" si="3"/>
        <v>100</v>
      </c>
      <c r="BU37" s="144">
        <f>SUMIF($D$7:$BG$7,"5",$D37:$BG37)</f>
        <v>10</v>
      </c>
      <c r="BV37" s="142">
        <f>SUMIFS($D$9:$BG$9,$D$7:$BG$7,"5",$D37:$BG37,"&gt;"&amp;-1)</f>
        <v>10</v>
      </c>
      <c r="BW37" s="143">
        <f t="shared" si="4"/>
        <v>100</v>
      </c>
      <c r="BX37" s="144">
        <f>SUMIF($D$7:$BG$7,"6",$D37:$BG37)</f>
        <v>0</v>
      </c>
      <c r="BY37" s="142">
        <f>SUMIFS($D$9:$BG$9,$D$7:$BG$7,"6",$D37:$BG37,"&gt;"&amp;-1)</f>
        <v>0</v>
      </c>
      <c r="BZ37" s="143">
        <f t="shared" si="5"/>
        <v>0</v>
      </c>
    </row>
    <row r="38" ht="15.75" customHeight="1" spans="1:78" x14ac:dyDescent="0.25">
      <c r="A38" s="148">
        <v>26</v>
      </c>
      <c r="B38" s="148" t="s">
        <v>103</v>
      </c>
      <c r="C38" s="119" t="s">
        <v>104</v>
      </c>
      <c r="D38" s="134"/>
      <c r="E38" s="135"/>
      <c r="F38" s="136"/>
      <c r="G38" s="136"/>
      <c r="H38" s="137"/>
      <c r="I38" s="137"/>
      <c r="J38" s="138"/>
      <c r="K38" s="139"/>
      <c r="L38" s="136"/>
      <c r="M38" s="136"/>
      <c r="N38" s="137"/>
      <c r="O38" s="137"/>
      <c r="P38" s="138"/>
      <c r="Q38" s="138"/>
      <c r="R38" s="137"/>
      <c r="S38" s="137"/>
      <c r="T38" s="140"/>
      <c r="U38" s="134"/>
      <c r="V38" s="135"/>
      <c r="W38" s="136"/>
      <c r="X38" s="136"/>
      <c r="Y38" s="137"/>
      <c r="Z38" s="137"/>
      <c r="AA38" s="138"/>
      <c r="AB38" s="139"/>
      <c r="AC38" s="136"/>
      <c r="AD38" s="136"/>
      <c r="AE38" s="137"/>
      <c r="AF38" s="137"/>
      <c r="AG38" s="138"/>
      <c r="AH38" s="138"/>
      <c r="AI38" s="137"/>
      <c r="AJ38" s="137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127"/>
      <c r="BB38" s="127"/>
      <c r="BC38" s="127"/>
      <c r="BD38" s="127"/>
      <c r="BE38" s="127"/>
      <c r="BF38" s="128"/>
      <c r="BG38" s="129"/>
      <c r="BH38" s="46"/>
      <c r="BI38" s="141">
        <f>SUMIF($D$7:$BG$7,"1",$D38:$BG38)</f>
        <v>5</v>
      </c>
      <c r="BJ38" s="142">
        <f>SUMIFS($D$9:$BG$9,$D$7:$BG$7,"1",$D38:$BG38,"&gt;"&amp;-1)</f>
        <v>10</v>
      </c>
      <c r="BK38" s="143">
        <f t="shared" si="0"/>
        <v>50</v>
      </c>
      <c r="BL38" s="144">
        <f>SUMIF($D$7:$BG$7,"2",$D38:$BG38)</f>
        <v>15</v>
      </c>
      <c r="BM38" s="142">
        <f>SUMIFS($D$9:$BG$9,$D$7:$BG$7,"2",$D38:$BG38,"&gt;"&amp;-1)</f>
        <v>20</v>
      </c>
      <c r="BN38" s="143">
        <f t="shared" si="1"/>
        <v>75</v>
      </c>
      <c r="BO38" s="144">
        <f>SUMIF($D$7:$BG$7,"3",$D38:$BG38)</f>
        <v>9</v>
      </c>
      <c r="BP38" s="142">
        <f>SUMIFS($D$9:$BG$9,$D$7:$BG$7,"3",$D38:$BG38,"&gt;"&amp;-1)</f>
        <v>20</v>
      </c>
      <c r="BQ38" s="143">
        <f t="shared" si="2"/>
        <v>45</v>
      </c>
      <c r="BR38" s="144">
        <f>SUMIF($D$7:$BG$7,"4",$D38:$BG38)</f>
        <v>5</v>
      </c>
      <c r="BS38" s="142">
        <f>SUMIFS($D$9:$BG$9,$D$7:$BG$7,"4",$D38:$BG38,"&gt;"&amp;-1)</f>
        <v>10</v>
      </c>
      <c r="BT38" s="143">
        <f t="shared" si="3"/>
        <v>50</v>
      </c>
      <c r="BU38" s="144">
        <f>SUMIF($D$7:$BG$7,"5",$D38:$BG38)</f>
        <v>5</v>
      </c>
      <c r="BV38" s="142">
        <f>SUMIFS($D$9:$BG$9,$D$7:$BG$7,"5",$D38:$BG38,"&gt;"&amp;-1)</f>
        <v>10</v>
      </c>
      <c r="BW38" s="143">
        <f t="shared" si="4"/>
        <v>50</v>
      </c>
      <c r="BX38" s="144">
        <f>SUMIF($D$7:$BG$7,"6",$D38:$BG38)</f>
        <v>0</v>
      </c>
      <c r="BY38" s="142">
        <f>SUMIFS($D$9:$BG$9,$D$7:$BG$7,"6",$D38:$BG38,"&gt;"&amp;-1)</f>
        <v>0</v>
      </c>
      <c r="BZ38" s="143">
        <f t="shared" si="5"/>
        <v>0</v>
      </c>
    </row>
    <row r="39" ht="15.75" customHeight="1" spans="1:78" x14ac:dyDescent="0.25">
      <c r="A39" s="149">
        <v>27</v>
      </c>
      <c r="B39" s="148" t="s">
        <v>105</v>
      </c>
      <c r="C39" s="119" t="s">
        <v>106</v>
      </c>
      <c r="D39" s="134"/>
      <c r="E39" s="135"/>
      <c r="F39" s="136"/>
      <c r="G39" s="136"/>
      <c r="H39" s="137"/>
      <c r="I39" s="137"/>
      <c r="J39" s="138"/>
      <c r="K39" s="139"/>
      <c r="L39" s="136"/>
      <c r="M39" s="136"/>
      <c r="N39" s="137"/>
      <c r="O39" s="137"/>
      <c r="P39" s="138"/>
      <c r="Q39" s="138"/>
      <c r="R39" s="137"/>
      <c r="S39" s="137"/>
      <c r="T39" s="140"/>
      <c r="U39" s="134"/>
      <c r="V39" s="135"/>
      <c r="W39" s="136"/>
      <c r="X39" s="136"/>
      <c r="Y39" s="137"/>
      <c r="Z39" s="137"/>
      <c r="AA39" s="138"/>
      <c r="AB39" s="139"/>
      <c r="AC39" s="136"/>
      <c r="AD39" s="136"/>
      <c r="AE39" s="137"/>
      <c r="AF39" s="137"/>
      <c r="AG39" s="138"/>
      <c r="AH39" s="138"/>
      <c r="AI39" s="137"/>
      <c r="AJ39" s="137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127"/>
      <c r="BB39" s="127"/>
      <c r="BC39" s="127"/>
      <c r="BD39" s="127"/>
      <c r="BE39" s="127"/>
      <c r="BF39" s="128"/>
      <c r="BG39" s="129"/>
      <c r="BH39" s="46"/>
      <c r="BI39" s="141">
        <f>SUMIF($D$7:$BG$7,"1",$D39:$BG39)</f>
        <v>14</v>
      </c>
      <c r="BJ39" s="142">
        <f>SUMIFS($D$9:$BG$9,$D$7:$BG$7,"1",$D39:$BG39,"&gt;"&amp;-1)</f>
        <v>15</v>
      </c>
      <c r="BK39" s="143">
        <f t="shared" si="0"/>
        <v>93.34</v>
      </c>
      <c r="BL39" s="144">
        <f>SUMIF($D$7:$BG$7,"2",$D39:$BG39)</f>
        <v>18</v>
      </c>
      <c r="BM39" s="142">
        <f>SUMIFS($D$9:$BG$9,$D$7:$BG$7,"2",$D39:$BG39,"&gt;"&amp;-1)</f>
        <v>20</v>
      </c>
      <c r="BN39" s="143">
        <f t="shared" si="1"/>
        <v>90</v>
      </c>
      <c r="BO39" s="144">
        <f>SUMIF($D$7:$BG$7,"3",$D39:$BG39)</f>
        <v>19</v>
      </c>
      <c r="BP39" s="142">
        <f>SUMIFS($D$9:$BG$9,$D$7:$BG$7,"3",$D39:$BG39,"&gt;"&amp;-1)</f>
        <v>25</v>
      </c>
      <c r="BQ39" s="143">
        <f t="shared" si="2"/>
        <v>76</v>
      </c>
      <c r="BR39" s="144">
        <f>SUMIF($D$7:$BG$7,"4",$D39:$BG39)</f>
        <v>10</v>
      </c>
      <c r="BS39" s="142">
        <f>SUMIFS($D$9:$BG$9,$D$7:$BG$7,"4",$D39:$BG39,"&gt;"&amp;-1)</f>
        <v>10</v>
      </c>
      <c r="BT39" s="143">
        <f t="shared" si="3"/>
        <v>100</v>
      </c>
      <c r="BU39" s="144">
        <f>SUMIF($D$7:$BG$7,"5",$D39:$BG39)</f>
        <v>10</v>
      </c>
      <c r="BV39" s="142">
        <f>SUMIFS($D$9:$BG$9,$D$7:$BG$7,"5",$D39:$BG39,"&gt;"&amp;-1)</f>
        <v>10</v>
      </c>
      <c r="BW39" s="143">
        <f t="shared" si="4"/>
        <v>100</v>
      </c>
      <c r="BX39" s="144">
        <f>SUMIF($D$7:$BG$7,"6",$D39:$BG39)</f>
        <v>0</v>
      </c>
      <c r="BY39" s="142">
        <f>SUMIFS($D$9:$BG$9,$D$7:$BG$7,"6",$D39:$BG39,"&gt;"&amp;-1)</f>
        <v>0</v>
      </c>
      <c r="BZ39" s="143">
        <f t="shared" si="5"/>
        <v>0</v>
      </c>
    </row>
    <row r="40" ht="15.75" customHeight="1" spans="1:78" x14ac:dyDescent="0.25">
      <c r="A40" s="149">
        <v>28</v>
      </c>
      <c r="B40" s="148" t="s">
        <v>107</v>
      </c>
      <c r="C40" s="119" t="s">
        <v>108</v>
      </c>
      <c r="D40" s="134"/>
      <c r="E40" s="135"/>
      <c r="F40" s="136"/>
      <c r="G40" s="136"/>
      <c r="H40" s="137"/>
      <c r="I40" s="137"/>
      <c r="J40" s="138"/>
      <c r="K40" s="139"/>
      <c r="L40" s="136"/>
      <c r="M40" s="136"/>
      <c r="N40" s="137"/>
      <c r="O40" s="137"/>
      <c r="P40" s="138"/>
      <c r="Q40" s="138"/>
      <c r="R40" s="137"/>
      <c r="S40" s="137"/>
      <c r="T40" s="140"/>
      <c r="U40" s="134"/>
      <c r="V40" s="135"/>
      <c r="W40" s="136"/>
      <c r="X40" s="136"/>
      <c r="Y40" s="137"/>
      <c r="Z40" s="137"/>
      <c r="AA40" s="138"/>
      <c r="AB40" s="139"/>
      <c r="AC40" s="136"/>
      <c r="AD40" s="136"/>
      <c r="AE40" s="137"/>
      <c r="AF40" s="137"/>
      <c r="AG40" s="138"/>
      <c r="AH40" s="138"/>
      <c r="AI40" s="137"/>
      <c r="AJ40" s="137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127"/>
      <c r="BB40" s="127"/>
      <c r="BC40" s="127"/>
      <c r="BD40" s="127"/>
      <c r="BE40" s="127"/>
      <c r="BF40" s="128"/>
      <c r="BG40" s="129"/>
      <c r="BH40" s="46"/>
      <c r="BI40" s="141">
        <f>SUMIF($D$7:$BG$7,"1",$D40:$BG40)</f>
        <v>11</v>
      </c>
      <c r="BJ40" s="142">
        <f>SUMIFS($D$9:$BG$9,$D$7:$BG$7,"1",$D40:$BG40,"&gt;"&amp;-1)</f>
        <v>12.5</v>
      </c>
      <c r="BK40" s="143">
        <f t="shared" si="0"/>
        <v>88</v>
      </c>
      <c r="BL40" s="144">
        <f>SUMIF($D$7:$BG$7,"2",$D40:$BG40)</f>
        <v>25</v>
      </c>
      <c r="BM40" s="142">
        <f>SUMIFS($D$9:$BG$9,$D$7:$BG$7,"2",$D40:$BG40,"&gt;"&amp;-1)</f>
        <v>30</v>
      </c>
      <c r="BN40" s="143">
        <f t="shared" si="1"/>
        <v>83.34</v>
      </c>
      <c r="BO40" s="144">
        <f>SUMIF($D$7:$BG$7,"3",$D40:$BG40)</f>
        <v>29</v>
      </c>
      <c r="BP40" s="142">
        <f>SUMIFS($D$9:$BG$9,$D$7:$BG$7,"3",$D40:$BG40,"&gt;"&amp;-1)</f>
        <v>30</v>
      </c>
      <c r="BQ40" s="143">
        <f t="shared" si="2"/>
        <v>96.67</v>
      </c>
      <c r="BR40" s="144">
        <f>SUMIF($D$7:$BG$7,"4",$D40:$BG40)</f>
        <v>15</v>
      </c>
      <c r="BS40" s="142">
        <f>SUMIFS($D$9:$BG$9,$D$7:$BG$7,"4",$D40:$BG40,"&gt;"&amp;-1)</f>
        <v>15</v>
      </c>
      <c r="BT40" s="143">
        <f t="shared" si="3"/>
        <v>100</v>
      </c>
      <c r="BU40" s="144">
        <f>SUMIF($D$7:$BG$7,"5",$D40:$BG40)</f>
        <v>14</v>
      </c>
      <c r="BV40" s="142">
        <f>SUMIFS($D$9:$BG$9,$D$7:$BG$7,"5",$D40:$BG40,"&gt;"&amp;-1)</f>
        <v>20</v>
      </c>
      <c r="BW40" s="143">
        <f t="shared" si="4"/>
        <v>70</v>
      </c>
      <c r="BX40" s="144">
        <f>SUMIF($D$7:$BG$7,"6",$D40:$BG40)</f>
        <v>0</v>
      </c>
      <c r="BY40" s="142">
        <f>SUMIFS($D$9:$BG$9,$D$7:$BG$7,"6",$D40:$BG40,"&gt;"&amp;-1)</f>
        <v>0</v>
      </c>
      <c r="BZ40" s="143">
        <f t="shared" si="5"/>
        <v>0</v>
      </c>
    </row>
    <row r="41" ht="15.75" customHeight="1" spans="1:78" x14ac:dyDescent="0.25">
      <c r="A41" s="148">
        <v>29</v>
      </c>
      <c r="B41" s="148" t="s">
        <v>109</v>
      </c>
      <c r="C41" s="119" t="s">
        <v>110</v>
      </c>
      <c r="D41" s="134"/>
      <c r="E41" s="135"/>
      <c r="F41" s="136"/>
      <c r="G41" s="136"/>
      <c r="H41" s="137"/>
      <c r="I41" s="137"/>
      <c r="J41" s="138"/>
      <c r="K41" s="139"/>
      <c r="L41" s="136"/>
      <c r="M41" s="136"/>
      <c r="N41" s="137"/>
      <c r="O41" s="137"/>
      <c r="P41" s="138"/>
      <c r="Q41" s="138"/>
      <c r="R41" s="137"/>
      <c r="S41" s="137"/>
      <c r="T41" s="140"/>
      <c r="U41" s="134"/>
      <c r="V41" s="135"/>
      <c r="W41" s="136"/>
      <c r="X41" s="136"/>
      <c r="Y41" s="137"/>
      <c r="Z41" s="137"/>
      <c r="AA41" s="138"/>
      <c r="AB41" s="139"/>
      <c r="AC41" s="136"/>
      <c r="AD41" s="136"/>
      <c r="AE41" s="137"/>
      <c r="AF41" s="137"/>
      <c r="AG41" s="138"/>
      <c r="AH41" s="138"/>
      <c r="AI41" s="137"/>
      <c r="AJ41" s="137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127"/>
      <c r="BB41" s="127"/>
      <c r="BC41" s="127"/>
      <c r="BD41" s="127"/>
      <c r="BE41" s="127"/>
      <c r="BF41" s="128"/>
      <c r="BG41" s="129"/>
      <c r="BH41" s="46"/>
      <c r="BI41" s="141">
        <f>SUMIF($D$7:$BG$7,"1",$D41:$BG41)</f>
        <v>7.5</v>
      </c>
      <c r="BJ41" s="142">
        <f>SUMIFS($D$9:$BG$9,$D$7:$BG$7,"1",$D41:$BG41,"&gt;"&amp;-1)</f>
        <v>10</v>
      </c>
      <c r="BK41" s="143">
        <f t="shared" si="0"/>
        <v>75</v>
      </c>
      <c r="BL41" s="144">
        <f>SUMIF($D$7:$BG$7,"2",$D41:$BG41)</f>
        <v>18.5</v>
      </c>
      <c r="BM41" s="142">
        <f>SUMIFS($D$9:$BG$9,$D$7:$BG$7,"2",$D41:$BG41,"&gt;"&amp;-1)</f>
        <v>22</v>
      </c>
      <c r="BN41" s="143">
        <f t="shared" si="1"/>
        <v>84.10000000000001</v>
      </c>
      <c r="BO41" s="144">
        <f>SUMIF($D$7:$BG$7,"3",$D41:$BG41)</f>
        <v>15.5</v>
      </c>
      <c r="BP41" s="142">
        <f>SUMIFS($D$9:$BG$9,$D$7:$BG$7,"3",$D41:$BG41,"&gt;"&amp;-1)</f>
        <v>25</v>
      </c>
      <c r="BQ41" s="143">
        <f t="shared" si="2"/>
        <v>62</v>
      </c>
      <c r="BR41" s="144">
        <f>SUMIF($D$7:$BG$7,"4",$D41:$BG41)</f>
        <v>12.5</v>
      </c>
      <c r="BS41" s="142">
        <f>SUMIFS($D$9:$BG$9,$D$7:$BG$7,"4",$D41:$BG41,"&gt;"&amp;-1)</f>
        <v>15</v>
      </c>
      <c r="BT41" s="143">
        <f t="shared" si="3"/>
        <v>83.34</v>
      </c>
      <c r="BU41" s="144">
        <f>SUMIF($D$7:$BG$7,"5",$D41:$BG41)</f>
        <v>9.5</v>
      </c>
      <c r="BV41" s="142">
        <f>SUMIFS($D$9:$BG$9,$D$7:$BG$7,"5",$D41:$BG41,"&gt;"&amp;-1)</f>
        <v>15</v>
      </c>
      <c r="BW41" s="143">
        <f t="shared" si="4"/>
        <v>63.339999999999996</v>
      </c>
      <c r="BX41" s="144">
        <f>SUMIF($D$7:$BG$7,"6",$D41:$BG41)</f>
        <v>0</v>
      </c>
      <c r="BY41" s="142">
        <f>SUMIFS($D$9:$BG$9,$D$7:$BG$7,"6",$D41:$BG41,"&gt;"&amp;-1)</f>
        <v>0</v>
      </c>
      <c r="BZ41" s="143">
        <f t="shared" si="5"/>
        <v>0</v>
      </c>
    </row>
    <row r="42" ht="15.75" customHeight="1" spans="1:78" x14ac:dyDescent="0.25">
      <c r="A42" s="148">
        <v>30</v>
      </c>
      <c r="B42" s="148" t="s">
        <v>111</v>
      </c>
      <c r="C42" s="119" t="s">
        <v>112</v>
      </c>
      <c r="D42" s="134"/>
      <c r="E42" s="135"/>
      <c r="F42" s="136"/>
      <c r="G42" s="136"/>
      <c r="H42" s="137"/>
      <c r="I42" s="137"/>
      <c r="J42" s="138"/>
      <c r="K42" s="139"/>
      <c r="L42" s="136"/>
      <c r="M42" s="136"/>
      <c r="N42" s="137"/>
      <c r="O42" s="137"/>
      <c r="P42" s="138"/>
      <c r="Q42" s="138"/>
      <c r="R42" s="137"/>
      <c r="S42" s="137"/>
      <c r="T42" s="140"/>
      <c r="U42" s="134"/>
      <c r="V42" s="135"/>
      <c r="W42" s="136"/>
      <c r="X42" s="136"/>
      <c r="Y42" s="137"/>
      <c r="Z42" s="137"/>
      <c r="AA42" s="138"/>
      <c r="AB42" s="139"/>
      <c r="AC42" s="136"/>
      <c r="AD42" s="136"/>
      <c r="AE42" s="137"/>
      <c r="AF42" s="137"/>
      <c r="AG42" s="138"/>
      <c r="AH42" s="138"/>
      <c r="AI42" s="137"/>
      <c r="AJ42" s="137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127"/>
      <c r="BB42" s="127"/>
      <c r="BC42" s="127"/>
      <c r="BD42" s="127"/>
      <c r="BE42" s="127"/>
      <c r="BF42" s="128"/>
      <c r="BG42" s="129"/>
      <c r="BH42" s="46"/>
      <c r="BI42" s="141">
        <f>SUMIF($D$7:$BG$7,"1",$D42:$BG42)</f>
        <v>10</v>
      </c>
      <c r="BJ42" s="142">
        <f>SUMIFS($D$9:$BG$9,$D$7:$BG$7,"1",$D42:$BG42,"&gt;"&amp;-1)</f>
        <v>10</v>
      </c>
      <c r="BK42" s="143">
        <f t="shared" si="0"/>
        <v>100</v>
      </c>
      <c r="BL42" s="144">
        <f>SUMIF($D$7:$BG$7,"2",$D42:$BG42)</f>
        <v>10</v>
      </c>
      <c r="BM42" s="142">
        <f>SUMIFS($D$9:$BG$9,$D$7:$BG$7,"2",$D42:$BG42,"&gt;"&amp;-1)</f>
        <v>10</v>
      </c>
      <c r="BN42" s="143">
        <f t="shared" si="1"/>
        <v>100</v>
      </c>
      <c r="BO42" s="144">
        <f>SUMIF($D$7:$BG$7,"3",$D42:$BG42)</f>
        <v>14</v>
      </c>
      <c r="BP42" s="142">
        <f>SUMIFS($D$9:$BG$9,$D$7:$BG$7,"3",$D42:$BG42,"&gt;"&amp;-1)</f>
        <v>15</v>
      </c>
      <c r="BQ42" s="143">
        <f t="shared" si="2"/>
        <v>93.34</v>
      </c>
      <c r="BR42" s="144">
        <f>SUMIF($D$7:$BG$7,"4",$D42:$BG42)</f>
        <v>10</v>
      </c>
      <c r="BS42" s="142">
        <f>SUMIFS($D$9:$BG$9,$D$7:$BG$7,"4",$D42:$BG42,"&gt;"&amp;-1)</f>
        <v>10</v>
      </c>
      <c r="BT42" s="143">
        <f t="shared" si="3"/>
        <v>100</v>
      </c>
      <c r="BU42" s="144">
        <f>SUMIF($D$7:$BG$7,"5",$D42:$BG42)</f>
        <v>10</v>
      </c>
      <c r="BV42" s="142">
        <f>SUMIFS($D$9:$BG$9,$D$7:$BG$7,"5",$D42:$BG42,"&gt;"&amp;-1)</f>
        <v>10</v>
      </c>
      <c r="BW42" s="143">
        <f t="shared" si="4"/>
        <v>100</v>
      </c>
      <c r="BX42" s="144">
        <f>SUMIF($D$7:$BG$7,"6",$D42:$BG42)</f>
        <v>0</v>
      </c>
      <c r="BY42" s="142">
        <f>SUMIFS($D$9:$BG$9,$D$7:$BG$7,"6",$D42:$BG42,"&gt;"&amp;-1)</f>
        <v>0</v>
      </c>
      <c r="BZ42" s="143">
        <f t="shared" si="5"/>
        <v>0</v>
      </c>
    </row>
    <row r="43" ht="15.75" customHeight="1" spans="1:78" x14ac:dyDescent="0.25">
      <c r="A43" s="149">
        <v>31</v>
      </c>
      <c r="B43" s="148" t="s">
        <v>113</v>
      </c>
      <c r="C43" s="119" t="s">
        <v>114</v>
      </c>
      <c r="D43" s="134"/>
      <c r="E43" s="135"/>
      <c r="F43" s="136"/>
      <c r="G43" s="136"/>
      <c r="H43" s="137"/>
      <c r="I43" s="137"/>
      <c r="J43" s="138"/>
      <c r="K43" s="139"/>
      <c r="L43" s="136"/>
      <c r="M43" s="136"/>
      <c r="N43" s="137"/>
      <c r="O43" s="137"/>
      <c r="P43" s="138"/>
      <c r="Q43" s="138"/>
      <c r="R43" s="137"/>
      <c r="S43" s="137"/>
      <c r="T43" s="140"/>
      <c r="U43" s="134"/>
      <c r="V43" s="135"/>
      <c r="W43" s="136"/>
      <c r="X43" s="136"/>
      <c r="Y43" s="137"/>
      <c r="Z43" s="137"/>
      <c r="AA43" s="138"/>
      <c r="AB43" s="139"/>
      <c r="AC43" s="136"/>
      <c r="AD43" s="136"/>
      <c r="AE43" s="137"/>
      <c r="AF43" s="137"/>
      <c r="AG43" s="138"/>
      <c r="AH43" s="138"/>
      <c r="AI43" s="137"/>
      <c r="AJ43" s="13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127"/>
      <c r="BB43" s="127"/>
      <c r="BC43" s="127"/>
      <c r="BD43" s="127"/>
      <c r="BE43" s="127"/>
      <c r="BF43" s="128"/>
      <c r="BG43" s="129"/>
      <c r="BH43" s="46"/>
      <c r="BI43" s="141">
        <f>SUMIF($D$7:$BG$7,"1",$D43:$BG43)</f>
        <v>10</v>
      </c>
      <c r="BJ43" s="142">
        <f>SUMIFS($D$9:$BG$9,$D$7:$BG$7,"1",$D43:$BG43,"&gt;"&amp;-1)</f>
        <v>15</v>
      </c>
      <c r="BK43" s="143">
        <f t="shared" si="0"/>
        <v>66.67</v>
      </c>
      <c r="BL43" s="144">
        <f>SUMIF($D$7:$BG$7,"2",$D43:$BG43)</f>
        <v>20</v>
      </c>
      <c r="BM43" s="142">
        <f>SUMIFS($D$9:$BG$9,$D$7:$BG$7,"2",$D43:$BG43,"&gt;"&amp;-1)</f>
        <v>22</v>
      </c>
      <c r="BN43" s="143">
        <f t="shared" si="1"/>
        <v>90.91000000000001</v>
      </c>
      <c r="BO43" s="144">
        <f>SUMIF($D$7:$BG$7,"3",$D43:$BG43)</f>
        <v>29</v>
      </c>
      <c r="BP43" s="142">
        <f>SUMIFS($D$9:$BG$9,$D$7:$BG$7,"3",$D43:$BG43,"&gt;"&amp;-1)</f>
        <v>30</v>
      </c>
      <c r="BQ43" s="143">
        <f t="shared" si="2"/>
        <v>96.67</v>
      </c>
      <c r="BR43" s="144">
        <f>SUMIF($D$7:$BG$7,"4",$D43:$BG43)</f>
        <v>13</v>
      </c>
      <c r="BS43" s="142">
        <f>SUMIFS($D$9:$BG$9,$D$7:$BG$7,"4",$D43:$BG43,"&gt;"&amp;-1)</f>
        <v>15</v>
      </c>
      <c r="BT43" s="143">
        <f t="shared" si="3"/>
        <v>86.67</v>
      </c>
      <c r="BU43" s="144">
        <f>SUMIF($D$7:$BG$7,"5",$D43:$BG43)</f>
        <v>9</v>
      </c>
      <c r="BV43" s="142">
        <f>SUMIFS($D$9:$BG$9,$D$7:$BG$7,"5",$D43:$BG43,"&gt;"&amp;-1)</f>
        <v>10</v>
      </c>
      <c r="BW43" s="143">
        <f t="shared" si="4"/>
        <v>90</v>
      </c>
      <c r="BX43" s="144">
        <f>SUMIF($D$7:$BG$7,"6",$D43:$BG43)</f>
        <v>0</v>
      </c>
      <c r="BY43" s="142">
        <f>SUMIFS($D$9:$BG$9,$D$7:$BG$7,"6",$D43:$BG43,"&gt;"&amp;-1)</f>
        <v>0</v>
      </c>
      <c r="BZ43" s="143">
        <f t="shared" si="5"/>
        <v>0</v>
      </c>
    </row>
    <row r="44" ht="15.75" customHeight="1" spans="1:78" x14ac:dyDescent="0.25">
      <c r="A44" s="149">
        <v>32</v>
      </c>
      <c r="B44" s="148" t="s">
        <v>115</v>
      </c>
      <c r="C44" s="119" t="s">
        <v>116</v>
      </c>
      <c r="D44" s="134"/>
      <c r="E44" s="135"/>
      <c r="F44" s="136"/>
      <c r="G44" s="136"/>
      <c r="H44" s="137"/>
      <c r="I44" s="137"/>
      <c r="J44" s="138"/>
      <c r="K44" s="139"/>
      <c r="L44" s="136"/>
      <c r="M44" s="136"/>
      <c r="N44" s="137"/>
      <c r="O44" s="137"/>
      <c r="P44" s="138"/>
      <c r="Q44" s="138"/>
      <c r="R44" s="137"/>
      <c r="S44" s="137"/>
      <c r="T44" s="140"/>
      <c r="U44" s="134"/>
      <c r="V44" s="135"/>
      <c r="W44" s="136"/>
      <c r="X44" s="136"/>
      <c r="Y44" s="137"/>
      <c r="Z44" s="137"/>
      <c r="AA44" s="138"/>
      <c r="AB44" s="139"/>
      <c r="AC44" s="136"/>
      <c r="AD44" s="136"/>
      <c r="AE44" s="137"/>
      <c r="AF44" s="137"/>
      <c r="AG44" s="138"/>
      <c r="AH44" s="138"/>
      <c r="AI44" s="137"/>
      <c r="AJ44" s="13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127"/>
      <c r="BB44" s="127"/>
      <c r="BC44" s="127"/>
      <c r="BD44" s="127"/>
      <c r="BE44" s="127"/>
      <c r="BF44" s="128"/>
      <c r="BG44" s="129"/>
      <c r="BH44" s="46"/>
      <c r="BI44" s="141">
        <f>SUMIF($D$7:$BG$7,"1",$D44:$BG44)</f>
        <v>9</v>
      </c>
      <c r="BJ44" s="142">
        <f>SUMIFS($D$9:$BG$9,$D$7:$BG$7,"1",$D44:$BG44,"&gt;"&amp;-1)</f>
        <v>10</v>
      </c>
      <c r="BK44" s="143">
        <f t="shared" si="0"/>
        <v>90</v>
      </c>
      <c r="BL44" s="144">
        <f>SUMIF($D$7:$BG$7,"2",$D44:$BG44)</f>
        <v>20</v>
      </c>
      <c r="BM44" s="142">
        <f>SUMIFS($D$9:$BG$9,$D$7:$BG$7,"2",$D44:$BG44,"&gt;"&amp;-1)</f>
        <v>25</v>
      </c>
      <c r="BN44" s="143">
        <f t="shared" si="1"/>
        <v>80</v>
      </c>
      <c r="BO44" s="144">
        <f>SUMIF($D$7:$BG$7,"3",$D44:$BG44)</f>
        <v>29</v>
      </c>
      <c r="BP44" s="142">
        <f>SUMIFS($D$9:$BG$9,$D$7:$BG$7,"3",$D44:$BG44,"&gt;"&amp;-1)</f>
        <v>30</v>
      </c>
      <c r="BQ44" s="143">
        <f t="shared" si="2"/>
        <v>96.67</v>
      </c>
      <c r="BR44" s="144">
        <f>SUMIF($D$7:$BG$7,"4",$D44:$BG44)</f>
        <v>9</v>
      </c>
      <c r="BS44" s="142">
        <f>SUMIFS($D$9:$BG$9,$D$7:$BG$7,"4",$D44:$BG44,"&gt;"&amp;-1)</f>
        <v>10</v>
      </c>
      <c r="BT44" s="143">
        <f t="shared" si="3"/>
        <v>90</v>
      </c>
      <c r="BU44" s="144">
        <f>SUMIF($D$7:$BG$7,"5",$D44:$BG44)</f>
        <v>10</v>
      </c>
      <c r="BV44" s="142">
        <f>SUMIFS($D$9:$BG$9,$D$7:$BG$7,"5",$D44:$BG44,"&gt;"&amp;-1)</f>
        <v>20</v>
      </c>
      <c r="BW44" s="143">
        <f t="shared" si="4"/>
        <v>50</v>
      </c>
      <c r="BX44" s="144">
        <f>SUMIF($D$7:$BG$7,"6",$D44:$BG44)</f>
        <v>0</v>
      </c>
      <c r="BY44" s="142">
        <f>SUMIFS($D$9:$BG$9,$D$7:$BG$7,"6",$D44:$BG44,"&gt;"&amp;-1)</f>
        <v>0</v>
      </c>
      <c r="BZ44" s="143">
        <f t="shared" si="5"/>
        <v>0</v>
      </c>
    </row>
    <row r="45" ht="15.75" customHeight="1" spans="1:78" x14ac:dyDescent="0.25">
      <c r="A45" s="148">
        <v>33</v>
      </c>
      <c r="B45" s="148" t="s">
        <v>117</v>
      </c>
      <c r="C45" s="119" t="s">
        <v>118</v>
      </c>
      <c r="D45" s="134"/>
      <c r="E45" s="135"/>
      <c r="F45" s="136"/>
      <c r="G45" s="136"/>
      <c r="H45" s="137"/>
      <c r="I45" s="137"/>
      <c r="J45" s="138"/>
      <c r="K45" s="139"/>
      <c r="L45" s="136"/>
      <c r="M45" s="136"/>
      <c r="N45" s="137"/>
      <c r="O45" s="137"/>
      <c r="P45" s="138"/>
      <c r="Q45" s="138"/>
      <c r="R45" s="137"/>
      <c r="S45" s="137"/>
      <c r="T45" s="140"/>
      <c r="U45" s="134"/>
      <c r="V45" s="135"/>
      <c r="W45" s="136"/>
      <c r="X45" s="136"/>
      <c r="Y45" s="137"/>
      <c r="Z45" s="137"/>
      <c r="AA45" s="138"/>
      <c r="AB45" s="139"/>
      <c r="AC45" s="136"/>
      <c r="AD45" s="136"/>
      <c r="AE45" s="137"/>
      <c r="AF45" s="137"/>
      <c r="AG45" s="138"/>
      <c r="AH45" s="138"/>
      <c r="AI45" s="137"/>
      <c r="AJ45" s="137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127"/>
      <c r="BB45" s="127"/>
      <c r="BC45" s="127"/>
      <c r="BD45" s="127"/>
      <c r="BE45" s="127"/>
      <c r="BF45" s="128"/>
      <c r="BG45" s="129"/>
      <c r="BH45" s="46"/>
      <c r="BI45" s="141">
        <f>SUMIF($D$7:$BG$7,"1",$D45:$BG45)</f>
        <v>5</v>
      </c>
      <c r="BJ45" s="142">
        <f>SUMIFS($D$9:$BG$9,$D$7:$BG$7,"1",$D45:$BG45,"&gt;"&amp;-1)</f>
        <v>10</v>
      </c>
      <c r="BK45" s="143">
        <f t="shared" si="0"/>
        <v>50</v>
      </c>
      <c r="BL45" s="144">
        <f>SUMIF($D$7:$BG$7,"2",$D45:$BG45)</f>
        <v>15</v>
      </c>
      <c r="BM45" s="142">
        <f>SUMIFS($D$9:$BG$9,$D$7:$BG$7,"2",$D45:$BG45,"&gt;"&amp;-1)</f>
        <v>20</v>
      </c>
      <c r="BN45" s="143">
        <f t="shared" si="1"/>
        <v>75</v>
      </c>
      <c r="BO45" s="144">
        <f>SUMIF($D$7:$BG$7,"3",$D45:$BG45)</f>
        <v>10</v>
      </c>
      <c r="BP45" s="142">
        <f>SUMIFS($D$9:$BG$9,$D$7:$BG$7,"3",$D45:$BG45,"&gt;"&amp;-1)</f>
        <v>15</v>
      </c>
      <c r="BQ45" s="143">
        <f t="shared" si="2"/>
        <v>66.67</v>
      </c>
      <c r="BR45" s="144">
        <f>SUMIF($D$7:$BG$7,"4",$D45:$BG45)</f>
        <v>5</v>
      </c>
      <c r="BS45" s="142">
        <f>SUMIFS($D$9:$BG$9,$D$7:$BG$7,"4",$D45:$BG45,"&gt;"&amp;-1)</f>
        <v>10</v>
      </c>
      <c r="BT45" s="143">
        <f t="shared" si="3"/>
        <v>50</v>
      </c>
      <c r="BU45" s="144">
        <f>SUMIF($D$7:$BG$7,"5",$D45:$BG45)</f>
        <v>5</v>
      </c>
      <c r="BV45" s="142">
        <f>SUMIFS($D$9:$BG$9,$D$7:$BG$7,"5",$D45:$BG45,"&gt;"&amp;-1)</f>
        <v>10</v>
      </c>
      <c r="BW45" s="143">
        <f t="shared" si="4"/>
        <v>50</v>
      </c>
      <c r="BX45" s="144">
        <f>SUMIF($D$7:$BG$7,"6",$D45:$BG45)</f>
        <v>0</v>
      </c>
      <c r="BY45" s="142">
        <f>SUMIFS($D$9:$BG$9,$D$7:$BG$7,"6",$D45:$BG45,"&gt;"&amp;-1)</f>
        <v>0</v>
      </c>
      <c r="BZ45" s="143">
        <f t="shared" si="5"/>
        <v>0</v>
      </c>
    </row>
    <row r="46" ht="15.75" customHeight="1" spans="1:78" x14ac:dyDescent="0.25">
      <c r="A46" s="148">
        <v>34</v>
      </c>
      <c r="B46" s="148" t="s">
        <v>119</v>
      </c>
      <c r="C46" s="119" t="s">
        <v>120</v>
      </c>
      <c r="D46" s="134"/>
      <c r="E46" s="135"/>
      <c r="F46" s="136"/>
      <c r="G46" s="136"/>
      <c r="H46" s="137"/>
      <c r="I46" s="137"/>
      <c r="J46" s="138"/>
      <c r="K46" s="139"/>
      <c r="L46" s="136"/>
      <c r="M46" s="136"/>
      <c r="N46" s="137"/>
      <c r="O46" s="137"/>
      <c r="P46" s="138"/>
      <c r="Q46" s="138"/>
      <c r="R46" s="137"/>
      <c r="S46" s="137"/>
      <c r="T46" s="140"/>
      <c r="U46" s="134"/>
      <c r="V46" s="135"/>
      <c r="W46" s="136"/>
      <c r="X46" s="136"/>
      <c r="Y46" s="137"/>
      <c r="Z46" s="137"/>
      <c r="AA46" s="138"/>
      <c r="AB46" s="139"/>
      <c r="AC46" s="136"/>
      <c r="AD46" s="136"/>
      <c r="AE46" s="137"/>
      <c r="AF46" s="137"/>
      <c r="AG46" s="138"/>
      <c r="AH46" s="138"/>
      <c r="AI46" s="137"/>
      <c r="AJ46" s="137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127"/>
      <c r="BB46" s="127"/>
      <c r="BC46" s="127"/>
      <c r="BD46" s="127"/>
      <c r="BE46" s="127"/>
      <c r="BF46" s="128"/>
      <c r="BG46" s="129"/>
      <c r="BH46" s="46"/>
      <c r="BI46" s="141">
        <f>SUMIF($D$7:$BG$7,"1",$D46:$BG46)</f>
        <v>11</v>
      </c>
      <c r="BJ46" s="142">
        <f>SUMIFS($D$9:$BG$9,$D$7:$BG$7,"1",$D46:$BG46,"&gt;"&amp;-1)</f>
        <v>12.5</v>
      </c>
      <c r="BK46" s="143">
        <f t="shared" si="0"/>
        <v>88</v>
      </c>
      <c r="BL46" s="144">
        <f>SUMIF($D$7:$BG$7,"2",$D46:$BG46)</f>
        <v>15</v>
      </c>
      <c r="BM46" s="142">
        <f>SUMIFS($D$9:$BG$9,$D$7:$BG$7,"2",$D46:$BG46,"&gt;"&amp;-1)</f>
        <v>15</v>
      </c>
      <c r="BN46" s="143">
        <f t="shared" si="1"/>
        <v>100</v>
      </c>
      <c r="BO46" s="144">
        <f>SUMIF($D$7:$BG$7,"3",$D46:$BG46)</f>
        <v>16</v>
      </c>
      <c r="BP46" s="142">
        <f>SUMIFS($D$9:$BG$9,$D$7:$BG$7,"3",$D46:$BG46,"&gt;"&amp;-1)</f>
        <v>20</v>
      </c>
      <c r="BQ46" s="143">
        <f t="shared" si="2"/>
        <v>80</v>
      </c>
      <c r="BR46" s="144">
        <f>SUMIF($D$7:$BG$7,"4",$D46:$BG46)</f>
        <v>10</v>
      </c>
      <c r="BS46" s="142">
        <f>SUMIFS($D$9:$BG$9,$D$7:$BG$7,"4",$D46:$BG46,"&gt;"&amp;-1)</f>
        <v>10</v>
      </c>
      <c r="BT46" s="143">
        <f t="shared" si="3"/>
        <v>100</v>
      </c>
      <c r="BU46" s="144">
        <f>SUMIF($D$7:$BG$7,"5",$D46:$BG46)</f>
        <v>10</v>
      </c>
      <c r="BV46" s="142">
        <f>SUMIFS($D$9:$BG$9,$D$7:$BG$7,"5",$D46:$BG46,"&gt;"&amp;-1)</f>
        <v>10</v>
      </c>
      <c r="BW46" s="143">
        <f t="shared" si="4"/>
        <v>100</v>
      </c>
      <c r="BX46" s="144">
        <f>SUMIF($D$7:$BG$7,"6",$D46:$BG46)</f>
        <v>0</v>
      </c>
      <c r="BY46" s="142">
        <f>SUMIFS($D$9:$BG$9,$D$7:$BG$7,"6",$D46:$BG46,"&gt;"&amp;-1)</f>
        <v>0</v>
      </c>
      <c r="BZ46" s="143">
        <f t="shared" si="5"/>
        <v>0</v>
      </c>
    </row>
    <row r="47" ht="15.75" customHeight="1" spans="1:78" x14ac:dyDescent="0.25">
      <c r="A47" s="148">
        <v>35</v>
      </c>
      <c r="B47" s="148" t="s">
        <v>121</v>
      </c>
      <c r="C47" s="119" t="s">
        <v>122</v>
      </c>
      <c r="D47" s="134"/>
      <c r="E47" s="135"/>
      <c r="F47" s="136"/>
      <c r="G47" s="136"/>
      <c r="H47" s="137"/>
      <c r="I47" s="137"/>
      <c r="J47" s="138"/>
      <c r="K47" s="139"/>
      <c r="L47" s="136"/>
      <c r="M47" s="136"/>
      <c r="N47" s="137"/>
      <c r="O47" s="137"/>
      <c r="P47" s="138"/>
      <c r="Q47" s="138"/>
      <c r="R47" s="137"/>
      <c r="S47" s="137"/>
      <c r="T47" s="140"/>
      <c r="U47" s="134"/>
      <c r="V47" s="135"/>
      <c r="W47" s="136"/>
      <c r="X47" s="136"/>
      <c r="Y47" s="137"/>
      <c r="Z47" s="137"/>
      <c r="AA47" s="138"/>
      <c r="AB47" s="139"/>
      <c r="AC47" s="136"/>
      <c r="AD47" s="136"/>
      <c r="AE47" s="137"/>
      <c r="AF47" s="137"/>
      <c r="AG47" s="138"/>
      <c r="AH47" s="138"/>
      <c r="AI47" s="137"/>
      <c r="AJ47" s="137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127"/>
      <c r="BB47" s="127"/>
      <c r="BC47" s="127"/>
      <c r="BD47" s="127"/>
      <c r="BE47" s="127"/>
      <c r="BF47" s="128"/>
      <c r="BG47" s="129"/>
      <c r="BH47" s="46"/>
      <c r="BI47" s="141">
        <f>SUMIF($D$7:$BG$7,"1",$D47:$BG47)</f>
        <v>5</v>
      </c>
      <c r="BJ47" s="142">
        <f>SUMIFS($D$9:$BG$9,$D$7:$BG$7,"1",$D47:$BG47,"&gt;"&amp;-1)</f>
        <v>10</v>
      </c>
      <c r="BK47" s="143">
        <f t="shared" si="0"/>
        <v>50</v>
      </c>
      <c r="BL47" s="144">
        <f>SUMIF($D$7:$BG$7,"2",$D47:$BG47)</f>
        <v>15</v>
      </c>
      <c r="BM47" s="142">
        <f>SUMIFS($D$9:$BG$9,$D$7:$BG$7,"2",$D47:$BG47,"&gt;"&amp;-1)</f>
        <v>20</v>
      </c>
      <c r="BN47" s="143">
        <f t="shared" si="1"/>
        <v>75</v>
      </c>
      <c r="BO47" s="144">
        <f>SUMIF($D$7:$BG$7,"3",$D47:$BG47)</f>
        <v>16</v>
      </c>
      <c r="BP47" s="142">
        <f>SUMIFS($D$9:$BG$9,$D$7:$BG$7,"3",$D47:$BG47,"&gt;"&amp;-1)</f>
        <v>25</v>
      </c>
      <c r="BQ47" s="143">
        <f t="shared" si="2"/>
        <v>64</v>
      </c>
      <c r="BR47" s="144">
        <f>SUMIF($D$7:$BG$7,"4",$D47:$BG47)</f>
        <v>5</v>
      </c>
      <c r="BS47" s="142">
        <f>SUMIFS($D$9:$BG$9,$D$7:$BG$7,"4",$D47:$BG47,"&gt;"&amp;-1)</f>
        <v>10</v>
      </c>
      <c r="BT47" s="143">
        <f t="shared" si="3"/>
        <v>50</v>
      </c>
      <c r="BU47" s="144">
        <f>SUMIF($D$7:$BG$7,"5",$D47:$BG47)</f>
        <v>5</v>
      </c>
      <c r="BV47" s="142">
        <f>SUMIFS($D$9:$BG$9,$D$7:$BG$7,"5",$D47:$BG47,"&gt;"&amp;-1)</f>
        <v>10</v>
      </c>
      <c r="BW47" s="143">
        <f t="shared" si="4"/>
        <v>50</v>
      </c>
      <c r="BX47" s="144">
        <f>SUMIF($D$7:$BG$7,"6",$D47:$BG47)</f>
        <v>0</v>
      </c>
      <c r="BY47" s="142">
        <f>SUMIFS($D$9:$BG$9,$D$7:$BG$7,"6",$D47:$BG47,"&gt;"&amp;-1)</f>
        <v>0</v>
      </c>
      <c r="BZ47" s="143">
        <f t="shared" si="5"/>
        <v>0</v>
      </c>
    </row>
    <row r="48" ht="15.75" customHeight="1" spans="1:78" x14ac:dyDescent="0.25">
      <c r="A48" s="149">
        <v>36</v>
      </c>
      <c r="B48" s="148" t="s">
        <v>123</v>
      </c>
      <c r="C48" s="119" t="s">
        <v>124</v>
      </c>
      <c r="D48" s="134"/>
      <c r="E48" s="135"/>
      <c r="F48" s="136"/>
      <c r="G48" s="136"/>
      <c r="H48" s="137"/>
      <c r="I48" s="137"/>
      <c r="J48" s="138"/>
      <c r="K48" s="139"/>
      <c r="L48" s="136"/>
      <c r="M48" s="136"/>
      <c r="N48" s="137"/>
      <c r="O48" s="137"/>
      <c r="P48" s="138"/>
      <c r="Q48" s="138"/>
      <c r="R48" s="137"/>
      <c r="S48" s="137"/>
      <c r="T48" s="140"/>
      <c r="U48" s="134"/>
      <c r="V48" s="135"/>
      <c r="W48" s="136"/>
      <c r="X48" s="136"/>
      <c r="Y48" s="137"/>
      <c r="Z48" s="137"/>
      <c r="AA48" s="138"/>
      <c r="AB48" s="139"/>
      <c r="AC48" s="136"/>
      <c r="AD48" s="136"/>
      <c r="AE48" s="137"/>
      <c r="AF48" s="137"/>
      <c r="AG48" s="138"/>
      <c r="AH48" s="138"/>
      <c r="AI48" s="137"/>
      <c r="AJ48" s="137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127"/>
      <c r="BB48" s="127"/>
      <c r="BC48" s="127"/>
      <c r="BD48" s="127"/>
      <c r="BE48" s="127"/>
      <c r="BF48" s="128"/>
      <c r="BG48" s="129"/>
      <c r="BH48" s="46"/>
      <c r="BI48" s="141">
        <f>SUMIF($D$7:$BG$7,"1",$D48:$BG48)</f>
        <v>5</v>
      </c>
      <c r="BJ48" s="142">
        <f>SUMIFS($D$9:$BG$9,$D$7:$BG$7,"1",$D48:$BG48,"&gt;"&amp;-1)</f>
        <v>10</v>
      </c>
      <c r="BK48" s="143">
        <f t="shared" si="0"/>
        <v>50</v>
      </c>
      <c r="BL48" s="144">
        <f>SUMIF($D$7:$BG$7,"2",$D48:$BG48)</f>
        <v>19</v>
      </c>
      <c r="BM48" s="142">
        <f>SUMIFS($D$9:$BG$9,$D$7:$BG$7,"2",$D48:$BG48,"&gt;"&amp;-1)</f>
        <v>25</v>
      </c>
      <c r="BN48" s="143">
        <f t="shared" si="1"/>
        <v>76</v>
      </c>
      <c r="BO48" s="144">
        <f>SUMIF($D$7:$BG$7,"3",$D48:$BG48)</f>
        <v>25</v>
      </c>
      <c r="BP48" s="142">
        <f>SUMIFS($D$9:$BG$9,$D$7:$BG$7,"3",$D48:$BG48,"&gt;"&amp;-1)</f>
        <v>30</v>
      </c>
      <c r="BQ48" s="143">
        <f t="shared" si="2"/>
        <v>83.34</v>
      </c>
      <c r="BR48" s="144">
        <f>SUMIF($D$7:$BG$7,"4",$D48:$BG48)</f>
        <v>10</v>
      </c>
      <c r="BS48" s="142">
        <f>SUMIFS($D$9:$BG$9,$D$7:$BG$7,"4",$D48:$BG48,"&gt;"&amp;-1)</f>
        <v>15</v>
      </c>
      <c r="BT48" s="143">
        <f t="shared" si="3"/>
        <v>66.67</v>
      </c>
      <c r="BU48" s="144">
        <f>SUMIF($D$7:$BG$7,"5",$D48:$BG48)</f>
        <v>9</v>
      </c>
      <c r="BV48" s="142">
        <f>SUMIFS($D$9:$BG$9,$D$7:$BG$7,"5",$D48:$BG48,"&gt;"&amp;-1)</f>
        <v>20</v>
      </c>
      <c r="BW48" s="143">
        <f t="shared" si="4"/>
        <v>45</v>
      </c>
      <c r="BX48" s="144">
        <f>SUMIF($D$7:$BG$7,"6",$D48:$BG48)</f>
        <v>0</v>
      </c>
      <c r="BY48" s="142">
        <f>SUMIFS($D$9:$BG$9,$D$7:$BG$7,"6",$D48:$BG48,"&gt;"&amp;-1)</f>
        <v>0</v>
      </c>
      <c r="BZ48" s="143">
        <f t="shared" si="5"/>
        <v>0</v>
      </c>
    </row>
    <row r="49" ht="15.75" customHeight="1" spans="1:78" x14ac:dyDescent="0.25">
      <c r="A49" s="148">
        <v>37</v>
      </c>
      <c r="B49" s="148" t="s">
        <v>125</v>
      </c>
      <c r="C49" s="119" t="s">
        <v>126</v>
      </c>
      <c r="D49" s="134"/>
      <c r="E49" s="135"/>
      <c r="F49" s="136"/>
      <c r="G49" s="136"/>
      <c r="H49" s="137"/>
      <c r="I49" s="137"/>
      <c r="J49" s="138"/>
      <c r="K49" s="139"/>
      <c r="L49" s="136"/>
      <c r="M49" s="136"/>
      <c r="N49" s="137"/>
      <c r="O49" s="137"/>
      <c r="P49" s="138"/>
      <c r="Q49" s="138"/>
      <c r="R49" s="137"/>
      <c r="S49" s="137"/>
      <c r="T49" s="140"/>
      <c r="U49" s="134"/>
      <c r="V49" s="135"/>
      <c r="W49" s="136"/>
      <c r="X49" s="136"/>
      <c r="Y49" s="137"/>
      <c r="Z49" s="137"/>
      <c r="AA49" s="138"/>
      <c r="AB49" s="139"/>
      <c r="AC49" s="136"/>
      <c r="AD49" s="136"/>
      <c r="AE49" s="137"/>
      <c r="AF49" s="137"/>
      <c r="AG49" s="138"/>
      <c r="AH49" s="138"/>
      <c r="AI49" s="137"/>
      <c r="AJ49" s="137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127"/>
      <c r="BB49" s="127"/>
      <c r="BC49" s="127"/>
      <c r="BD49" s="127"/>
      <c r="BE49" s="127"/>
      <c r="BF49" s="128"/>
      <c r="BG49" s="129"/>
      <c r="BH49" s="46"/>
      <c r="BI49" s="141">
        <f>SUMIF($D$7:$BG$7,"1",$D49:$BG49)</f>
        <v>15</v>
      </c>
      <c r="BJ49" s="142">
        <f>SUMIFS($D$9:$BG$9,$D$7:$BG$7,"1",$D49:$BG49,"&gt;"&amp;-1)</f>
        <v>15</v>
      </c>
      <c r="BK49" s="143">
        <f t="shared" si="0"/>
        <v>100</v>
      </c>
      <c r="BL49" s="144">
        <f>SUMIF($D$7:$BG$7,"2",$D49:$BG49)</f>
        <v>25</v>
      </c>
      <c r="BM49" s="142">
        <f>SUMIFS($D$9:$BG$9,$D$7:$BG$7,"2",$D49:$BG49,"&gt;"&amp;-1)</f>
        <v>25</v>
      </c>
      <c r="BN49" s="143">
        <f t="shared" si="1"/>
        <v>100</v>
      </c>
      <c r="BO49" s="144">
        <f>SUMIF($D$7:$BG$7,"3",$D49:$BG49)</f>
        <v>25</v>
      </c>
      <c r="BP49" s="142">
        <f>SUMIFS($D$9:$BG$9,$D$7:$BG$7,"3",$D49:$BG49,"&gt;"&amp;-1)</f>
        <v>25</v>
      </c>
      <c r="BQ49" s="143">
        <f t="shared" si="2"/>
        <v>100</v>
      </c>
      <c r="BR49" s="144">
        <f>SUMIF($D$7:$BG$7,"4",$D49:$BG49)</f>
        <v>14</v>
      </c>
      <c r="BS49" s="142">
        <f>SUMIFS($D$9:$BG$9,$D$7:$BG$7,"4",$D49:$BG49,"&gt;"&amp;-1)</f>
        <v>15</v>
      </c>
      <c r="BT49" s="143">
        <f t="shared" si="3"/>
        <v>93.34</v>
      </c>
      <c r="BU49" s="144">
        <f>SUMIF($D$7:$BG$7,"5",$D49:$BG49)</f>
        <v>15</v>
      </c>
      <c r="BV49" s="142">
        <f>SUMIFS($D$9:$BG$9,$D$7:$BG$7,"5",$D49:$BG49,"&gt;"&amp;-1)</f>
        <v>20</v>
      </c>
      <c r="BW49" s="143">
        <f t="shared" si="4"/>
        <v>75</v>
      </c>
      <c r="BX49" s="144">
        <f>SUMIF($D$7:$BG$7,"6",$D49:$BG49)</f>
        <v>0</v>
      </c>
      <c r="BY49" s="142">
        <f>SUMIFS($D$9:$BG$9,$D$7:$BG$7,"6",$D49:$BG49,"&gt;"&amp;-1)</f>
        <v>0</v>
      </c>
      <c r="BZ49" s="143">
        <f t="shared" si="5"/>
        <v>0</v>
      </c>
    </row>
    <row r="50" ht="15.75" customHeight="1" spans="1:78" x14ac:dyDescent="0.25">
      <c r="A50" s="148">
        <v>38</v>
      </c>
      <c r="B50" s="148" t="s">
        <v>127</v>
      </c>
      <c r="C50" s="119" t="s">
        <v>128</v>
      </c>
      <c r="D50" s="134"/>
      <c r="E50" s="135"/>
      <c r="F50" s="136"/>
      <c r="G50" s="136"/>
      <c r="H50" s="137"/>
      <c r="I50" s="137"/>
      <c r="J50" s="138"/>
      <c r="K50" s="139"/>
      <c r="L50" s="136"/>
      <c r="M50" s="136"/>
      <c r="N50" s="137"/>
      <c r="O50" s="137"/>
      <c r="P50" s="138"/>
      <c r="Q50" s="138"/>
      <c r="R50" s="137"/>
      <c r="S50" s="137"/>
      <c r="T50" s="140"/>
      <c r="U50" s="134"/>
      <c r="V50" s="135"/>
      <c r="W50" s="136"/>
      <c r="X50" s="136"/>
      <c r="Y50" s="137"/>
      <c r="Z50" s="137"/>
      <c r="AA50" s="138"/>
      <c r="AB50" s="139"/>
      <c r="AC50" s="136"/>
      <c r="AD50" s="136"/>
      <c r="AE50" s="137"/>
      <c r="AF50" s="137"/>
      <c r="AG50" s="138"/>
      <c r="AH50" s="138"/>
      <c r="AI50" s="137"/>
      <c r="AJ50" s="137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127"/>
      <c r="BB50" s="127"/>
      <c r="BC50" s="127"/>
      <c r="BD50" s="127"/>
      <c r="BE50" s="127"/>
      <c r="BF50" s="128"/>
      <c r="BG50" s="129"/>
      <c r="BH50" s="46"/>
      <c r="BI50" s="141">
        <f>SUMIF($D$7:$BG$7,"1",$D50:$BG50)</f>
        <v>10</v>
      </c>
      <c r="BJ50" s="142">
        <f>SUMIFS($D$9:$BG$9,$D$7:$BG$7,"1",$D50:$BG50,"&gt;"&amp;-1)</f>
        <v>10</v>
      </c>
      <c r="BK50" s="143">
        <f t="shared" si="0"/>
        <v>100</v>
      </c>
      <c r="BL50" s="144">
        <f>SUMIF($D$7:$BG$7,"2",$D50:$BG50)</f>
        <v>24</v>
      </c>
      <c r="BM50" s="142">
        <f>SUMIFS($D$9:$BG$9,$D$7:$BG$7,"2",$D50:$BG50,"&gt;"&amp;-1)</f>
        <v>25</v>
      </c>
      <c r="BN50" s="143">
        <f t="shared" si="1"/>
        <v>96</v>
      </c>
      <c r="BO50" s="144">
        <f>SUMIF($D$7:$BG$7,"3",$D50:$BG50)</f>
        <v>29</v>
      </c>
      <c r="BP50" s="142">
        <f>SUMIFS($D$9:$BG$9,$D$7:$BG$7,"3",$D50:$BG50,"&gt;"&amp;-1)</f>
        <v>30</v>
      </c>
      <c r="BQ50" s="143">
        <f t="shared" si="2"/>
        <v>96.67</v>
      </c>
      <c r="BR50" s="144">
        <f>SUMIF($D$7:$BG$7,"4",$D50:$BG50)</f>
        <v>15</v>
      </c>
      <c r="BS50" s="142">
        <f>SUMIFS($D$9:$BG$9,$D$7:$BG$7,"4",$D50:$BG50,"&gt;"&amp;-1)</f>
        <v>15</v>
      </c>
      <c r="BT50" s="143">
        <f t="shared" si="3"/>
        <v>100</v>
      </c>
      <c r="BU50" s="144">
        <f>SUMIF($D$7:$BG$7,"5",$D50:$BG50)</f>
        <v>14</v>
      </c>
      <c r="BV50" s="142">
        <f>SUMIFS($D$9:$BG$9,$D$7:$BG$7,"5",$D50:$BG50,"&gt;"&amp;-1)</f>
        <v>20</v>
      </c>
      <c r="BW50" s="143">
        <f t="shared" si="4"/>
        <v>70</v>
      </c>
      <c r="BX50" s="144">
        <f>SUMIF($D$7:$BG$7,"6",$D50:$BG50)</f>
        <v>0</v>
      </c>
      <c r="BY50" s="142">
        <f>SUMIFS($D$9:$BG$9,$D$7:$BG$7,"6",$D50:$BG50,"&gt;"&amp;-1)</f>
        <v>0</v>
      </c>
      <c r="BZ50" s="143">
        <f t="shared" si="5"/>
        <v>0</v>
      </c>
    </row>
    <row r="51" ht="15.75" customHeight="1" spans="1:78" x14ac:dyDescent="0.25">
      <c r="A51" s="148">
        <v>39</v>
      </c>
      <c r="B51" s="148" t="s">
        <v>129</v>
      </c>
      <c r="C51" s="119" t="s">
        <v>130</v>
      </c>
      <c r="D51" s="134"/>
      <c r="E51" s="135"/>
      <c r="F51" s="136"/>
      <c r="G51" s="136"/>
      <c r="H51" s="137"/>
      <c r="I51" s="137"/>
      <c r="J51" s="138"/>
      <c r="K51" s="139"/>
      <c r="L51" s="136"/>
      <c r="M51" s="136"/>
      <c r="N51" s="137"/>
      <c r="O51" s="137"/>
      <c r="P51" s="138"/>
      <c r="Q51" s="138"/>
      <c r="R51" s="137"/>
      <c r="S51" s="137"/>
      <c r="T51" s="140"/>
      <c r="U51" s="134"/>
      <c r="V51" s="135"/>
      <c r="W51" s="136"/>
      <c r="X51" s="136"/>
      <c r="Y51" s="137"/>
      <c r="Z51" s="137"/>
      <c r="AA51" s="138"/>
      <c r="AB51" s="139"/>
      <c r="AC51" s="136"/>
      <c r="AD51" s="136"/>
      <c r="AE51" s="137"/>
      <c r="AF51" s="137"/>
      <c r="AG51" s="138"/>
      <c r="AH51" s="138"/>
      <c r="AI51" s="137"/>
      <c r="AJ51" s="137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127"/>
      <c r="BB51" s="127"/>
      <c r="BC51" s="127"/>
      <c r="BD51" s="127"/>
      <c r="BE51" s="127"/>
      <c r="BF51" s="128"/>
      <c r="BG51" s="129"/>
      <c r="BH51" s="46"/>
      <c r="BI51" s="141">
        <f>SUMIF($D$7:$BG$7,"1",$D51:$BG51)</f>
        <v>15</v>
      </c>
      <c r="BJ51" s="142">
        <f>SUMIFS($D$9:$BG$9,$D$7:$BG$7,"1",$D51:$BG51,"&gt;"&amp;-1)</f>
        <v>15</v>
      </c>
      <c r="BK51" s="143">
        <f t="shared" si="0"/>
        <v>100</v>
      </c>
      <c r="BL51" s="144">
        <f>SUMIF($D$7:$BG$7,"2",$D51:$BG51)</f>
        <v>19</v>
      </c>
      <c r="BM51" s="142">
        <f>SUMIFS($D$9:$BG$9,$D$7:$BG$7,"2",$D51:$BG51,"&gt;"&amp;-1)</f>
        <v>20</v>
      </c>
      <c r="BN51" s="143">
        <f t="shared" si="1"/>
        <v>95</v>
      </c>
      <c r="BO51" s="144">
        <f>SUMIF($D$7:$BG$7,"3",$D51:$BG51)</f>
        <v>30</v>
      </c>
      <c r="BP51" s="142">
        <f>SUMIFS($D$9:$BG$9,$D$7:$BG$7,"3",$D51:$BG51,"&gt;"&amp;-1)</f>
        <v>30</v>
      </c>
      <c r="BQ51" s="143">
        <f t="shared" si="2"/>
        <v>100</v>
      </c>
      <c r="BR51" s="144">
        <f>SUMIF($D$7:$BG$7,"4",$D51:$BG51)</f>
        <v>15</v>
      </c>
      <c r="BS51" s="142">
        <f>SUMIFS($D$9:$BG$9,$D$7:$BG$7,"4",$D51:$BG51,"&gt;"&amp;-1)</f>
        <v>15</v>
      </c>
      <c r="BT51" s="143">
        <f t="shared" si="3"/>
        <v>100</v>
      </c>
      <c r="BU51" s="144">
        <f>SUMIF($D$7:$BG$7,"5",$D51:$BG51)</f>
        <v>14</v>
      </c>
      <c r="BV51" s="142">
        <f>SUMIFS($D$9:$BG$9,$D$7:$BG$7,"5",$D51:$BG51,"&gt;"&amp;-1)</f>
        <v>20</v>
      </c>
      <c r="BW51" s="143">
        <f t="shared" si="4"/>
        <v>70</v>
      </c>
      <c r="BX51" s="144">
        <f>SUMIF($D$7:$BG$7,"6",$D51:$BG51)</f>
        <v>0</v>
      </c>
      <c r="BY51" s="142">
        <f>SUMIFS($D$9:$BG$9,$D$7:$BG$7,"6",$D51:$BG51,"&gt;"&amp;-1)</f>
        <v>0</v>
      </c>
      <c r="BZ51" s="143">
        <f t="shared" si="5"/>
        <v>0</v>
      </c>
    </row>
    <row r="52" ht="15.75" customHeight="1" spans="1:78" x14ac:dyDescent="0.25">
      <c r="A52" s="149">
        <v>40</v>
      </c>
      <c r="B52" s="148" t="s">
        <v>131</v>
      </c>
      <c r="C52" s="119" t="s">
        <v>132</v>
      </c>
      <c r="D52" s="134"/>
      <c r="E52" s="135"/>
      <c r="F52" s="136"/>
      <c r="G52" s="136"/>
      <c r="H52" s="137"/>
      <c r="I52" s="137"/>
      <c r="J52" s="138"/>
      <c r="K52" s="139"/>
      <c r="L52" s="136"/>
      <c r="M52" s="136"/>
      <c r="N52" s="137"/>
      <c r="O52" s="137"/>
      <c r="P52" s="138"/>
      <c r="Q52" s="138"/>
      <c r="R52" s="137"/>
      <c r="S52" s="137"/>
      <c r="T52" s="140"/>
      <c r="U52" s="134"/>
      <c r="V52" s="135"/>
      <c r="W52" s="136"/>
      <c r="X52" s="136"/>
      <c r="Y52" s="137"/>
      <c r="Z52" s="137"/>
      <c r="AA52" s="138"/>
      <c r="AB52" s="139"/>
      <c r="AC52" s="136"/>
      <c r="AD52" s="136"/>
      <c r="AE52" s="137"/>
      <c r="AF52" s="137"/>
      <c r="AG52" s="138"/>
      <c r="AH52" s="138"/>
      <c r="AI52" s="137"/>
      <c r="AJ52" s="137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127"/>
      <c r="BB52" s="127"/>
      <c r="BC52" s="127"/>
      <c r="BD52" s="127"/>
      <c r="BE52" s="127"/>
      <c r="BF52" s="128"/>
      <c r="BG52" s="129"/>
      <c r="BH52" s="46"/>
      <c r="BI52" s="141">
        <f>SUMIF($D$7:$BG$7,"1",$D52:$BG52)</f>
        <v>5</v>
      </c>
      <c r="BJ52" s="142">
        <f>SUMIFS($D$9:$BG$9,$D$7:$BG$7,"1",$D52:$BG52,"&gt;"&amp;-1)</f>
        <v>10</v>
      </c>
      <c r="BK52" s="143">
        <f t="shared" si="0"/>
        <v>50</v>
      </c>
      <c r="BL52" s="144">
        <f>SUMIF($D$7:$BG$7,"2",$D52:$BG52)</f>
        <v>19</v>
      </c>
      <c r="BM52" s="142">
        <f>SUMIFS($D$9:$BG$9,$D$7:$BG$7,"2",$D52:$BG52,"&gt;"&amp;-1)</f>
        <v>28</v>
      </c>
      <c r="BN52" s="143">
        <f t="shared" si="1"/>
        <v>67.86</v>
      </c>
      <c r="BO52" s="144">
        <f>SUMIF($D$7:$BG$7,"3",$D52:$BG52)</f>
        <v>12</v>
      </c>
      <c r="BP52" s="142">
        <f>SUMIFS($D$9:$BG$9,$D$7:$BG$7,"3",$D52:$BG52,"&gt;"&amp;-1)</f>
        <v>25</v>
      </c>
      <c r="BQ52" s="143">
        <f t="shared" si="2"/>
        <v>48</v>
      </c>
      <c r="BR52" s="144">
        <f>SUMIF($D$7:$BG$7,"4",$D52:$BG52)</f>
        <v>10</v>
      </c>
      <c r="BS52" s="142">
        <f>SUMIFS($D$9:$BG$9,$D$7:$BG$7,"4",$D52:$BG52,"&gt;"&amp;-1)</f>
        <v>15</v>
      </c>
      <c r="BT52" s="143">
        <f t="shared" si="3"/>
        <v>66.67</v>
      </c>
      <c r="BU52" s="144">
        <f>SUMIF($D$7:$BG$7,"5",$D52:$BG52)</f>
        <v>7</v>
      </c>
      <c r="BV52" s="142">
        <f>SUMIFS($D$9:$BG$9,$D$7:$BG$7,"5",$D52:$BG52,"&gt;"&amp;-1)</f>
        <v>15</v>
      </c>
      <c r="BW52" s="143">
        <f t="shared" si="4"/>
        <v>46.669999999999995</v>
      </c>
      <c r="BX52" s="144">
        <f>SUMIF($D$7:$BG$7,"6",$D52:$BG52)</f>
        <v>0</v>
      </c>
      <c r="BY52" s="142">
        <f>SUMIFS($D$9:$BG$9,$D$7:$BG$7,"6",$D52:$BG52,"&gt;"&amp;-1)</f>
        <v>0</v>
      </c>
      <c r="BZ52" s="143">
        <f t="shared" si="5"/>
        <v>0</v>
      </c>
    </row>
    <row r="53" ht="15.75" customHeight="1" spans="1:78" x14ac:dyDescent="0.25">
      <c r="A53" s="149">
        <v>41</v>
      </c>
      <c r="B53" s="148" t="s">
        <v>133</v>
      </c>
      <c r="C53" s="119" t="s">
        <v>134</v>
      </c>
      <c r="D53" s="134"/>
      <c r="E53" s="135"/>
      <c r="F53" s="136"/>
      <c r="G53" s="136"/>
      <c r="H53" s="137"/>
      <c r="I53" s="137"/>
      <c r="J53" s="138"/>
      <c r="K53" s="139"/>
      <c r="L53" s="136"/>
      <c r="M53" s="136"/>
      <c r="N53" s="137"/>
      <c r="O53" s="137"/>
      <c r="P53" s="138"/>
      <c r="Q53" s="138"/>
      <c r="R53" s="137"/>
      <c r="S53" s="137"/>
      <c r="T53" s="140"/>
      <c r="U53" s="134"/>
      <c r="V53" s="135"/>
      <c r="W53" s="136"/>
      <c r="X53" s="136"/>
      <c r="Y53" s="137"/>
      <c r="Z53" s="137"/>
      <c r="AA53" s="138"/>
      <c r="AB53" s="139"/>
      <c r="AC53" s="136"/>
      <c r="AD53" s="136"/>
      <c r="AE53" s="137"/>
      <c r="AF53" s="137"/>
      <c r="AG53" s="138"/>
      <c r="AH53" s="138"/>
      <c r="AI53" s="137"/>
      <c r="AJ53" s="137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127"/>
      <c r="BB53" s="127"/>
      <c r="BC53" s="127"/>
      <c r="BD53" s="127"/>
      <c r="BE53" s="127"/>
      <c r="BF53" s="128"/>
      <c r="BG53" s="129"/>
      <c r="BH53" s="46"/>
      <c r="BI53" s="141">
        <f>SUMIF($D$7:$BG$7,"1",$D53:$BG53)</f>
        <v>15</v>
      </c>
      <c r="BJ53" s="142">
        <f>SUMIFS($D$9:$BG$9,$D$7:$BG$7,"1",$D53:$BG53,"&gt;"&amp;-1)</f>
        <v>15</v>
      </c>
      <c r="BK53" s="143">
        <f t="shared" si="0"/>
        <v>100</v>
      </c>
      <c r="BL53" s="144">
        <f>SUMIF($D$7:$BG$7,"2",$D53:$BG53)</f>
        <v>29</v>
      </c>
      <c r="BM53" s="142">
        <f>SUMIFS($D$9:$BG$9,$D$7:$BG$7,"2",$D53:$BG53,"&gt;"&amp;-1)</f>
        <v>30</v>
      </c>
      <c r="BN53" s="143">
        <f t="shared" si="1"/>
        <v>96.67</v>
      </c>
      <c r="BO53" s="144">
        <f>SUMIF($D$7:$BG$7,"3",$D53:$BG53)</f>
        <v>29</v>
      </c>
      <c r="BP53" s="142">
        <f>SUMIFS($D$9:$BG$9,$D$7:$BG$7,"3",$D53:$BG53,"&gt;"&amp;-1)</f>
        <v>30</v>
      </c>
      <c r="BQ53" s="143">
        <f t="shared" si="2"/>
        <v>96.67</v>
      </c>
      <c r="BR53" s="144">
        <f>SUMIF($D$7:$BG$7,"4",$D53:$BG53)</f>
        <v>15</v>
      </c>
      <c r="BS53" s="142">
        <f>SUMIFS($D$9:$BG$9,$D$7:$BG$7,"4",$D53:$BG53,"&gt;"&amp;-1)</f>
        <v>15</v>
      </c>
      <c r="BT53" s="143">
        <f t="shared" si="3"/>
        <v>100</v>
      </c>
      <c r="BU53" s="144">
        <f>SUMIF($D$7:$BG$7,"5",$D53:$BG53)</f>
        <v>14</v>
      </c>
      <c r="BV53" s="142">
        <f>SUMIFS($D$9:$BG$9,$D$7:$BG$7,"5",$D53:$BG53,"&gt;"&amp;-1)</f>
        <v>20</v>
      </c>
      <c r="BW53" s="143">
        <f t="shared" si="4"/>
        <v>70</v>
      </c>
      <c r="BX53" s="144">
        <f>SUMIF($D$7:$BG$7,"6",$D53:$BG53)</f>
        <v>0</v>
      </c>
      <c r="BY53" s="142">
        <f>SUMIFS($D$9:$BG$9,$D$7:$BG$7,"6",$D53:$BG53,"&gt;"&amp;-1)</f>
        <v>0</v>
      </c>
      <c r="BZ53" s="143">
        <f t="shared" si="5"/>
        <v>0</v>
      </c>
    </row>
    <row r="54" ht="15.75" customHeight="1" spans="1:78" x14ac:dyDescent="0.25">
      <c r="A54" s="149">
        <v>42</v>
      </c>
      <c r="B54" s="148" t="s">
        <v>135</v>
      </c>
      <c r="C54" s="119" t="s">
        <v>136</v>
      </c>
      <c r="D54" s="134"/>
      <c r="E54" s="135"/>
      <c r="F54" s="136"/>
      <c r="G54" s="136"/>
      <c r="H54" s="137"/>
      <c r="I54" s="137"/>
      <c r="J54" s="138"/>
      <c r="K54" s="139"/>
      <c r="L54" s="136"/>
      <c r="M54" s="136"/>
      <c r="N54" s="137"/>
      <c r="O54" s="137"/>
      <c r="P54" s="138"/>
      <c r="Q54" s="138"/>
      <c r="R54" s="137"/>
      <c r="S54" s="137"/>
      <c r="T54" s="140"/>
      <c r="U54" s="134"/>
      <c r="V54" s="135"/>
      <c r="W54" s="136"/>
      <c r="X54" s="136"/>
      <c r="Y54" s="137"/>
      <c r="Z54" s="137"/>
      <c r="AA54" s="138"/>
      <c r="AB54" s="139"/>
      <c r="AC54" s="136"/>
      <c r="AD54" s="136"/>
      <c r="AE54" s="137"/>
      <c r="AF54" s="137"/>
      <c r="AG54" s="138"/>
      <c r="AH54" s="138"/>
      <c r="AI54" s="137"/>
      <c r="AJ54" s="137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127"/>
      <c r="BB54" s="127"/>
      <c r="BC54" s="127"/>
      <c r="BD54" s="127"/>
      <c r="BE54" s="127"/>
      <c r="BF54" s="128"/>
      <c r="BG54" s="129"/>
      <c r="BH54" s="46"/>
      <c r="BI54" s="141">
        <f>SUMIF($D$7:$BG$7,"1",$D54:$BG54)</f>
        <v>6</v>
      </c>
      <c r="BJ54" s="142">
        <f>SUMIFS($D$9:$BG$9,$D$7:$BG$7,"1",$D54:$BG54,"&gt;"&amp;-1)</f>
        <v>15</v>
      </c>
      <c r="BK54" s="143">
        <f t="shared" si="0"/>
        <v>40</v>
      </c>
      <c r="BL54" s="144">
        <f>SUMIF($D$7:$BG$7,"2",$D54:$BG54)</f>
        <v>17</v>
      </c>
      <c r="BM54" s="142">
        <f>SUMIFS($D$9:$BG$9,$D$7:$BG$7,"2",$D54:$BG54,"&gt;"&amp;-1)</f>
        <v>22</v>
      </c>
      <c r="BN54" s="143">
        <f t="shared" si="1"/>
        <v>77.28</v>
      </c>
      <c r="BO54" s="144">
        <f>SUMIF($D$7:$BG$7,"3",$D54:$BG54)</f>
        <v>11</v>
      </c>
      <c r="BP54" s="142">
        <f>SUMIFS($D$9:$BG$9,$D$7:$BG$7,"3",$D54:$BG54,"&gt;"&amp;-1)</f>
        <v>20</v>
      </c>
      <c r="BQ54" s="143">
        <f t="shared" si="2"/>
        <v>55</v>
      </c>
      <c r="BR54" s="144">
        <f>SUMIF($D$7:$BG$7,"4",$D54:$BG54)</f>
        <v>7</v>
      </c>
      <c r="BS54" s="142">
        <f>SUMIFS($D$9:$BG$9,$D$7:$BG$7,"4",$D54:$BG54,"&gt;"&amp;-1)</f>
        <v>15</v>
      </c>
      <c r="BT54" s="143">
        <f t="shared" si="3"/>
        <v>46.669999999999995</v>
      </c>
      <c r="BU54" s="144">
        <f>SUMIF($D$7:$BG$7,"5",$D54:$BG54)</f>
        <v>7</v>
      </c>
      <c r="BV54" s="142">
        <f>SUMIFS($D$9:$BG$9,$D$7:$BG$7,"5",$D54:$BG54,"&gt;"&amp;-1)</f>
        <v>15</v>
      </c>
      <c r="BW54" s="143">
        <f t="shared" si="4"/>
        <v>46.669999999999995</v>
      </c>
      <c r="BX54" s="144">
        <f>SUMIF($D$7:$BG$7,"6",$D54:$BG54)</f>
        <v>0</v>
      </c>
      <c r="BY54" s="142">
        <f>SUMIFS($D$9:$BG$9,$D$7:$BG$7,"6",$D54:$BG54,"&gt;"&amp;-1)</f>
        <v>0</v>
      </c>
      <c r="BZ54" s="143">
        <f t="shared" si="5"/>
        <v>0</v>
      </c>
    </row>
    <row r="55" ht="15.75" customHeight="1" spans="1:78" x14ac:dyDescent="0.25">
      <c r="A55" s="149">
        <v>43</v>
      </c>
      <c r="B55" s="148" t="s">
        <v>137</v>
      </c>
      <c r="C55" s="119" t="s">
        <v>138</v>
      </c>
      <c r="D55" s="134"/>
      <c r="E55" s="135"/>
      <c r="F55" s="136"/>
      <c r="G55" s="136"/>
      <c r="H55" s="137"/>
      <c r="I55" s="137"/>
      <c r="J55" s="138"/>
      <c r="K55" s="139"/>
      <c r="L55" s="136"/>
      <c r="M55" s="136"/>
      <c r="N55" s="137"/>
      <c r="O55" s="137"/>
      <c r="P55" s="138"/>
      <c r="Q55" s="138"/>
      <c r="R55" s="137"/>
      <c r="S55" s="137"/>
      <c r="T55" s="140"/>
      <c r="U55" s="134"/>
      <c r="V55" s="135"/>
      <c r="W55" s="136"/>
      <c r="X55" s="136"/>
      <c r="Y55" s="137"/>
      <c r="Z55" s="137"/>
      <c r="AA55" s="138"/>
      <c r="AB55" s="139"/>
      <c r="AC55" s="136"/>
      <c r="AD55" s="136"/>
      <c r="AE55" s="137"/>
      <c r="AF55" s="137"/>
      <c r="AG55" s="138"/>
      <c r="AH55" s="138"/>
      <c r="AI55" s="137"/>
      <c r="AJ55" s="137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127"/>
      <c r="BB55" s="127"/>
      <c r="BC55" s="127"/>
      <c r="BD55" s="127"/>
      <c r="BE55" s="127"/>
      <c r="BF55" s="128"/>
      <c r="BG55" s="129"/>
      <c r="BH55" s="46"/>
      <c r="BI55" s="141">
        <f>SUMIF($D$7:$BG$7,"1",$D55:$BG55)</f>
        <v>10</v>
      </c>
      <c r="BJ55" s="142">
        <f>SUMIFS($D$9:$BG$9,$D$7:$BG$7,"1",$D55:$BG55,"&gt;"&amp;-1)</f>
        <v>10</v>
      </c>
      <c r="BK55" s="143">
        <f t="shared" si="0"/>
        <v>100</v>
      </c>
      <c r="BL55" s="144">
        <f>SUMIF($D$7:$BG$7,"2",$D55:$BG55)</f>
        <v>16</v>
      </c>
      <c r="BM55" s="142">
        <f>SUMIFS($D$9:$BG$9,$D$7:$BG$7,"2",$D55:$BG55,"&gt;"&amp;-1)</f>
        <v>20</v>
      </c>
      <c r="BN55" s="143">
        <f t="shared" si="1"/>
        <v>80</v>
      </c>
      <c r="BO55" s="144">
        <f>SUMIF($D$7:$BG$7,"3",$D55:$BG55)</f>
        <v>16</v>
      </c>
      <c r="BP55" s="142">
        <f>SUMIFS($D$9:$BG$9,$D$7:$BG$7,"3",$D55:$BG55,"&gt;"&amp;-1)</f>
        <v>20</v>
      </c>
      <c r="BQ55" s="143">
        <f t="shared" si="2"/>
        <v>80</v>
      </c>
      <c r="BR55" s="144">
        <f>SUMIF($D$7:$BG$7,"4",$D55:$BG55)</f>
        <v>13</v>
      </c>
      <c r="BS55" s="142">
        <f>SUMIFS($D$9:$BG$9,$D$7:$BG$7,"4",$D55:$BG55,"&gt;"&amp;-1)</f>
        <v>15</v>
      </c>
      <c r="BT55" s="143">
        <f t="shared" si="3"/>
        <v>86.67</v>
      </c>
      <c r="BU55" s="144">
        <f>SUMIF($D$7:$BG$7,"5",$D55:$BG55)</f>
        <v>10</v>
      </c>
      <c r="BV55" s="142">
        <f>SUMIFS($D$9:$BG$9,$D$7:$BG$7,"5",$D55:$BG55,"&gt;"&amp;-1)</f>
        <v>10</v>
      </c>
      <c r="BW55" s="143">
        <f t="shared" si="4"/>
        <v>100</v>
      </c>
      <c r="BX55" s="144">
        <f>SUMIF($D$7:$BG$7,"6",$D55:$BG55)</f>
        <v>0</v>
      </c>
      <c r="BY55" s="142">
        <f>SUMIFS($D$9:$BG$9,$D$7:$BG$7,"6",$D55:$BG55,"&gt;"&amp;-1)</f>
        <v>0</v>
      </c>
      <c r="BZ55" s="143">
        <f t="shared" si="5"/>
        <v>0</v>
      </c>
    </row>
    <row r="56" ht="15.75" customHeight="1" spans="1:78" x14ac:dyDescent="0.25">
      <c r="A56" s="149">
        <v>44</v>
      </c>
      <c r="B56" s="148" t="s">
        <v>139</v>
      </c>
      <c r="C56" s="119" t="s">
        <v>140</v>
      </c>
      <c r="D56" s="134"/>
      <c r="E56" s="135"/>
      <c r="F56" s="136"/>
      <c r="G56" s="136"/>
      <c r="H56" s="137"/>
      <c r="I56" s="137"/>
      <c r="J56" s="138"/>
      <c r="K56" s="139"/>
      <c r="L56" s="136"/>
      <c r="M56" s="136"/>
      <c r="N56" s="137"/>
      <c r="O56" s="137"/>
      <c r="P56" s="138"/>
      <c r="Q56" s="138"/>
      <c r="R56" s="137"/>
      <c r="S56" s="137"/>
      <c r="T56" s="140"/>
      <c r="U56" s="134"/>
      <c r="V56" s="135"/>
      <c r="W56" s="136"/>
      <c r="X56" s="136"/>
      <c r="Y56" s="137"/>
      <c r="Z56" s="137"/>
      <c r="AA56" s="138"/>
      <c r="AB56" s="139"/>
      <c r="AC56" s="136"/>
      <c r="AD56" s="136"/>
      <c r="AE56" s="137"/>
      <c r="AF56" s="137"/>
      <c r="AG56" s="138"/>
      <c r="AH56" s="138"/>
      <c r="AI56" s="137"/>
      <c r="AJ56" s="137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127"/>
      <c r="BB56" s="127"/>
      <c r="BC56" s="127"/>
      <c r="BD56" s="127"/>
      <c r="BE56" s="127"/>
      <c r="BF56" s="128"/>
      <c r="BG56" s="129"/>
      <c r="BH56" s="46"/>
      <c r="BI56" s="141">
        <f>SUMIF($D$7:$BG$7,"1",$D56:$BG56)</f>
        <v>5</v>
      </c>
      <c r="BJ56" s="142">
        <f>SUMIFS($D$9:$BG$9,$D$7:$BG$7,"1",$D56:$BG56,"&gt;"&amp;-1)</f>
        <v>10</v>
      </c>
      <c r="BK56" s="143">
        <f t="shared" si="0"/>
        <v>50</v>
      </c>
      <c r="BL56" s="144">
        <f>SUMIF($D$7:$BG$7,"2",$D56:$BG56)</f>
        <v>9</v>
      </c>
      <c r="BM56" s="142">
        <f>SUMIFS($D$9:$BG$9,$D$7:$BG$7,"2",$D56:$BG56,"&gt;"&amp;-1)</f>
        <v>18</v>
      </c>
      <c r="BN56" s="143">
        <f t="shared" si="1"/>
        <v>50</v>
      </c>
      <c r="BO56" s="144">
        <f>SUMIF($D$7:$BG$7,"3",$D56:$BG56)</f>
        <v>10</v>
      </c>
      <c r="BP56" s="142">
        <f>SUMIFS($D$9:$BG$9,$D$7:$BG$7,"3",$D56:$BG56,"&gt;"&amp;-1)</f>
        <v>20</v>
      </c>
      <c r="BQ56" s="143">
        <f t="shared" si="2"/>
        <v>50</v>
      </c>
      <c r="BR56" s="144">
        <f>SUMIF($D$7:$BG$7,"4",$D56:$BG56)</f>
        <v>8</v>
      </c>
      <c r="BS56" s="142">
        <f>SUMIFS($D$9:$BG$9,$D$7:$BG$7,"4",$D56:$BG56,"&gt;"&amp;-1)</f>
        <v>15</v>
      </c>
      <c r="BT56" s="143">
        <f t="shared" si="3"/>
        <v>53.339999999999996</v>
      </c>
      <c r="BU56" s="144">
        <f>SUMIF($D$7:$BG$7,"5",$D56:$BG56)</f>
        <v>5</v>
      </c>
      <c r="BV56" s="142">
        <f>SUMIFS($D$9:$BG$9,$D$7:$BG$7,"5",$D56:$BG56,"&gt;"&amp;-1)</f>
        <v>10</v>
      </c>
      <c r="BW56" s="143">
        <f t="shared" si="4"/>
        <v>50</v>
      </c>
      <c r="BX56" s="144">
        <f>SUMIF($D$7:$BG$7,"6",$D56:$BG56)</f>
        <v>0</v>
      </c>
      <c r="BY56" s="142">
        <f>SUMIFS($D$9:$BG$9,$D$7:$BG$7,"6",$D56:$BG56,"&gt;"&amp;-1)</f>
        <v>0</v>
      </c>
      <c r="BZ56" s="143">
        <f t="shared" si="5"/>
        <v>0</v>
      </c>
    </row>
    <row r="57" ht="15.75" customHeight="1" spans="1:78" x14ac:dyDescent="0.25">
      <c r="A57" s="150">
        <v>45</v>
      </c>
      <c r="B57" s="150" t="s">
        <v>141</v>
      </c>
      <c r="C57" s="119" t="s">
        <v>142</v>
      </c>
      <c r="D57" s="134"/>
      <c r="E57" s="135"/>
      <c r="F57" s="136"/>
      <c r="G57" s="136"/>
      <c r="H57" s="137"/>
      <c r="I57" s="137"/>
      <c r="J57" s="138"/>
      <c r="K57" s="139"/>
      <c r="L57" s="136"/>
      <c r="M57" s="136"/>
      <c r="N57" s="137"/>
      <c r="O57" s="137"/>
      <c r="P57" s="138"/>
      <c r="Q57" s="138"/>
      <c r="R57" s="137"/>
      <c r="S57" s="137"/>
      <c r="T57" s="140"/>
      <c r="U57" s="134"/>
      <c r="V57" s="135"/>
      <c r="W57" s="136"/>
      <c r="X57" s="136"/>
      <c r="Y57" s="137"/>
      <c r="Z57" s="137"/>
      <c r="AA57" s="138"/>
      <c r="AB57" s="139"/>
      <c r="AC57" s="136"/>
      <c r="AD57" s="136"/>
      <c r="AE57" s="137"/>
      <c r="AF57" s="137"/>
      <c r="AG57" s="138"/>
      <c r="AH57" s="138"/>
      <c r="AI57" s="137"/>
      <c r="AJ57" s="137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127"/>
      <c r="BB57" s="127"/>
      <c r="BC57" s="127"/>
      <c r="BD57" s="127"/>
      <c r="BE57" s="127"/>
      <c r="BF57" s="128"/>
      <c r="BG57" s="129"/>
      <c r="BH57" s="46"/>
      <c r="BI57" s="141">
        <f>SUMIF($D$7:$BG$7,"1",$D57:$BG57)</f>
        <v>10</v>
      </c>
      <c r="BJ57" s="142">
        <f>SUMIFS($D$9:$BG$9,$D$7:$BG$7,"1",$D57:$BG57,"&gt;"&amp;-1)</f>
        <v>10</v>
      </c>
      <c r="BK57" s="143">
        <f t="shared" si="0"/>
        <v>100</v>
      </c>
      <c r="BL57" s="144">
        <f>SUMIF($D$7:$BG$7,"2",$D57:$BG57)</f>
        <v>20</v>
      </c>
      <c r="BM57" s="142">
        <f>SUMIFS($D$9:$BG$9,$D$7:$BG$7,"2",$D57:$BG57,"&gt;"&amp;-1)</f>
        <v>22</v>
      </c>
      <c r="BN57" s="143">
        <f t="shared" si="1"/>
        <v>90.91000000000001</v>
      </c>
      <c r="BO57" s="144">
        <f>SUMIF($D$7:$BG$7,"3",$D57:$BG57)</f>
        <v>18</v>
      </c>
      <c r="BP57" s="142">
        <f>SUMIFS($D$9:$BG$9,$D$7:$BG$7,"3",$D57:$BG57,"&gt;"&amp;-1)</f>
        <v>25</v>
      </c>
      <c r="BQ57" s="143">
        <f t="shared" si="2"/>
        <v>72</v>
      </c>
      <c r="BR57" s="144">
        <f>SUMIF($D$7:$BG$7,"4",$D57:$BG57)</f>
        <v>10</v>
      </c>
      <c r="BS57" s="142">
        <f>SUMIFS($D$9:$BG$9,$D$7:$BG$7,"4",$D57:$BG57,"&gt;"&amp;-1)</f>
        <v>10</v>
      </c>
      <c r="BT57" s="143">
        <f t="shared" si="3"/>
        <v>100</v>
      </c>
      <c r="BU57" s="144">
        <f>SUMIF($D$7:$BG$7,"5",$D57:$BG57)</f>
        <v>12</v>
      </c>
      <c r="BV57" s="142">
        <f>SUMIFS($D$9:$BG$9,$D$7:$BG$7,"5",$D57:$BG57,"&gt;"&amp;-1)</f>
        <v>15</v>
      </c>
      <c r="BW57" s="143">
        <f t="shared" si="4"/>
        <v>80</v>
      </c>
      <c r="BX57" s="144">
        <f>SUMIF($D$7:$BG$7,"6",$D57:$BG57)</f>
        <v>0</v>
      </c>
      <c r="BY57" s="142">
        <f>SUMIFS($D$9:$BG$9,$D$7:$BG$7,"6",$D57:$BG57,"&gt;"&amp;-1)</f>
        <v>0</v>
      </c>
      <c r="BZ57" s="143">
        <f t="shared" si="5"/>
        <v>0</v>
      </c>
    </row>
    <row r="58" ht="15.75" customHeight="1" spans="1:78" x14ac:dyDescent="0.25">
      <c r="A58" s="151">
        <v>46</v>
      </c>
      <c r="B58" s="149" t="s">
        <v>143</v>
      </c>
      <c r="C58" s="119" t="s">
        <v>144</v>
      </c>
      <c r="D58" s="134"/>
      <c r="E58" s="135"/>
      <c r="F58" s="136"/>
      <c r="G58" s="136"/>
      <c r="H58" s="137"/>
      <c r="I58" s="137"/>
      <c r="J58" s="138"/>
      <c r="K58" s="139"/>
      <c r="L58" s="136"/>
      <c r="M58" s="136"/>
      <c r="N58" s="137"/>
      <c r="O58" s="137"/>
      <c r="P58" s="138"/>
      <c r="Q58" s="138"/>
      <c r="R58" s="137"/>
      <c r="S58" s="137"/>
      <c r="T58" s="140"/>
      <c r="U58" s="134"/>
      <c r="V58" s="135"/>
      <c r="W58" s="136"/>
      <c r="X58" s="136"/>
      <c r="Y58" s="137"/>
      <c r="Z58" s="137"/>
      <c r="AA58" s="138"/>
      <c r="AB58" s="139"/>
      <c r="AC58" s="136"/>
      <c r="AD58" s="136"/>
      <c r="AE58" s="137"/>
      <c r="AF58" s="137"/>
      <c r="AG58" s="138"/>
      <c r="AH58" s="138"/>
      <c r="AI58" s="137"/>
      <c r="AJ58" s="137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127"/>
      <c r="BB58" s="127"/>
      <c r="BC58" s="127"/>
      <c r="BD58" s="127"/>
      <c r="BE58" s="127"/>
      <c r="BF58" s="128"/>
      <c r="BG58" s="129"/>
      <c r="BH58" s="46"/>
      <c r="BI58" s="141">
        <f>SUMIF($D$7:$BG$7,"1",$D58:$BG58)</f>
        <v>2.5</v>
      </c>
      <c r="BJ58" s="142">
        <f>SUMIFS($D$9:$BG$9,$D$7:$BG$7,"1",$D58:$BG58,"&gt;"&amp;-1)</f>
        <v>10</v>
      </c>
      <c r="BK58" s="143">
        <f t="shared" si="0"/>
        <v>25</v>
      </c>
      <c r="BL58" s="144">
        <f>SUMIF($D$7:$BG$7,"2",$D58:$BG58)</f>
        <v>6.5</v>
      </c>
      <c r="BM58" s="142">
        <f>SUMIFS($D$9:$BG$9,$D$7:$BG$7,"2",$D58:$BG58,"&gt;"&amp;-1)</f>
        <v>18</v>
      </c>
      <c r="BN58" s="143">
        <f t="shared" si="1"/>
        <v>36.12</v>
      </c>
      <c r="BO58" s="144">
        <f>SUMIF($D$7:$BG$7,"3",$D58:$BG58)</f>
        <v>8.5</v>
      </c>
      <c r="BP58" s="142">
        <f>SUMIFS($D$9:$BG$9,$D$7:$BG$7,"3",$D58:$BG58,"&gt;"&amp;-1)</f>
        <v>25</v>
      </c>
      <c r="BQ58" s="143">
        <f t="shared" si="2"/>
        <v>34</v>
      </c>
      <c r="BR58" s="144">
        <f>SUMIF($D$7:$BG$7,"4",$D58:$BG58)</f>
        <v>2.5</v>
      </c>
      <c r="BS58" s="142">
        <f>SUMIFS($D$9:$BG$9,$D$7:$BG$7,"4",$D58:$BG58,"&gt;"&amp;-1)</f>
        <v>10</v>
      </c>
      <c r="BT58" s="143">
        <f t="shared" si="3"/>
        <v>25</v>
      </c>
      <c r="BU58" s="144">
        <f>SUMIF($D$7:$BG$7,"5",$D58:$BG58)</f>
        <v>2.5</v>
      </c>
      <c r="BV58" s="142">
        <f>SUMIFS($D$9:$BG$9,$D$7:$BG$7,"5",$D58:$BG58,"&gt;"&amp;-1)</f>
        <v>10</v>
      </c>
      <c r="BW58" s="143">
        <f t="shared" si="4"/>
        <v>25</v>
      </c>
      <c r="BX58" s="144">
        <f>SUMIF($D$7:$BG$7,"6",$D58:$BG58)</f>
        <v>0</v>
      </c>
      <c r="BY58" s="142">
        <f>SUMIFS($D$9:$BG$9,$D$7:$BG$7,"6",$D58:$BG58,"&gt;"&amp;-1)</f>
        <v>0</v>
      </c>
      <c r="BZ58" s="143">
        <f t="shared" si="5"/>
        <v>0</v>
      </c>
    </row>
    <row r="59" ht="15.75" customHeight="1" spans="1:78" x14ac:dyDescent="0.25">
      <c r="A59" s="151">
        <v>47</v>
      </c>
      <c r="B59" s="149" t="s">
        <v>145</v>
      </c>
      <c r="C59" s="119" t="s">
        <v>146</v>
      </c>
      <c r="D59" s="134"/>
      <c r="E59" s="135"/>
      <c r="F59" s="136"/>
      <c r="G59" s="136"/>
      <c r="H59" s="137"/>
      <c r="I59" s="137"/>
      <c r="J59" s="138"/>
      <c r="K59" s="139"/>
      <c r="L59" s="136"/>
      <c r="M59" s="136"/>
      <c r="N59" s="137"/>
      <c r="O59" s="137"/>
      <c r="P59" s="138"/>
      <c r="Q59" s="138"/>
      <c r="R59" s="137"/>
      <c r="S59" s="137"/>
      <c r="T59" s="140"/>
      <c r="U59" s="134"/>
      <c r="V59" s="135"/>
      <c r="W59" s="136"/>
      <c r="X59" s="136"/>
      <c r="Y59" s="137"/>
      <c r="Z59" s="137"/>
      <c r="AA59" s="138"/>
      <c r="AB59" s="139"/>
      <c r="AC59" s="136"/>
      <c r="AD59" s="136"/>
      <c r="AE59" s="137"/>
      <c r="AF59" s="137"/>
      <c r="AG59" s="138"/>
      <c r="AH59" s="138"/>
      <c r="AI59" s="137"/>
      <c r="AJ59" s="137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127"/>
      <c r="BB59" s="127"/>
      <c r="BC59" s="127"/>
      <c r="BD59" s="127"/>
      <c r="BE59" s="127"/>
      <c r="BF59" s="128"/>
      <c r="BG59" s="129"/>
      <c r="BH59" s="46"/>
      <c r="BI59" s="141">
        <f>SUMIF($D$7:$BG$7,"1",$D59:$BG59)</f>
        <v>5</v>
      </c>
      <c r="BJ59" s="142">
        <f>SUMIFS($D$9:$BG$9,$D$7:$BG$7,"1",$D59:$BG59,"&gt;"&amp;-1)</f>
        <v>10</v>
      </c>
      <c r="BK59" s="143">
        <f t="shared" si="0"/>
        <v>50</v>
      </c>
      <c r="BL59" s="144">
        <f>SUMIF($D$7:$BG$7,"2",$D59:$BG59)</f>
        <v>10</v>
      </c>
      <c r="BM59" s="142">
        <f>SUMIFS($D$9:$BG$9,$D$7:$BG$7,"2",$D59:$BG59,"&gt;"&amp;-1)</f>
        <v>20</v>
      </c>
      <c r="BN59" s="143">
        <f t="shared" si="1"/>
        <v>50</v>
      </c>
      <c r="BO59" s="144">
        <f>SUMIF($D$7:$BG$7,"3",$D59:$BG59)</f>
        <v>15</v>
      </c>
      <c r="BP59" s="142">
        <f>SUMIFS($D$9:$BG$9,$D$7:$BG$7,"3",$D59:$BG59,"&gt;"&amp;-1)</f>
        <v>25</v>
      </c>
      <c r="BQ59" s="143">
        <f t="shared" si="2"/>
        <v>60</v>
      </c>
      <c r="BR59" s="144">
        <f>SUMIF($D$7:$BG$7,"4",$D59:$BG59)</f>
        <v>5</v>
      </c>
      <c r="BS59" s="142">
        <f>SUMIFS($D$9:$BG$9,$D$7:$BG$7,"4",$D59:$BG59,"&gt;"&amp;-1)</f>
        <v>10</v>
      </c>
      <c r="BT59" s="143">
        <f t="shared" si="3"/>
        <v>50</v>
      </c>
      <c r="BU59" s="144">
        <f>SUMIF($D$7:$BG$7,"5",$D59:$BG59)</f>
        <v>5</v>
      </c>
      <c r="BV59" s="142">
        <f>SUMIFS($D$9:$BG$9,$D$7:$BG$7,"5",$D59:$BG59,"&gt;"&amp;-1)</f>
        <v>10</v>
      </c>
      <c r="BW59" s="143">
        <f t="shared" si="4"/>
        <v>50</v>
      </c>
      <c r="BX59" s="144">
        <f>SUMIF($D$7:$BG$7,"6",$D59:$BG59)</f>
        <v>0</v>
      </c>
      <c r="BY59" s="142">
        <f>SUMIFS($D$9:$BG$9,$D$7:$BG$7,"6",$D59:$BG59,"&gt;"&amp;-1)</f>
        <v>0</v>
      </c>
      <c r="BZ59" s="143">
        <f t="shared" si="5"/>
        <v>0</v>
      </c>
    </row>
    <row r="60" ht="15.75" customHeight="1" spans="1:78" x14ac:dyDescent="0.25">
      <c r="A60" s="151">
        <v>48</v>
      </c>
      <c r="B60" s="149" t="s">
        <v>147</v>
      </c>
      <c r="C60" s="119" t="s">
        <v>148</v>
      </c>
      <c r="D60" s="134"/>
      <c r="E60" s="135"/>
      <c r="F60" s="136"/>
      <c r="G60" s="136"/>
      <c r="H60" s="137"/>
      <c r="I60" s="137"/>
      <c r="J60" s="138"/>
      <c r="K60" s="139"/>
      <c r="L60" s="136"/>
      <c r="M60" s="136"/>
      <c r="N60" s="137"/>
      <c r="O60" s="137"/>
      <c r="P60" s="138"/>
      <c r="Q60" s="138"/>
      <c r="R60" s="137"/>
      <c r="S60" s="137"/>
      <c r="T60" s="140"/>
      <c r="U60" s="134"/>
      <c r="V60" s="135"/>
      <c r="W60" s="136"/>
      <c r="X60" s="136"/>
      <c r="Y60" s="137"/>
      <c r="Z60" s="137"/>
      <c r="AA60" s="138"/>
      <c r="AB60" s="139"/>
      <c r="AC60" s="136"/>
      <c r="AD60" s="136"/>
      <c r="AE60" s="137"/>
      <c r="AF60" s="137"/>
      <c r="AG60" s="138"/>
      <c r="AH60" s="138"/>
      <c r="AI60" s="137"/>
      <c r="AJ60" s="137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127"/>
      <c r="BB60" s="127"/>
      <c r="BC60" s="127"/>
      <c r="BD60" s="127"/>
      <c r="BE60" s="127"/>
      <c r="BF60" s="128"/>
      <c r="BG60" s="129"/>
      <c r="BH60" s="46"/>
      <c r="BI60" s="141">
        <f>SUMIF($D$7:$BG$7,"1",$D60:$BG60)</f>
        <v>9</v>
      </c>
      <c r="BJ60" s="142">
        <f>SUMIFS($D$9:$BG$9,$D$7:$BG$7,"1",$D60:$BG60,"&gt;"&amp;-1)</f>
        <v>10</v>
      </c>
      <c r="BK60" s="143">
        <f t="shared" si="0"/>
        <v>90</v>
      </c>
      <c r="BL60" s="144">
        <f>SUMIF($D$7:$BG$7,"2",$D60:$BG60)</f>
        <v>19</v>
      </c>
      <c r="BM60" s="142">
        <f>SUMIFS($D$9:$BG$9,$D$7:$BG$7,"2",$D60:$BG60,"&gt;"&amp;-1)</f>
        <v>20</v>
      </c>
      <c r="BN60" s="143">
        <f t="shared" si="1"/>
        <v>95</v>
      </c>
      <c r="BO60" s="144">
        <f>SUMIF($D$7:$BG$7,"3",$D60:$BG60)</f>
        <v>18</v>
      </c>
      <c r="BP60" s="142">
        <f>SUMIFS($D$9:$BG$9,$D$7:$BG$7,"3",$D60:$BG60,"&gt;"&amp;-1)</f>
        <v>25</v>
      </c>
      <c r="BQ60" s="143">
        <f t="shared" si="2"/>
        <v>72</v>
      </c>
      <c r="BR60" s="144">
        <f>SUMIF($D$7:$BG$7,"4",$D60:$BG60)</f>
        <v>9</v>
      </c>
      <c r="BS60" s="142">
        <f>SUMIFS($D$9:$BG$9,$D$7:$BG$7,"4",$D60:$BG60,"&gt;"&amp;-1)</f>
        <v>10</v>
      </c>
      <c r="BT60" s="143">
        <f t="shared" si="3"/>
        <v>90</v>
      </c>
      <c r="BU60" s="144">
        <f>SUMIF($D$7:$BG$7,"5",$D60:$BG60)</f>
        <v>9</v>
      </c>
      <c r="BV60" s="142">
        <f>SUMIFS($D$9:$BG$9,$D$7:$BG$7,"5",$D60:$BG60,"&gt;"&amp;-1)</f>
        <v>10</v>
      </c>
      <c r="BW60" s="143">
        <f t="shared" si="4"/>
        <v>90</v>
      </c>
      <c r="BX60" s="144">
        <f>SUMIF($D$7:$BG$7,"6",$D60:$BG60)</f>
        <v>0</v>
      </c>
      <c r="BY60" s="142">
        <f>SUMIFS($D$9:$BG$9,$D$7:$BG$7,"6",$D60:$BG60,"&gt;"&amp;-1)</f>
        <v>0</v>
      </c>
      <c r="BZ60" s="143">
        <f t="shared" si="5"/>
        <v>0</v>
      </c>
    </row>
    <row r="61" ht="15.75" customHeight="1" spans="1:78" x14ac:dyDescent="0.25">
      <c r="A61" s="151">
        <v>49</v>
      </c>
      <c r="B61" s="149" t="s">
        <v>149</v>
      </c>
      <c r="C61" s="119" t="s">
        <v>150</v>
      </c>
      <c r="D61" s="134"/>
      <c r="E61" s="135"/>
      <c r="F61" s="136"/>
      <c r="G61" s="136"/>
      <c r="H61" s="137"/>
      <c r="I61" s="137"/>
      <c r="J61" s="138"/>
      <c r="K61" s="139"/>
      <c r="L61" s="136"/>
      <c r="M61" s="136"/>
      <c r="N61" s="137"/>
      <c r="O61" s="137"/>
      <c r="P61" s="138"/>
      <c r="Q61" s="138"/>
      <c r="R61" s="137"/>
      <c r="S61" s="137"/>
      <c r="T61" s="140"/>
      <c r="U61" s="134"/>
      <c r="V61" s="135"/>
      <c r="W61" s="136"/>
      <c r="X61" s="136"/>
      <c r="Y61" s="137"/>
      <c r="Z61" s="137"/>
      <c r="AA61" s="138"/>
      <c r="AB61" s="139"/>
      <c r="AC61" s="136"/>
      <c r="AD61" s="136"/>
      <c r="AE61" s="137"/>
      <c r="AF61" s="137"/>
      <c r="AG61" s="138"/>
      <c r="AH61" s="138"/>
      <c r="AI61" s="137"/>
      <c r="AJ61" s="137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127"/>
      <c r="BB61" s="127"/>
      <c r="BC61" s="127"/>
      <c r="BD61" s="127"/>
      <c r="BE61" s="127"/>
      <c r="BF61" s="128"/>
      <c r="BG61" s="129"/>
      <c r="BH61" s="46"/>
      <c r="BI61" s="141">
        <f>SUMIF($D$7:$BG$7,"1",$D61:$BG61)</f>
        <v>6.5</v>
      </c>
      <c r="BJ61" s="142">
        <f>SUMIFS($D$9:$BG$9,$D$7:$BG$7,"1",$D61:$BG61,"&gt;"&amp;-1)</f>
        <v>10</v>
      </c>
      <c r="BK61" s="143">
        <f t="shared" si="0"/>
        <v>65</v>
      </c>
      <c r="BL61" s="144">
        <f>SUMIF($D$7:$BG$7,"2",$D61:$BG61)</f>
        <v>12.5</v>
      </c>
      <c r="BM61" s="142">
        <f>SUMIFS($D$9:$BG$9,$D$7:$BG$7,"2",$D61:$BG61,"&gt;"&amp;-1)</f>
        <v>20</v>
      </c>
      <c r="BN61" s="143">
        <f t="shared" si="1"/>
        <v>62.5</v>
      </c>
      <c r="BO61" s="144">
        <f>SUMIF($D$7:$BG$7,"3",$D61:$BG61)</f>
        <v>6.5</v>
      </c>
      <c r="BP61" s="142">
        <f>SUMIFS($D$9:$BG$9,$D$7:$BG$7,"3",$D61:$BG61,"&gt;"&amp;-1)</f>
        <v>10</v>
      </c>
      <c r="BQ61" s="143">
        <f t="shared" si="2"/>
        <v>65</v>
      </c>
      <c r="BR61" s="144">
        <f>SUMIF($D$7:$BG$7,"4",$D61:$BG61)</f>
        <v>6.5</v>
      </c>
      <c r="BS61" s="142">
        <f>SUMIFS($D$9:$BG$9,$D$7:$BG$7,"4",$D61:$BG61,"&gt;"&amp;-1)</f>
        <v>10</v>
      </c>
      <c r="BT61" s="143">
        <f t="shared" si="3"/>
        <v>65</v>
      </c>
      <c r="BU61" s="144">
        <f>SUMIF($D$7:$BG$7,"5",$D61:$BG61)</f>
        <v>9.5</v>
      </c>
      <c r="BV61" s="142">
        <f>SUMIFS($D$9:$BG$9,$D$7:$BG$7,"5",$D61:$BG61,"&gt;"&amp;-1)</f>
        <v>20</v>
      </c>
      <c r="BW61" s="143">
        <f t="shared" si="4"/>
        <v>47.5</v>
      </c>
      <c r="BX61" s="144">
        <f>SUMIF($D$7:$BG$7,"6",$D61:$BG61)</f>
        <v>0</v>
      </c>
      <c r="BY61" s="142">
        <f>SUMIFS($D$9:$BG$9,$D$7:$BG$7,"6",$D61:$BG61,"&gt;"&amp;-1)</f>
        <v>0</v>
      </c>
      <c r="BZ61" s="143">
        <f t="shared" si="5"/>
        <v>0</v>
      </c>
    </row>
    <row r="62" ht="15.75" customHeight="1" spans="1:78" x14ac:dyDescent="0.25">
      <c r="A62" s="151">
        <v>50</v>
      </c>
      <c r="B62" s="149" t="s">
        <v>151</v>
      </c>
      <c r="C62" s="119" t="s">
        <v>152</v>
      </c>
      <c r="D62" s="134"/>
      <c r="E62" s="135"/>
      <c r="F62" s="136"/>
      <c r="G62" s="136"/>
      <c r="H62" s="137"/>
      <c r="I62" s="137"/>
      <c r="J62" s="138"/>
      <c r="K62" s="139"/>
      <c r="L62" s="136"/>
      <c r="M62" s="136"/>
      <c r="N62" s="137"/>
      <c r="O62" s="137"/>
      <c r="P62" s="138"/>
      <c r="Q62" s="138"/>
      <c r="R62" s="137"/>
      <c r="S62" s="137"/>
      <c r="T62" s="140"/>
      <c r="U62" s="134"/>
      <c r="V62" s="135"/>
      <c r="W62" s="136"/>
      <c r="X62" s="136"/>
      <c r="Y62" s="137"/>
      <c r="Z62" s="137"/>
      <c r="AA62" s="138"/>
      <c r="AB62" s="139"/>
      <c r="AC62" s="136"/>
      <c r="AD62" s="136"/>
      <c r="AE62" s="137"/>
      <c r="AF62" s="137"/>
      <c r="AG62" s="138"/>
      <c r="AH62" s="138"/>
      <c r="AI62" s="137"/>
      <c r="AJ62" s="137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127"/>
      <c r="BB62" s="127"/>
      <c r="BC62" s="127"/>
      <c r="BD62" s="127"/>
      <c r="BE62" s="127"/>
      <c r="BF62" s="128"/>
      <c r="BG62" s="129"/>
      <c r="BH62" s="46"/>
      <c r="BI62" s="141">
        <f>SUMIF($D$7:$BG$7,"1",$D62:$BG62)</f>
        <v>11</v>
      </c>
      <c r="BJ62" s="142">
        <f>SUMIFS($D$9:$BG$9,$D$7:$BG$7,"1",$D62:$BG62,"&gt;"&amp;-1)</f>
        <v>12.5</v>
      </c>
      <c r="BK62" s="143">
        <f t="shared" si="0"/>
        <v>88</v>
      </c>
      <c r="BL62" s="144">
        <f>SUMIF($D$7:$BG$7,"2",$D62:$BG62)</f>
        <v>24</v>
      </c>
      <c r="BM62" s="142">
        <f>SUMIFS($D$9:$BG$9,$D$7:$BG$7,"2",$D62:$BG62,"&gt;"&amp;-1)</f>
        <v>25</v>
      </c>
      <c r="BN62" s="143">
        <f t="shared" si="1"/>
        <v>96</v>
      </c>
      <c r="BO62" s="144">
        <f>SUMIF($D$7:$BG$7,"3",$D62:$BG62)</f>
        <v>21</v>
      </c>
      <c r="BP62" s="142">
        <f>SUMIFS($D$9:$BG$9,$D$7:$BG$7,"3",$D62:$BG62,"&gt;"&amp;-1)</f>
        <v>25</v>
      </c>
      <c r="BQ62" s="143">
        <f t="shared" si="2"/>
        <v>84</v>
      </c>
      <c r="BR62" s="144">
        <f>SUMIF($D$7:$BG$7,"4",$D62:$BG62)</f>
        <v>10</v>
      </c>
      <c r="BS62" s="142">
        <f>SUMIFS($D$9:$BG$9,$D$7:$BG$7,"4",$D62:$BG62,"&gt;"&amp;-1)</f>
        <v>10</v>
      </c>
      <c r="BT62" s="143">
        <f t="shared" si="3"/>
        <v>100</v>
      </c>
      <c r="BU62" s="144">
        <f>SUMIF($D$7:$BG$7,"5",$D62:$BG62)</f>
        <v>14</v>
      </c>
      <c r="BV62" s="142">
        <f>SUMIFS($D$9:$BG$9,$D$7:$BG$7,"5",$D62:$BG62,"&gt;"&amp;-1)</f>
        <v>20</v>
      </c>
      <c r="BW62" s="143">
        <f t="shared" si="4"/>
        <v>70</v>
      </c>
      <c r="BX62" s="144">
        <f>SUMIF($D$7:$BG$7,"6",$D62:$BG62)</f>
        <v>0</v>
      </c>
      <c r="BY62" s="142">
        <f>SUMIFS($D$9:$BG$9,$D$7:$BG$7,"6",$D62:$BG62,"&gt;"&amp;-1)</f>
        <v>0</v>
      </c>
      <c r="BZ62" s="143">
        <f t="shared" si="5"/>
        <v>0</v>
      </c>
    </row>
    <row r="63" ht="15.75" customHeight="1" spans="1:78" x14ac:dyDescent="0.25">
      <c r="A63" s="151">
        <v>51</v>
      </c>
      <c r="B63" s="149" t="s">
        <v>153</v>
      </c>
      <c r="C63" s="119" t="s">
        <v>154</v>
      </c>
      <c r="D63" s="134"/>
      <c r="E63" s="135"/>
      <c r="F63" s="136"/>
      <c r="G63" s="136"/>
      <c r="H63" s="137"/>
      <c r="I63" s="137"/>
      <c r="J63" s="138"/>
      <c r="K63" s="139"/>
      <c r="L63" s="136"/>
      <c r="M63" s="136"/>
      <c r="N63" s="137"/>
      <c r="O63" s="137"/>
      <c r="P63" s="138"/>
      <c r="Q63" s="138"/>
      <c r="R63" s="137"/>
      <c r="S63" s="137"/>
      <c r="T63" s="140"/>
      <c r="U63" s="134"/>
      <c r="V63" s="135"/>
      <c r="W63" s="136"/>
      <c r="X63" s="136"/>
      <c r="Y63" s="137"/>
      <c r="Z63" s="137"/>
      <c r="AA63" s="138"/>
      <c r="AB63" s="139"/>
      <c r="AC63" s="136"/>
      <c r="AD63" s="136"/>
      <c r="AE63" s="137"/>
      <c r="AF63" s="137"/>
      <c r="AG63" s="138"/>
      <c r="AH63" s="138"/>
      <c r="AI63" s="137"/>
      <c r="AJ63" s="137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127"/>
      <c r="BB63" s="127"/>
      <c r="BC63" s="127"/>
      <c r="BD63" s="127"/>
      <c r="BE63" s="127"/>
      <c r="BF63" s="128"/>
      <c r="BG63" s="129"/>
      <c r="BH63" s="46"/>
      <c r="BI63" s="141">
        <f>SUMIF($D$7:$BG$7,"1",$D63:$BG63)</f>
        <v>15</v>
      </c>
      <c r="BJ63" s="142">
        <f>SUMIFS($D$9:$BG$9,$D$7:$BG$7,"1",$D63:$BG63,"&gt;"&amp;-1)</f>
        <v>15</v>
      </c>
      <c r="BK63" s="143">
        <f t="shared" si="0"/>
        <v>100</v>
      </c>
      <c r="BL63" s="144">
        <f>SUMIF($D$7:$BG$7,"2",$D63:$BG63)</f>
        <v>22</v>
      </c>
      <c r="BM63" s="142">
        <f>SUMIFS($D$9:$BG$9,$D$7:$BG$7,"2",$D63:$BG63,"&gt;"&amp;-1)</f>
        <v>22</v>
      </c>
      <c r="BN63" s="143">
        <f t="shared" si="1"/>
        <v>100</v>
      </c>
      <c r="BO63" s="144">
        <f>SUMIF($D$7:$BG$7,"3",$D63:$BG63)</f>
        <v>24</v>
      </c>
      <c r="BP63" s="142">
        <f>SUMIFS($D$9:$BG$9,$D$7:$BG$7,"3",$D63:$BG63,"&gt;"&amp;-1)</f>
        <v>25</v>
      </c>
      <c r="BQ63" s="143">
        <f t="shared" si="2"/>
        <v>96</v>
      </c>
      <c r="BR63" s="144">
        <f>SUMIF($D$7:$BG$7,"4",$D63:$BG63)</f>
        <v>13</v>
      </c>
      <c r="BS63" s="142">
        <f>SUMIFS($D$9:$BG$9,$D$7:$BG$7,"4",$D63:$BG63,"&gt;"&amp;-1)</f>
        <v>15</v>
      </c>
      <c r="BT63" s="143">
        <f t="shared" si="3"/>
        <v>86.67</v>
      </c>
      <c r="BU63" s="144">
        <f>SUMIF($D$7:$BG$7,"5",$D63:$BG63)</f>
        <v>12</v>
      </c>
      <c r="BV63" s="142">
        <f>SUMIFS($D$9:$BG$9,$D$7:$BG$7,"5",$D63:$BG63,"&gt;"&amp;-1)</f>
        <v>15</v>
      </c>
      <c r="BW63" s="143">
        <f t="shared" si="4"/>
        <v>80</v>
      </c>
      <c r="BX63" s="144">
        <f>SUMIF($D$7:$BG$7,"6",$D63:$BG63)</f>
        <v>0</v>
      </c>
      <c r="BY63" s="142">
        <f>SUMIFS($D$9:$BG$9,$D$7:$BG$7,"6",$D63:$BG63,"&gt;"&amp;-1)</f>
        <v>0</v>
      </c>
      <c r="BZ63" s="143">
        <f t="shared" si="5"/>
        <v>0</v>
      </c>
    </row>
    <row r="64" ht="15.75" customHeight="1" spans="1:78" x14ac:dyDescent="0.25">
      <c r="A64" s="151">
        <v>52</v>
      </c>
      <c r="B64" s="149" t="s">
        <v>155</v>
      </c>
      <c r="C64" s="119" t="s">
        <v>156</v>
      </c>
      <c r="D64" s="134"/>
      <c r="E64" s="135"/>
      <c r="F64" s="136"/>
      <c r="G64" s="136"/>
      <c r="H64" s="137"/>
      <c r="I64" s="137"/>
      <c r="J64" s="138"/>
      <c r="K64" s="139"/>
      <c r="L64" s="136"/>
      <c r="M64" s="136"/>
      <c r="N64" s="137"/>
      <c r="O64" s="137"/>
      <c r="P64" s="138"/>
      <c r="Q64" s="138"/>
      <c r="R64" s="137"/>
      <c r="S64" s="137"/>
      <c r="T64" s="140"/>
      <c r="U64" s="134"/>
      <c r="V64" s="135"/>
      <c r="W64" s="136"/>
      <c r="X64" s="136"/>
      <c r="Y64" s="137"/>
      <c r="Z64" s="137"/>
      <c r="AA64" s="138"/>
      <c r="AB64" s="139"/>
      <c r="AC64" s="136"/>
      <c r="AD64" s="136"/>
      <c r="AE64" s="137"/>
      <c r="AF64" s="137"/>
      <c r="AG64" s="138"/>
      <c r="AH64" s="138"/>
      <c r="AI64" s="137"/>
      <c r="AJ64" s="137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127"/>
      <c r="BB64" s="127"/>
      <c r="BC64" s="127"/>
      <c r="BD64" s="127"/>
      <c r="BE64" s="127"/>
      <c r="BF64" s="128"/>
      <c r="BG64" s="129"/>
      <c r="BH64" s="46"/>
      <c r="BI64" s="141">
        <f>SUMIF($D$7:$BG$7,"1",$D64:$BG64)</f>
        <v>15</v>
      </c>
      <c r="BJ64" s="142">
        <f>SUMIFS($D$9:$BG$9,$D$7:$BG$7,"1",$D64:$BG64,"&gt;"&amp;-1)</f>
        <v>15</v>
      </c>
      <c r="BK64" s="143">
        <f t="shared" si="0"/>
        <v>100</v>
      </c>
      <c r="BL64" s="144">
        <f>SUMIF($D$7:$BG$7,"2",$D64:$BG64)</f>
        <v>20</v>
      </c>
      <c r="BM64" s="142">
        <f>SUMIFS($D$9:$BG$9,$D$7:$BG$7,"2",$D64:$BG64,"&gt;"&amp;-1)</f>
        <v>20</v>
      </c>
      <c r="BN64" s="143">
        <f t="shared" si="1"/>
        <v>100</v>
      </c>
      <c r="BO64" s="144">
        <f>SUMIF($D$7:$BG$7,"3",$D64:$BG64)</f>
        <v>40</v>
      </c>
      <c r="BP64" s="142">
        <f>SUMIFS($D$9:$BG$9,$D$7:$BG$7,"3",$D64:$BG64,"&gt;"&amp;-1)</f>
        <v>40</v>
      </c>
      <c r="BQ64" s="143">
        <f t="shared" si="2"/>
        <v>100</v>
      </c>
      <c r="BR64" s="144">
        <f>SUMIF($D$7:$BG$7,"4",$D64:$BG64)</f>
        <v>15</v>
      </c>
      <c r="BS64" s="142">
        <f>SUMIFS($D$9:$BG$9,$D$7:$BG$7,"4",$D64:$BG64,"&gt;"&amp;-1)</f>
        <v>15</v>
      </c>
      <c r="BT64" s="143">
        <f t="shared" si="3"/>
        <v>100</v>
      </c>
      <c r="BU64" s="144">
        <f>SUMIF($D$7:$BG$7,"5",$D64:$BG64)</f>
        <v>10</v>
      </c>
      <c r="BV64" s="142">
        <f>SUMIFS($D$9:$BG$9,$D$7:$BG$7,"5",$D64:$BG64,"&gt;"&amp;-1)</f>
        <v>10</v>
      </c>
      <c r="BW64" s="143">
        <f t="shared" si="4"/>
        <v>100</v>
      </c>
      <c r="BX64" s="144">
        <f>SUMIF($D$7:$BG$7,"6",$D64:$BG64)</f>
        <v>0</v>
      </c>
      <c r="BY64" s="142">
        <f>SUMIFS($D$9:$BG$9,$D$7:$BG$7,"6",$D64:$BG64,"&gt;"&amp;-1)</f>
        <v>0</v>
      </c>
      <c r="BZ64" s="143">
        <f t="shared" si="5"/>
        <v>0</v>
      </c>
    </row>
    <row r="65" ht="15.75" customHeight="1" spans="1:78" x14ac:dyDescent="0.25">
      <c r="A65" s="151">
        <v>53</v>
      </c>
      <c r="B65" s="149" t="s">
        <v>157</v>
      </c>
      <c r="C65" s="119" t="s">
        <v>158</v>
      </c>
      <c r="D65" s="134"/>
      <c r="E65" s="135"/>
      <c r="F65" s="136"/>
      <c r="G65" s="136"/>
      <c r="H65" s="137"/>
      <c r="I65" s="137"/>
      <c r="J65" s="138"/>
      <c r="K65" s="139"/>
      <c r="L65" s="136"/>
      <c r="M65" s="136"/>
      <c r="N65" s="137"/>
      <c r="O65" s="137"/>
      <c r="P65" s="138"/>
      <c r="Q65" s="138"/>
      <c r="R65" s="137"/>
      <c r="S65" s="137"/>
      <c r="T65" s="140"/>
      <c r="U65" s="134"/>
      <c r="V65" s="135"/>
      <c r="W65" s="136"/>
      <c r="X65" s="136"/>
      <c r="Y65" s="137"/>
      <c r="Z65" s="137"/>
      <c r="AA65" s="138"/>
      <c r="AB65" s="139"/>
      <c r="AC65" s="136"/>
      <c r="AD65" s="136"/>
      <c r="AE65" s="137"/>
      <c r="AF65" s="137"/>
      <c r="AG65" s="138"/>
      <c r="AH65" s="138"/>
      <c r="AI65" s="137"/>
      <c r="AJ65" s="137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127"/>
      <c r="BB65" s="127"/>
      <c r="BC65" s="127"/>
      <c r="BD65" s="127"/>
      <c r="BE65" s="127"/>
      <c r="BF65" s="128"/>
      <c r="BG65" s="129"/>
      <c r="BH65" s="46"/>
      <c r="BI65" s="141">
        <f>SUMIF($D$7:$BG$7,"1",$D65:$BG65)</f>
        <v>9</v>
      </c>
      <c r="BJ65" s="142">
        <f>SUMIFS($D$9:$BG$9,$D$7:$BG$7,"1",$D65:$BG65,"&gt;"&amp;-1)</f>
        <v>15</v>
      </c>
      <c r="BK65" s="143">
        <f t="shared" si="0"/>
        <v>60</v>
      </c>
      <c r="BL65" s="144">
        <f>SUMIF($D$7:$BG$7,"2",$D65:$BG65)</f>
        <v>21</v>
      </c>
      <c r="BM65" s="142">
        <f>SUMIFS($D$9:$BG$9,$D$7:$BG$7,"2",$D65:$BG65,"&gt;"&amp;-1)</f>
        <v>25</v>
      </c>
      <c r="BN65" s="143">
        <f t="shared" si="1"/>
        <v>84</v>
      </c>
      <c r="BO65" s="144">
        <f>SUMIF($D$7:$BG$7,"3",$D65:$BG65)</f>
        <v>20</v>
      </c>
      <c r="BP65" s="142">
        <f>SUMIFS($D$9:$BG$9,$D$7:$BG$7,"3",$D65:$BG65,"&gt;"&amp;-1)</f>
        <v>25</v>
      </c>
      <c r="BQ65" s="143">
        <f t="shared" si="2"/>
        <v>80</v>
      </c>
      <c r="BR65" s="144">
        <f>SUMIF($D$7:$BG$7,"4",$D65:$BG65)</f>
        <v>11</v>
      </c>
      <c r="BS65" s="142">
        <f>SUMIFS($D$9:$BG$9,$D$7:$BG$7,"4",$D65:$BG65,"&gt;"&amp;-1)</f>
        <v>15</v>
      </c>
      <c r="BT65" s="143">
        <f t="shared" si="3"/>
        <v>73.34</v>
      </c>
      <c r="BU65" s="144">
        <f>SUMIF($D$7:$BG$7,"5",$D65:$BG65)</f>
        <v>11</v>
      </c>
      <c r="BV65" s="142">
        <f>SUMIFS($D$9:$BG$9,$D$7:$BG$7,"5",$D65:$BG65,"&gt;"&amp;-1)</f>
        <v>20</v>
      </c>
      <c r="BW65" s="143">
        <f t="shared" si="4"/>
        <v>55</v>
      </c>
      <c r="BX65" s="144">
        <f>SUMIF($D$7:$BG$7,"6",$D65:$BG65)</f>
        <v>0</v>
      </c>
      <c r="BY65" s="142">
        <f>SUMIFS($D$9:$BG$9,$D$7:$BG$7,"6",$D65:$BG65,"&gt;"&amp;-1)</f>
        <v>0</v>
      </c>
      <c r="BZ65" s="143">
        <f t="shared" si="5"/>
        <v>0</v>
      </c>
    </row>
    <row r="66" ht="15.75" customHeight="1" spans="1:78" x14ac:dyDescent="0.25">
      <c r="A66" s="151">
        <v>54</v>
      </c>
      <c r="B66" s="149" t="s">
        <v>159</v>
      </c>
      <c r="C66" s="119" t="s">
        <v>160</v>
      </c>
      <c r="D66" s="134"/>
      <c r="E66" s="135"/>
      <c r="F66" s="136"/>
      <c r="G66" s="136"/>
      <c r="H66" s="137"/>
      <c r="I66" s="137"/>
      <c r="J66" s="138"/>
      <c r="K66" s="139"/>
      <c r="L66" s="136"/>
      <c r="M66" s="136"/>
      <c r="N66" s="137"/>
      <c r="O66" s="137"/>
      <c r="P66" s="138"/>
      <c r="Q66" s="138"/>
      <c r="R66" s="137"/>
      <c r="S66" s="137"/>
      <c r="T66" s="140"/>
      <c r="U66" s="134"/>
      <c r="V66" s="135"/>
      <c r="W66" s="136"/>
      <c r="X66" s="136"/>
      <c r="Y66" s="137"/>
      <c r="Z66" s="137"/>
      <c r="AA66" s="138"/>
      <c r="AB66" s="139"/>
      <c r="AC66" s="136"/>
      <c r="AD66" s="136"/>
      <c r="AE66" s="137"/>
      <c r="AF66" s="137"/>
      <c r="AG66" s="138"/>
      <c r="AH66" s="138"/>
      <c r="AI66" s="137"/>
      <c r="AJ66" s="137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127"/>
      <c r="BB66" s="127"/>
      <c r="BC66" s="127"/>
      <c r="BD66" s="127"/>
      <c r="BE66" s="127"/>
      <c r="BF66" s="128"/>
      <c r="BG66" s="129"/>
      <c r="BH66" s="46"/>
      <c r="BI66" s="141">
        <f>SUMIF($D$7:$BG$7,"1",$D66:$BG66)</f>
        <v>10</v>
      </c>
      <c r="BJ66" s="142">
        <f>SUMIFS($D$9:$BG$9,$D$7:$BG$7,"1",$D66:$BG66,"&gt;"&amp;-1)</f>
        <v>15</v>
      </c>
      <c r="BK66" s="143">
        <f t="shared" si="0"/>
        <v>66.67</v>
      </c>
      <c r="BL66" s="144">
        <f>SUMIF($D$7:$BG$7,"2",$D66:$BG66)</f>
        <v>23</v>
      </c>
      <c r="BM66" s="142">
        <f>SUMIFS($D$9:$BG$9,$D$7:$BG$7,"2",$D66:$BG66,"&gt;"&amp;-1)</f>
        <v>30</v>
      </c>
      <c r="BN66" s="143">
        <f t="shared" si="1"/>
        <v>76.67</v>
      </c>
      <c r="BO66" s="144">
        <f>SUMIF($D$7:$BG$7,"3",$D66:$BG66)</f>
        <v>20</v>
      </c>
      <c r="BP66" s="142">
        <f>SUMIFS($D$9:$BG$9,$D$7:$BG$7,"3",$D66:$BG66,"&gt;"&amp;-1)</f>
        <v>35</v>
      </c>
      <c r="BQ66" s="143">
        <f t="shared" si="2"/>
        <v>57.15</v>
      </c>
      <c r="BR66" s="144">
        <f>SUMIF($D$7:$BG$7,"4",$D66:$BG66)</f>
        <v>8</v>
      </c>
      <c r="BS66" s="142">
        <f>SUMIFS($D$9:$BG$9,$D$7:$BG$7,"4",$D66:$BG66,"&gt;"&amp;-1)</f>
        <v>15</v>
      </c>
      <c r="BT66" s="143">
        <f t="shared" si="3"/>
        <v>53.339999999999996</v>
      </c>
      <c r="BU66" s="144">
        <f>SUMIF($D$7:$BG$7,"5",$D66:$BG66)</f>
        <v>9</v>
      </c>
      <c r="BV66" s="142">
        <f>SUMIFS($D$9:$BG$9,$D$7:$BG$7,"5",$D66:$BG66,"&gt;"&amp;-1)</f>
        <v>20</v>
      </c>
      <c r="BW66" s="143">
        <f t="shared" si="4"/>
        <v>45</v>
      </c>
      <c r="BX66" s="144">
        <f>SUMIF($D$7:$BG$7,"6",$D66:$BG66)</f>
        <v>0</v>
      </c>
      <c r="BY66" s="142">
        <f>SUMIFS($D$9:$BG$9,$D$7:$BG$7,"6",$D66:$BG66,"&gt;"&amp;-1)</f>
        <v>0</v>
      </c>
      <c r="BZ66" s="143">
        <f t="shared" si="5"/>
        <v>0</v>
      </c>
    </row>
    <row r="67" ht="15.75" customHeight="1" spans="1:78" x14ac:dyDescent="0.25">
      <c r="A67" s="151">
        <v>55</v>
      </c>
      <c r="B67" s="149" t="s">
        <v>161</v>
      </c>
      <c r="C67" s="119" t="s">
        <v>162</v>
      </c>
      <c r="D67" s="134"/>
      <c r="E67" s="135"/>
      <c r="F67" s="136"/>
      <c r="G67" s="136"/>
      <c r="H67" s="137"/>
      <c r="I67" s="137"/>
      <c r="J67" s="138"/>
      <c r="K67" s="139"/>
      <c r="L67" s="136"/>
      <c r="M67" s="136"/>
      <c r="N67" s="137"/>
      <c r="O67" s="137"/>
      <c r="P67" s="138"/>
      <c r="Q67" s="138"/>
      <c r="R67" s="137"/>
      <c r="S67" s="137"/>
      <c r="T67" s="140"/>
      <c r="U67" s="134"/>
      <c r="V67" s="135"/>
      <c r="W67" s="136"/>
      <c r="X67" s="136"/>
      <c r="Y67" s="137"/>
      <c r="Z67" s="137"/>
      <c r="AA67" s="138"/>
      <c r="AB67" s="139"/>
      <c r="AC67" s="136"/>
      <c r="AD67" s="136"/>
      <c r="AE67" s="137"/>
      <c r="AF67" s="137"/>
      <c r="AG67" s="138"/>
      <c r="AH67" s="138"/>
      <c r="AI67" s="137"/>
      <c r="AJ67" s="137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127"/>
      <c r="BB67" s="127"/>
      <c r="BC67" s="127"/>
      <c r="BD67" s="127"/>
      <c r="BE67" s="127"/>
      <c r="BF67" s="128"/>
      <c r="BG67" s="129"/>
      <c r="BH67" s="46"/>
      <c r="BI67" s="141">
        <f>SUMIF($D$7:$BG$7,"1",$D67:$BG67)</f>
        <v>12</v>
      </c>
      <c r="BJ67" s="142">
        <f>SUMIFS($D$9:$BG$9,$D$7:$BG$7,"1",$D67:$BG67,"&gt;"&amp;-1)</f>
        <v>15</v>
      </c>
      <c r="BK67" s="143">
        <f t="shared" si="0"/>
        <v>80</v>
      </c>
      <c r="BL67" s="144">
        <f>SUMIF($D$7:$BG$7,"2",$D67:$BG67)</f>
        <v>17</v>
      </c>
      <c r="BM67" s="142">
        <f>SUMIFS($D$9:$BG$9,$D$7:$BG$7,"2",$D67:$BG67,"&gt;"&amp;-1)</f>
        <v>20</v>
      </c>
      <c r="BN67" s="143">
        <f t="shared" si="1"/>
        <v>85</v>
      </c>
      <c r="BO67" s="144">
        <f>SUMIF($D$7:$BG$7,"3",$D67:$BG67)</f>
        <v>23</v>
      </c>
      <c r="BP67" s="142">
        <f>SUMIFS($D$9:$BG$9,$D$7:$BG$7,"3",$D67:$BG67,"&gt;"&amp;-1)</f>
        <v>30</v>
      </c>
      <c r="BQ67" s="143">
        <f t="shared" si="2"/>
        <v>76.67</v>
      </c>
      <c r="BR67" s="144">
        <f>SUMIF($D$7:$BG$7,"4",$D67:$BG67)</f>
        <v>12</v>
      </c>
      <c r="BS67" s="142">
        <f>SUMIFS($D$9:$BG$9,$D$7:$BG$7,"4",$D67:$BG67,"&gt;"&amp;-1)</f>
        <v>15</v>
      </c>
      <c r="BT67" s="143">
        <f t="shared" si="3"/>
        <v>80</v>
      </c>
      <c r="BU67" s="144">
        <f>SUMIF($D$7:$BG$7,"5",$D67:$BG67)</f>
        <v>7</v>
      </c>
      <c r="BV67" s="142">
        <f>SUMIFS($D$9:$BG$9,$D$7:$BG$7,"5",$D67:$BG67,"&gt;"&amp;-1)</f>
        <v>10</v>
      </c>
      <c r="BW67" s="143">
        <f t="shared" si="4"/>
        <v>70</v>
      </c>
      <c r="BX67" s="144">
        <f>SUMIF($D$7:$BG$7,"6",$D67:$BG67)</f>
        <v>0</v>
      </c>
      <c r="BY67" s="142">
        <f>SUMIFS($D$9:$BG$9,$D$7:$BG$7,"6",$D67:$BG67,"&gt;"&amp;-1)</f>
        <v>0</v>
      </c>
      <c r="BZ67" s="143">
        <f t="shared" si="5"/>
        <v>0</v>
      </c>
    </row>
    <row r="68" ht="15.75" customHeight="1" spans="1:78" x14ac:dyDescent="0.25">
      <c r="A68" s="151">
        <v>56</v>
      </c>
      <c r="B68" s="149" t="s">
        <v>163</v>
      </c>
      <c r="C68" s="119" t="s">
        <v>164</v>
      </c>
      <c r="D68" s="134"/>
      <c r="E68" s="135"/>
      <c r="F68" s="136"/>
      <c r="G68" s="136"/>
      <c r="H68" s="137"/>
      <c r="I68" s="137"/>
      <c r="J68" s="138"/>
      <c r="K68" s="139"/>
      <c r="L68" s="136"/>
      <c r="M68" s="136"/>
      <c r="N68" s="137"/>
      <c r="O68" s="137"/>
      <c r="P68" s="138"/>
      <c r="Q68" s="138"/>
      <c r="R68" s="137"/>
      <c r="S68" s="137"/>
      <c r="T68" s="140"/>
      <c r="U68" s="134"/>
      <c r="V68" s="135"/>
      <c r="W68" s="136"/>
      <c r="X68" s="136"/>
      <c r="Y68" s="137"/>
      <c r="Z68" s="137"/>
      <c r="AA68" s="138"/>
      <c r="AB68" s="139"/>
      <c r="AC68" s="136"/>
      <c r="AD68" s="136"/>
      <c r="AE68" s="137"/>
      <c r="AF68" s="137"/>
      <c r="AG68" s="138"/>
      <c r="AH68" s="138"/>
      <c r="AI68" s="137"/>
      <c r="AJ68" s="137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127"/>
      <c r="BB68" s="127"/>
      <c r="BC68" s="127"/>
      <c r="BD68" s="127"/>
      <c r="BE68" s="127"/>
      <c r="BF68" s="128"/>
      <c r="BG68" s="129"/>
      <c r="BH68" s="46"/>
      <c r="BI68" s="141">
        <f>SUMIF($D$7:$BG$7,"1",$D68:$BG68)</f>
        <v>5</v>
      </c>
      <c r="BJ68" s="142">
        <f>SUMIFS($D$9:$BG$9,$D$7:$BG$7,"1",$D68:$BG68,"&gt;"&amp;-1)</f>
        <v>10</v>
      </c>
      <c r="BK68" s="143">
        <f t="shared" si="0"/>
        <v>50</v>
      </c>
      <c r="BL68" s="144">
        <f>SUMIF($D$7:$BG$7,"2",$D68:$BG68)</f>
        <v>15</v>
      </c>
      <c r="BM68" s="142">
        <f>SUMIFS($D$9:$BG$9,$D$7:$BG$7,"2",$D68:$BG68,"&gt;"&amp;-1)</f>
        <v>20</v>
      </c>
      <c r="BN68" s="143">
        <f t="shared" si="1"/>
        <v>75</v>
      </c>
      <c r="BO68" s="144">
        <f>SUMIF($D$7:$BG$7,"3",$D68:$BG68)</f>
        <v>15</v>
      </c>
      <c r="BP68" s="142">
        <f>SUMIFS($D$9:$BG$9,$D$7:$BG$7,"3",$D68:$BG68,"&gt;"&amp;-1)</f>
        <v>20</v>
      </c>
      <c r="BQ68" s="143">
        <f t="shared" si="2"/>
        <v>75</v>
      </c>
      <c r="BR68" s="144">
        <f>SUMIF($D$7:$BG$7,"4",$D68:$BG68)</f>
        <v>7</v>
      </c>
      <c r="BS68" s="142">
        <f>SUMIFS($D$9:$BG$9,$D$7:$BG$7,"4",$D68:$BG68,"&gt;"&amp;-1)</f>
        <v>15</v>
      </c>
      <c r="BT68" s="143">
        <f t="shared" si="3"/>
        <v>46.669999999999995</v>
      </c>
      <c r="BU68" s="144">
        <f>SUMIF($D$7:$BG$7,"5",$D68:$BG68)</f>
        <v>5</v>
      </c>
      <c r="BV68" s="142">
        <f>SUMIFS($D$9:$BG$9,$D$7:$BG$7,"5",$D68:$BG68,"&gt;"&amp;-1)</f>
        <v>10</v>
      </c>
      <c r="BW68" s="143">
        <f t="shared" si="4"/>
        <v>50</v>
      </c>
      <c r="BX68" s="144">
        <f>SUMIF($D$7:$BG$7,"6",$D68:$BG68)</f>
        <v>0</v>
      </c>
      <c r="BY68" s="142">
        <f>SUMIFS($D$9:$BG$9,$D$7:$BG$7,"6",$D68:$BG68,"&gt;"&amp;-1)</f>
        <v>0</v>
      </c>
      <c r="BZ68" s="143">
        <f t="shared" si="5"/>
        <v>0</v>
      </c>
    </row>
    <row r="69" ht="15.75" customHeight="1" spans="1:78" x14ac:dyDescent="0.25">
      <c r="A69" s="151">
        <v>57</v>
      </c>
      <c r="B69" s="149" t="s">
        <v>165</v>
      </c>
      <c r="C69" s="119" t="s">
        <v>166</v>
      </c>
      <c r="D69" s="134"/>
      <c r="E69" s="135"/>
      <c r="F69" s="136"/>
      <c r="G69" s="136"/>
      <c r="H69" s="137"/>
      <c r="I69" s="137"/>
      <c r="J69" s="138"/>
      <c r="K69" s="139"/>
      <c r="L69" s="136"/>
      <c r="M69" s="136"/>
      <c r="N69" s="137"/>
      <c r="O69" s="137"/>
      <c r="P69" s="138"/>
      <c r="Q69" s="138"/>
      <c r="R69" s="137"/>
      <c r="S69" s="137"/>
      <c r="T69" s="140"/>
      <c r="U69" s="134"/>
      <c r="V69" s="135"/>
      <c r="W69" s="136"/>
      <c r="X69" s="136"/>
      <c r="Y69" s="137"/>
      <c r="Z69" s="137"/>
      <c r="AA69" s="138"/>
      <c r="AB69" s="139"/>
      <c r="AC69" s="136"/>
      <c r="AD69" s="136"/>
      <c r="AE69" s="137"/>
      <c r="AF69" s="137"/>
      <c r="AG69" s="138"/>
      <c r="AH69" s="138"/>
      <c r="AI69" s="137"/>
      <c r="AJ69" s="137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127"/>
      <c r="BB69" s="127"/>
      <c r="BC69" s="127"/>
      <c r="BD69" s="127"/>
      <c r="BE69" s="127"/>
      <c r="BF69" s="128"/>
      <c r="BG69" s="129"/>
      <c r="BH69" s="46"/>
      <c r="BI69" s="141">
        <f>SUMIF($D$7:$BG$7,"1",$D69:$BG69)</f>
        <v>9</v>
      </c>
      <c r="BJ69" s="142">
        <f>SUMIFS($D$9:$BG$9,$D$7:$BG$7,"1",$D69:$BG69,"&gt;"&amp;-1)</f>
        <v>12.5</v>
      </c>
      <c r="BK69" s="143">
        <f t="shared" si="0"/>
        <v>72</v>
      </c>
      <c r="BL69" s="144">
        <f>SUMIF($D$7:$BG$7,"2",$D69:$BG69)</f>
        <v>20</v>
      </c>
      <c r="BM69" s="142">
        <f>SUMIFS($D$9:$BG$9,$D$7:$BG$7,"2",$D69:$BG69,"&gt;"&amp;-1)</f>
        <v>25</v>
      </c>
      <c r="BN69" s="143">
        <f t="shared" si="1"/>
        <v>80</v>
      </c>
      <c r="BO69" s="144">
        <f>SUMIF($D$7:$BG$7,"3",$D69:$BG69)</f>
        <v>21</v>
      </c>
      <c r="BP69" s="142">
        <f>SUMIFS($D$9:$BG$9,$D$7:$BG$7,"3",$D69:$BG69,"&gt;"&amp;-1)</f>
        <v>30</v>
      </c>
      <c r="BQ69" s="143">
        <f t="shared" si="2"/>
        <v>70</v>
      </c>
      <c r="BR69" s="144">
        <f>SUMIF($D$7:$BG$7,"4",$D69:$BG69)</f>
        <v>7</v>
      </c>
      <c r="BS69" s="142">
        <f>SUMIFS($D$9:$BG$9,$D$7:$BG$7,"4",$D69:$BG69,"&gt;"&amp;-1)</f>
        <v>10</v>
      </c>
      <c r="BT69" s="143">
        <f t="shared" si="3"/>
        <v>70</v>
      </c>
      <c r="BU69" s="144">
        <f>SUMIF($D$7:$BG$7,"5",$D69:$BG69)</f>
        <v>10</v>
      </c>
      <c r="BV69" s="142">
        <f>SUMIFS($D$9:$BG$9,$D$7:$BG$7,"5",$D69:$BG69,"&gt;"&amp;-1)</f>
        <v>20</v>
      </c>
      <c r="BW69" s="143">
        <f t="shared" si="4"/>
        <v>50</v>
      </c>
      <c r="BX69" s="144">
        <f>SUMIF($D$7:$BG$7,"6",$D69:$BG69)</f>
        <v>0</v>
      </c>
      <c r="BY69" s="142">
        <f>SUMIFS($D$9:$BG$9,$D$7:$BG$7,"6",$D69:$BG69,"&gt;"&amp;-1)</f>
        <v>0</v>
      </c>
      <c r="BZ69" s="143">
        <f t="shared" si="5"/>
        <v>0</v>
      </c>
    </row>
    <row r="70" ht="15.75" customHeight="1" spans="1:78" x14ac:dyDescent="0.25">
      <c r="A70" s="152">
        <v>58</v>
      </c>
      <c r="B70" s="152" t="s">
        <v>167</v>
      </c>
      <c r="C70" s="119" t="s">
        <v>168</v>
      </c>
      <c r="D70" s="134"/>
      <c r="E70" s="135"/>
      <c r="F70" s="136"/>
      <c r="G70" s="136"/>
      <c r="H70" s="137"/>
      <c r="I70" s="137"/>
      <c r="J70" s="138"/>
      <c r="K70" s="139"/>
      <c r="L70" s="136"/>
      <c r="M70" s="136"/>
      <c r="N70" s="137"/>
      <c r="O70" s="137"/>
      <c r="P70" s="138"/>
      <c r="Q70" s="138"/>
      <c r="R70" s="137"/>
      <c r="S70" s="137"/>
      <c r="T70" s="140"/>
      <c r="U70" s="134"/>
      <c r="V70" s="135"/>
      <c r="W70" s="136"/>
      <c r="X70" s="136"/>
      <c r="Y70" s="137"/>
      <c r="Z70" s="137"/>
      <c r="AA70" s="138"/>
      <c r="AB70" s="139"/>
      <c r="AC70" s="136"/>
      <c r="AD70" s="136"/>
      <c r="AE70" s="137"/>
      <c r="AF70" s="137"/>
      <c r="AG70" s="138"/>
      <c r="AH70" s="138"/>
      <c r="AI70" s="137"/>
      <c r="AJ70" s="137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127"/>
      <c r="BB70" s="127"/>
      <c r="BC70" s="127"/>
      <c r="BD70" s="127"/>
      <c r="BE70" s="127"/>
      <c r="BF70" s="128"/>
      <c r="BG70" s="129"/>
      <c r="BH70" s="46"/>
      <c r="BI70" s="141">
        <f>SUMIF($D$7:$BG$7,"1",$D70:$BG70)</f>
        <v>10</v>
      </c>
      <c r="BJ70" s="142">
        <f>SUMIFS($D$9:$BG$9,$D$7:$BG$7,"1",$D70:$BG70,"&gt;"&amp;-1)</f>
        <v>15</v>
      </c>
      <c r="BK70" s="143">
        <f t="shared" si="0"/>
        <v>66.67</v>
      </c>
      <c r="BL70" s="144">
        <f>SUMIF($D$7:$BG$7,"2",$D70:$BG70)</f>
        <v>26</v>
      </c>
      <c r="BM70" s="142">
        <f>SUMIFS($D$9:$BG$9,$D$7:$BG$7,"2",$D70:$BG70,"&gt;"&amp;-1)</f>
        <v>30</v>
      </c>
      <c r="BN70" s="143">
        <f t="shared" si="1"/>
        <v>86.67</v>
      </c>
      <c r="BO70" s="144">
        <f>SUMIF($D$7:$BG$7,"3",$D70:$BG70)</f>
        <v>25</v>
      </c>
      <c r="BP70" s="142">
        <f>SUMIFS($D$9:$BG$9,$D$7:$BG$7,"3",$D70:$BG70,"&gt;"&amp;-1)</f>
        <v>30</v>
      </c>
      <c r="BQ70" s="143">
        <f t="shared" si="2"/>
        <v>83.34</v>
      </c>
      <c r="BR70" s="144">
        <f>SUMIF($D$7:$BG$7,"4",$D70:$BG70)</f>
        <v>10</v>
      </c>
      <c r="BS70" s="142">
        <f>SUMIFS($D$9:$BG$9,$D$7:$BG$7,"4",$D70:$BG70,"&gt;"&amp;-1)</f>
        <v>10</v>
      </c>
      <c r="BT70" s="143">
        <f t="shared" si="3"/>
        <v>100</v>
      </c>
      <c r="BU70" s="144">
        <f>SUMIF($D$7:$BG$7,"5",$D70:$BG70)</f>
        <v>13</v>
      </c>
      <c r="BV70" s="142">
        <f>SUMIFS($D$9:$BG$9,$D$7:$BG$7,"5",$D70:$BG70,"&gt;"&amp;-1)</f>
        <v>20</v>
      </c>
      <c r="BW70" s="143">
        <f t="shared" si="4"/>
        <v>65</v>
      </c>
      <c r="BX70" s="144">
        <f>SUMIF($D$7:$BG$7,"6",$D70:$BG70)</f>
        <v>0</v>
      </c>
      <c r="BY70" s="142">
        <f>SUMIFS($D$9:$BG$9,$D$7:$BG$7,"6",$D70:$BG70,"&gt;"&amp;-1)</f>
        <v>0</v>
      </c>
      <c r="BZ70" s="143">
        <f t="shared" si="5"/>
        <v>0</v>
      </c>
    </row>
    <row r="71" ht="15.75" customHeight="1" spans="1:78" x14ac:dyDescent="0.25">
      <c r="A71" s="152">
        <v>59</v>
      </c>
      <c r="B71" s="152" t="s">
        <v>169</v>
      </c>
      <c r="C71" s="119" t="s">
        <v>170</v>
      </c>
      <c r="D71" s="134"/>
      <c r="E71" s="135"/>
      <c r="F71" s="136"/>
      <c r="G71" s="136"/>
      <c r="H71" s="137"/>
      <c r="I71" s="137"/>
      <c r="J71" s="138"/>
      <c r="K71" s="139"/>
      <c r="L71" s="136"/>
      <c r="M71" s="136"/>
      <c r="N71" s="137"/>
      <c r="O71" s="137"/>
      <c r="P71" s="138"/>
      <c r="Q71" s="138"/>
      <c r="R71" s="137"/>
      <c r="S71" s="137"/>
      <c r="T71" s="140"/>
      <c r="U71" s="134"/>
      <c r="V71" s="135"/>
      <c r="W71" s="136"/>
      <c r="X71" s="136"/>
      <c r="Y71" s="137"/>
      <c r="Z71" s="137"/>
      <c r="AA71" s="138"/>
      <c r="AB71" s="139"/>
      <c r="AC71" s="136"/>
      <c r="AD71" s="136"/>
      <c r="AE71" s="137"/>
      <c r="AF71" s="137"/>
      <c r="AG71" s="138"/>
      <c r="AH71" s="138"/>
      <c r="AI71" s="137"/>
      <c r="AJ71" s="137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127"/>
      <c r="BB71" s="127"/>
      <c r="BC71" s="127"/>
      <c r="BD71" s="127"/>
      <c r="BE71" s="127"/>
      <c r="BF71" s="128"/>
      <c r="BG71" s="129"/>
      <c r="BH71" s="46"/>
      <c r="BI71" s="141">
        <f>SUMIF($D$7:$BG$7,"1",$D71:$BG71)</f>
        <v>10</v>
      </c>
      <c r="BJ71" s="142">
        <f>SUMIFS($D$9:$BG$9,$D$7:$BG$7,"1",$D71:$BG71,"&gt;"&amp;-1)</f>
        <v>10</v>
      </c>
      <c r="BK71" s="143">
        <f t="shared" si="0"/>
        <v>100</v>
      </c>
      <c r="BL71" s="144">
        <f>SUMIF($D$7:$BG$7,"2",$D71:$BG71)</f>
        <v>22</v>
      </c>
      <c r="BM71" s="142">
        <f>SUMIFS($D$9:$BG$9,$D$7:$BG$7,"2",$D71:$BG71,"&gt;"&amp;-1)</f>
        <v>25</v>
      </c>
      <c r="BN71" s="143">
        <f t="shared" si="1"/>
        <v>88</v>
      </c>
      <c r="BO71" s="144">
        <f>SUMIF($D$7:$BG$7,"3",$D71:$BG71)</f>
        <v>22</v>
      </c>
      <c r="BP71" s="142">
        <f>SUMIFS($D$9:$BG$9,$D$7:$BG$7,"3",$D71:$BG71,"&gt;"&amp;-1)</f>
        <v>25</v>
      </c>
      <c r="BQ71" s="143">
        <f t="shared" si="2"/>
        <v>88</v>
      </c>
      <c r="BR71" s="144">
        <f>SUMIF($D$7:$BG$7,"4",$D71:$BG71)</f>
        <v>14</v>
      </c>
      <c r="BS71" s="142">
        <f>SUMIFS($D$9:$BG$9,$D$7:$BG$7,"4",$D71:$BG71,"&gt;"&amp;-1)</f>
        <v>15</v>
      </c>
      <c r="BT71" s="143">
        <f t="shared" si="3"/>
        <v>93.34</v>
      </c>
      <c r="BU71" s="144">
        <f>SUMIF($D$7:$BG$7,"5",$D71:$BG71)</f>
        <v>10</v>
      </c>
      <c r="BV71" s="142">
        <f>SUMIFS($D$9:$BG$9,$D$7:$BG$7,"5",$D71:$BG71,"&gt;"&amp;-1)</f>
        <v>10</v>
      </c>
      <c r="BW71" s="143">
        <f t="shared" si="4"/>
        <v>100</v>
      </c>
      <c r="BX71" s="144">
        <f>SUMIF($D$7:$BG$7,"6",$D71:$BG71)</f>
        <v>0</v>
      </c>
      <c r="BY71" s="142">
        <f>SUMIFS($D$9:$BG$9,$D$7:$BG$7,"6",$D71:$BG71,"&gt;"&amp;-1)</f>
        <v>0</v>
      </c>
      <c r="BZ71" s="143">
        <f t="shared" si="5"/>
        <v>0</v>
      </c>
    </row>
    <row r="72" ht="15.75" customHeight="1" spans="1:78" x14ac:dyDescent="0.25">
      <c r="A72" s="152">
        <v>60</v>
      </c>
      <c r="B72" s="152" t="s">
        <v>171</v>
      </c>
      <c r="C72" s="119" t="s">
        <v>172</v>
      </c>
      <c r="D72" s="134"/>
      <c r="E72" s="135"/>
      <c r="F72" s="136"/>
      <c r="G72" s="136"/>
      <c r="H72" s="137"/>
      <c r="I72" s="137"/>
      <c r="J72" s="138"/>
      <c r="K72" s="139"/>
      <c r="L72" s="136"/>
      <c r="M72" s="136"/>
      <c r="N72" s="137"/>
      <c r="O72" s="137"/>
      <c r="P72" s="138"/>
      <c r="Q72" s="138"/>
      <c r="R72" s="137"/>
      <c r="S72" s="137"/>
      <c r="T72" s="140"/>
      <c r="U72" s="134"/>
      <c r="V72" s="135"/>
      <c r="W72" s="136"/>
      <c r="X72" s="136"/>
      <c r="Y72" s="137"/>
      <c r="Z72" s="137"/>
      <c r="AA72" s="138"/>
      <c r="AB72" s="139"/>
      <c r="AC72" s="136"/>
      <c r="AD72" s="136"/>
      <c r="AE72" s="137"/>
      <c r="AF72" s="137"/>
      <c r="AG72" s="138"/>
      <c r="AH72" s="138"/>
      <c r="AI72" s="137"/>
      <c r="AJ72" s="137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152"/>
      <c r="BB72" s="152"/>
      <c r="BC72" s="152"/>
      <c r="BD72" s="152"/>
      <c r="BE72" s="152"/>
      <c r="BF72" s="128"/>
      <c r="BG72" s="129"/>
      <c r="BH72" s="46"/>
      <c r="BI72" s="141">
        <f>SUMIF($D$7:$BG$7,"1",$D72:$BG72)</f>
        <v>5</v>
      </c>
      <c r="BJ72" s="142">
        <f>SUMIFS($D$9:$BG$9,$D$7:$BG$7,"1",$D72:$BG72,"&gt;"&amp;-1)</f>
        <v>10</v>
      </c>
      <c r="BK72" s="143">
        <f t="shared" si="0"/>
        <v>50</v>
      </c>
      <c r="BL72" s="144">
        <f>SUMIF($D$7:$BG$7,"2",$D72:$BG72)</f>
        <v>12</v>
      </c>
      <c r="BM72" s="142">
        <f>SUMIFS($D$9:$BG$9,$D$7:$BG$7,"2",$D72:$BG72,"&gt;"&amp;-1)</f>
        <v>20</v>
      </c>
      <c r="BN72" s="143">
        <f t="shared" si="1"/>
        <v>60</v>
      </c>
      <c r="BO72" s="144">
        <f>SUMIF($D$7:$BG$7,"3",$D72:$BG72)</f>
        <v>10</v>
      </c>
      <c r="BP72" s="142">
        <f>SUMIFS($D$9:$BG$9,$D$7:$BG$7,"3",$D72:$BG72,"&gt;"&amp;-1)</f>
        <v>20</v>
      </c>
      <c r="BQ72" s="143">
        <f t="shared" si="2"/>
        <v>50</v>
      </c>
      <c r="BR72" s="144">
        <f>SUMIF($D$7:$BG$7,"4",$D72:$BG72)</f>
        <v>9</v>
      </c>
      <c r="BS72" s="142">
        <f>SUMIFS($D$9:$BG$9,$D$7:$BG$7,"4",$D72:$BG72,"&gt;"&amp;-1)</f>
        <v>15</v>
      </c>
      <c r="BT72" s="143">
        <f t="shared" si="3"/>
        <v>60</v>
      </c>
      <c r="BU72" s="144">
        <f>SUMIF($D$7:$BG$7,"5",$D72:$BG72)</f>
        <v>5</v>
      </c>
      <c r="BV72" s="142">
        <f>SUMIFS($D$9:$BG$9,$D$7:$BG$7,"5",$D72:$BG72,"&gt;"&amp;-1)</f>
        <v>10</v>
      </c>
      <c r="BW72" s="143">
        <f t="shared" si="4"/>
        <v>50</v>
      </c>
      <c r="BX72" s="144">
        <f>SUMIF($D$7:$BG$7,"6",$D72:$BG72)</f>
        <v>0</v>
      </c>
      <c r="BY72" s="142">
        <f>SUMIFS($D$9:$BG$9,$D$7:$BG$7,"6",$D72:$BG72,"&gt;"&amp;-1)</f>
        <v>0</v>
      </c>
      <c r="BZ72" s="143">
        <f t="shared" si="5"/>
        <v>0</v>
      </c>
    </row>
    <row r="73" ht="15.75" customHeight="1" spans="1:78" x14ac:dyDescent="0.25">
      <c r="A73" s="152">
        <v>61</v>
      </c>
      <c r="B73" s="152" t="s">
        <v>173</v>
      </c>
      <c r="C73" s="119" t="s">
        <v>174</v>
      </c>
      <c r="D73" s="134"/>
      <c r="E73" s="135"/>
      <c r="F73" s="136"/>
      <c r="G73" s="136"/>
      <c r="H73" s="137"/>
      <c r="I73" s="137"/>
      <c r="J73" s="138"/>
      <c r="K73" s="139"/>
      <c r="L73" s="136"/>
      <c r="M73" s="136"/>
      <c r="N73" s="137"/>
      <c r="O73" s="137"/>
      <c r="P73" s="138"/>
      <c r="Q73" s="138"/>
      <c r="R73" s="137"/>
      <c r="S73" s="137"/>
      <c r="T73" s="140"/>
      <c r="U73" s="134"/>
      <c r="V73" s="135"/>
      <c r="W73" s="136"/>
      <c r="X73" s="136"/>
      <c r="Y73" s="137"/>
      <c r="Z73" s="137"/>
      <c r="AA73" s="138"/>
      <c r="AB73" s="139"/>
      <c r="AC73" s="136"/>
      <c r="AD73" s="136"/>
      <c r="AE73" s="137"/>
      <c r="AF73" s="137"/>
      <c r="AG73" s="138"/>
      <c r="AH73" s="138"/>
      <c r="AI73" s="137"/>
      <c r="AJ73" s="137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127"/>
      <c r="BB73" s="127"/>
      <c r="BC73" s="127"/>
      <c r="BD73" s="127"/>
      <c r="BE73" s="127"/>
      <c r="BF73" s="128"/>
      <c r="BG73" s="129"/>
      <c r="BH73" s="46"/>
      <c r="BI73" s="141">
        <f>SUMIF($D$7:$BG$7,"1",$D73:$BG73)</f>
        <v>7.5</v>
      </c>
      <c r="BJ73" s="142">
        <f>SUMIFS($D$9:$BG$9,$D$7:$BG$7,"1",$D73:$BG73,"&gt;"&amp;-1)</f>
        <v>15</v>
      </c>
      <c r="BK73" s="143">
        <f t="shared" si="0"/>
        <v>50</v>
      </c>
      <c r="BL73" s="144">
        <f>SUMIF($D$7:$BG$7,"2",$D73:$BG73)</f>
        <v>20.5</v>
      </c>
      <c r="BM73" s="142">
        <f>SUMIFS($D$9:$BG$9,$D$7:$BG$7,"2",$D73:$BG73,"&gt;"&amp;-1)</f>
        <v>25</v>
      </c>
      <c r="BN73" s="143">
        <f t="shared" si="1"/>
        <v>82</v>
      </c>
      <c r="BO73" s="144">
        <f>SUMIF($D$7:$BG$7,"3",$D73:$BG73)</f>
        <v>18.5</v>
      </c>
      <c r="BP73" s="142">
        <f>SUMIFS($D$9:$BG$9,$D$7:$BG$7,"3",$D73:$BG73,"&gt;"&amp;-1)</f>
        <v>25</v>
      </c>
      <c r="BQ73" s="143">
        <f t="shared" si="2"/>
        <v>74</v>
      </c>
      <c r="BR73" s="144">
        <f>SUMIF($D$7:$BG$7,"4",$D73:$BG73)</f>
        <v>10.5</v>
      </c>
      <c r="BS73" s="142">
        <f>SUMIFS($D$9:$BG$9,$D$7:$BG$7,"4",$D73:$BG73,"&gt;"&amp;-1)</f>
        <v>15</v>
      </c>
      <c r="BT73" s="143">
        <f t="shared" si="3"/>
        <v>70</v>
      </c>
      <c r="BU73" s="144">
        <f>SUMIF($D$7:$BG$7,"5",$D73:$BG73)</f>
        <v>5.5</v>
      </c>
      <c r="BV73" s="142">
        <f>SUMIFS($D$9:$BG$9,$D$7:$BG$7,"5",$D73:$BG73,"&gt;"&amp;-1)</f>
        <v>10</v>
      </c>
      <c r="BW73" s="143">
        <f t="shared" si="4"/>
        <v>55</v>
      </c>
      <c r="BX73" s="144">
        <f>SUMIF($D$7:$BG$7,"6",$D73:$BG73)</f>
        <v>0</v>
      </c>
      <c r="BY73" s="142">
        <f>SUMIFS($D$9:$BG$9,$D$7:$BG$7,"6",$D73:$BG73,"&gt;"&amp;-1)</f>
        <v>0</v>
      </c>
      <c r="BZ73" s="143">
        <f t="shared" si="5"/>
        <v>0</v>
      </c>
    </row>
    <row r="74" ht="15.75" customHeight="1" spans="1:78" x14ac:dyDescent="0.25">
      <c r="A74" s="152">
        <v>62</v>
      </c>
      <c r="B74" s="152" t="s">
        <v>175</v>
      </c>
      <c r="C74" s="119" t="s">
        <v>176</v>
      </c>
      <c r="D74" s="134"/>
      <c r="E74" s="135"/>
      <c r="F74" s="136"/>
      <c r="G74" s="136"/>
      <c r="H74" s="137"/>
      <c r="I74" s="137"/>
      <c r="J74" s="138"/>
      <c r="K74" s="139"/>
      <c r="L74" s="136"/>
      <c r="M74" s="136"/>
      <c r="N74" s="137"/>
      <c r="O74" s="137"/>
      <c r="P74" s="138"/>
      <c r="Q74" s="138"/>
      <c r="R74" s="137"/>
      <c r="S74" s="137"/>
      <c r="T74" s="140"/>
      <c r="U74" s="134"/>
      <c r="V74" s="135"/>
      <c r="W74" s="136"/>
      <c r="X74" s="136"/>
      <c r="Y74" s="137"/>
      <c r="Z74" s="137"/>
      <c r="AA74" s="138"/>
      <c r="AB74" s="139"/>
      <c r="AC74" s="136"/>
      <c r="AD74" s="136"/>
      <c r="AE74" s="137"/>
      <c r="AF74" s="137"/>
      <c r="AG74" s="138"/>
      <c r="AH74" s="138"/>
      <c r="AI74" s="137"/>
      <c r="AJ74" s="137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127"/>
      <c r="BB74" s="127"/>
      <c r="BC74" s="127"/>
      <c r="BD74" s="127"/>
      <c r="BE74" s="127"/>
      <c r="BF74" s="128"/>
      <c r="BG74" s="129"/>
      <c r="BH74" s="46"/>
      <c r="BI74" s="141">
        <f>SUMIF($D$7:$BG$7,"1",$D74:$BG74)</f>
        <v>1.5</v>
      </c>
      <c r="BJ74" s="142">
        <f>SUMIFS($D$9:$BG$9,$D$7:$BG$7,"1",$D74:$BG74,"&gt;"&amp;-1)</f>
        <v>10</v>
      </c>
      <c r="BK74" s="143">
        <f t="shared" si="0"/>
        <v>15</v>
      </c>
      <c r="BL74" s="144">
        <f>SUMIF($D$7:$BG$7,"2",$D74:$BG74)</f>
        <v>6.5</v>
      </c>
      <c r="BM74" s="142">
        <f>SUMIFS($D$9:$BG$9,$D$7:$BG$7,"2",$D74:$BG74,"&gt;"&amp;-1)</f>
        <v>15</v>
      </c>
      <c r="BN74" s="143">
        <f t="shared" si="1"/>
        <v>43.339999999999996</v>
      </c>
      <c r="BO74" s="144">
        <f>SUMIF($D$7:$BG$7,"3",$D74:$BG74)</f>
        <v>3.5</v>
      </c>
      <c r="BP74" s="142">
        <f>SUMIFS($D$9:$BG$9,$D$7:$BG$7,"3",$D74:$BG74,"&gt;"&amp;-1)</f>
        <v>15</v>
      </c>
      <c r="BQ74" s="143">
        <f t="shared" si="2"/>
        <v>23.34</v>
      </c>
      <c r="BR74" s="144">
        <f>SUMIF($D$7:$BG$7,"4",$D74:$BG74)</f>
        <v>3.5</v>
      </c>
      <c r="BS74" s="142">
        <f>SUMIFS($D$9:$BG$9,$D$7:$BG$7,"4",$D74:$BG74,"&gt;"&amp;-1)</f>
        <v>15</v>
      </c>
      <c r="BT74" s="143">
        <f t="shared" si="3"/>
        <v>23.34</v>
      </c>
      <c r="BU74" s="144">
        <f>SUMIF($D$7:$BG$7,"5",$D74:$BG74)</f>
        <v>1.5</v>
      </c>
      <c r="BV74" s="142">
        <f>SUMIFS($D$9:$BG$9,$D$7:$BG$7,"5",$D74:$BG74,"&gt;"&amp;-1)</f>
        <v>10</v>
      </c>
      <c r="BW74" s="143">
        <f t="shared" si="4"/>
        <v>15</v>
      </c>
      <c r="BX74" s="144">
        <f>SUMIF($D$7:$BG$7,"6",$D74:$BG74)</f>
        <v>0</v>
      </c>
      <c r="BY74" s="142">
        <f>SUMIFS($D$9:$BG$9,$D$7:$BG$7,"6",$D74:$BG74,"&gt;"&amp;-1)</f>
        <v>0</v>
      </c>
      <c r="BZ74" s="143">
        <f t="shared" si="5"/>
        <v>0</v>
      </c>
    </row>
    <row r="75" ht="15.75" customHeight="1" spans="1:78" x14ac:dyDescent="0.25">
      <c r="A75" s="152">
        <v>63</v>
      </c>
      <c r="B75" s="152" t="s">
        <v>177</v>
      </c>
      <c r="C75" s="119" t="s">
        <v>178</v>
      </c>
      <c r="D75" s="134"/>
      <c r="E75" s="135"/>
      <c r="F75" s="136"/>
      <c r="G75" s="136"/>
      <c r="H75" s="137"/>
      <c r="I75" s="137"/>
      <c r="J75" s="138"/>
      <c r="K75" s="139"/>
      <c r="L75" s="136"/>
      <c r="M75" s="136"/>
      <c r="N75" s="137"/>
      <c r="O75" s="137"/>
      <c r="P75" s="138"/>
      <c r="Q75" s="138"/>
      <c r="R75" s="137"/>
      <c r="S75" s="137"/>
      <c r="T75" s="140"/>
      <c r="U75" s="134"/>
      <c r="V75" s="135"/>
      <c r="W75" s="136"/>
      <c r="X75" s="136"/>
      <c r="Y75" s="137"/>
      <c r="Z75" s="137"/>
      <c r="AA75" s="138"/>
      <c r="AB75" s="139"/>
      <c r="AC75" s="136"/>
      <c r="AD75" s="136"/>
      <c r="AE75" s="137"/>
      <c r="AF75" s="137"/>
      <c r="AG75" s="138"/>
      <c r="AH75" s="138"/>
      <c r="AI75" s="137"/>
      <c r="AJ75" s="137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127"/>
      <c r="BB75" s="127"/>
      <c r="BC75" s="127"/>
      <c r="BD75" s="127"/>
      <c r="BE75" s="127"/>
      <c r="BF75" s="128"/>
      <c r="BG75" s="129"/>
      <c r="BH75" s="46"/>
      <c r="BI75" s="141">
        <f>SUMIF($D$7:$BG$7,"1",$D75:$BG75)</f>
        <v>10</v>
      </c>
      <c r="BJ75" s="142">
        <f>SUMIFS($D$9:$BG$9,$D$7:$BG$7,"1",$D75:$BG75,"&gt;"&amp;-1)</f>
        <v>10</v>
      </c>
      <c r="BK75" s="143">
        <f t="shared" si="0"/>
        <v>100</v>
      </c>
      <c r="BL75" s="144">
        <f>SUMIF($D$7:$BG$7,"2",$D75:$BG75)</f>
        <v>18</v>
      </c>
      <c r="BM75" s="142">
        <f>SUMIFS($D$9:$BG$9,$D$7:$BG$7,"2",$D75:$BG75,"&gt;"&amp;-1)</f>
        <v>20</v>
      </c>
      <c r="BN75" s="143">
        <f t="shared" si="1"/>
        <v>90</v>
      </c>
      <c r="BO75" s="144">
        <f>SUMIF($D$7:$BG$7,"3",$D75:$BG75)</f>
        <v>21</v>
      </c>
      <c r="BP75" s="142">
        <f>SUMIFS($D$9:$BG$9,$D$7:$BG$7,"3",$D75:$BG75,"&gt;"&amp;-1)</f>
        <v>25</v>
      </c>
      <c r="BQ75" s="143">
        <f t="shared" si="2"/>
        <v>84</v>
      </c>
      <c r="BR75" s="144">
        <f>SUMIF($D$7:$BG$7,"4",$D75:$BG75)</f>
        <v>13</v>
      </c>
      <c r="BS75" s="142">
        <f>SUMIFS($D$9:$BG$9,$D$7:$BG$7,"4",$D75:$BG75,"&gt;"&amp;-1)</f>
        <v>15</v>
      </c>
      <c r="BT75" s="143">
        <f t="shared" si="3"/>
        <v>86.67</v>
      </c>
      <c r="BU75" s="144">
        <f>SUMIF($D$7:$BG$7,"5",$D75:$BG75)</f>
        <v>10</v>
      </c>
      <c r="BV75" s="142">
        <f>SUMIFS($D$9:$BG$9,$D$7:$BG$7,"5",$D75:$BG75,"&gt;"&amp;-1)</f>
        <v>10</v>
      </c>
      <c r="BW75" s="143">
        <f t="shared" si="4"/>
        <v>100</v>
      </c>
      <c r="BX75" s="144">
        <f>SUMIF($D$7:$BG$7,"6",$D75:$BG75)</f>
        <v>0</v>
      </c>
      <c r="BY75" s="142">
        <f>SUMIFS($D$9:$BG$9,$D$7:$BG$7,"6",$D75:$BG75,"&gt;"&amp;-1)</f>
        <v>0</v>
      </c>
      <c r="BZ75" s="143">
        <f t="shared" si="5"/>
        <v>0</v>
      </c>
    </row>
    <row r="76" ht="15.75" customHeight="1" spans="1:78" x14ac:dyDescent="0.25">
      <c r="A76" s="152">
        <v>64</v>
      </c>
      <c r="B76" s="152" t="s">
        <v>179</v>
      </c>
      <c r="C76" s="119" t="s">
        <v>180</v>
      </c>
      <c r="D76" s="134"/>
      <c r="E76" s="135"/>
      <c r="F76" s="136"/>
      <c r="G76" s="136"/>
      <c r="H76" s="137"/>
      <c r="I76" s="137"/>
      <c r="J76" s="138"/>
      <c r="K76" s="139"/>
      <c r="L76" s="136"/>
      <c r="M76" s="136"/>
      <c r="N76" s="137"/>
      <c r="O76" s="137"/>
      <c r="P76" s="138"/>
      <c r="Q76" s="138"/>
      <c r="R76" s="137"/>
      <c r="S76" s="137"/>
      <c r="T76" s="140"/>
      <c r="U76" s="134"/>
      <c r="V76" s="135"/>
      <c r="W76" s="136"/>
      <c r="X76" s="136"/>
      <c r="Y76" s="137"/>
      <c r="Z76" s="137"/>
      <c r="AA76" s="138"/>
      <c r="AB76" s="139"/>
      <c r="AC76" s="136"/>
      <c r="AD76" s="136"/>
      <c r="AE76" s="137"/>
      <c r="AF76" s="137"/>
      <c r="AG76" s="138"/>
      <c r="AH76" s="138"/>
      <c r="AI76" s="137"/>
      <c r="AJ76" s="137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127"/>
      <c r="BB76" s="127"/>
      <c r="BC76" s="127"/>
      <c r="BD76" s="127"/>
      <c r="BE76" s="127"/>
      <c r="BF76" s="128"/>
      <c r="BG76" s="129"/>
      <c r="BH76" s="46"/>
      <c r="BI76" s="141">
        <f>SUMIF($D$7:$BG$7,"1",$D76:$BG76)</f>
        <v>5</v>
      </c>
      <c r="BJ76" s="142">
        <f>SUMIFS($D$9:$BG$9,$D$7:$BG$7,"1",$D76:$BG76,"&gt;"&amp;-1)</f>
        <v>10</v>
      </c>
      <c r="BK76" s="143">
        <f t="shared" si="0"/>
        <v>50</v>
      </c>
      <c r="BL76" s="144">
        <f>SUMIF($D$7:$BG$7,"2",$D76:$BG76)</f>
        <v>5</v>
      </c>
      <c r="BM76" s="142">
        <f>SUMIFS($D$9:$BG$9,$D$7:$BG$7,"2",$D76:$BG76,"&gt;"&amp;-1)</f>
        <v>10</v>
      </c>
      <c r="BN76" s="143">
        <f t="shared" si="1"/>
        <v>50</v>
      </c>
      <c r="BO76" s="144">
        <f>SUMIF($D$7:$BG$7,"3",$D76:$BG76)</f>
        <v>15</v>
      </c>
      <c r="BP76" s="142">
        <f>SUMIFS($D$9:$BG$9,$D$7:$BG$7,"3",$D76:$BG76,"&gt;"&amp;-1)</f>
        <v>25</v>
      </c>
      <c r="BQ76" s="143">
        <f t="shared" si="2"/>
        <v>60</v>
      </c>
      <c r="BR76" s="144">
        <f>SUMIF($D$7:$BG$7,"4",$D76:$BG76)</f>
        <v>5</v>
      </c>
      <c r="BS76" s="142">
        <f>SUMIFS($D$9:$BG$9,$D$7:$BG$7,"4",$D76:$BG76,"&gt;"&amp;-1)</f>
        <v>10</v>
      </c>
      <c r="BT76" s="143">
        <f t="shared" si="3"/>
        <v>50</v>
      </c>
      <c r="BU76" s="144">
        <f>SUMIF($D$7:$BG$7,"5",$D76:$BG76)</f>
        <v>5</v>
      </c>
      <c r="BV76" s="142">
        <f>SUMIFS($D$9:$BG$9,$D$7:$BG$7,"5",$D76:$BG76,"&gt;"&amp;-1)</f>
        <v>10</v>
      </c>
      <c r="BW76" s="143">
        <f t="shared" si="4"/>
        <v>50</v>
      </c>
      <c r="BX76" s="144">
        <f>SUMIF($D$7:$BG$7,"6",$D76:$BG76)</f>
        <v>0</v>
      </c>
      <c r="BY76" s="142">
        <f>SUMIFS($D$9:$BG$9,$D$7:$BG$7,"6",$D76:$BG76,"&gt;"&amp;-1)</f>
        <v>0</v>
      </c>
      <c r="BZ76" s="143">
        <f t="shared" si="5"/>
        <v>0</v>
      </c>
    </row>
    <row r="77" ht="15.75" customHeight="1" spans="1:78" x14ac:dyDescent="0.25">
      <c r="A77" s="152">
        <v>65</v>
      </c>
      <c r="B77" s="152" t="s">
        <v>181</v>
      </c>
      <c r="C77" s="119" t="s">
        <v>182</v>
      </c>
      <c r="D77" s="134"/>
      <c r="E77" s="135"/>
      <c r="F77" s="136"/>
      <c r="G77" s="136"/>
      <c r="H77" s="137"/>
      <c r="I77" s="137"/>
      <c r="J77" s="138"/>
      <c r="K77" s="139"/>
      <c r="L77" s="136"/>
      <c r="M77" s="136"/>
      <c r="N77" s="137"/>
      <c r="O77" s="137"/>
      <c r="P77" s="138"/>
      <c r="Q77" s="138"/>
      <c r="R77" s="137"/>
      <c r="S77" s="137"/>
      <c r="T77" s="140"/>
      <c r="U77" s="134"/>
      <c r="V77" s="135"/>
      <c r="W77" s="136"/>
      <c r="X77" s="136"/>
      <c r="Y77" s="137"/>
      <c r="Z77" s="137"/>
      <c r="AA77" s="138"/>
      <c r="AB77" s="139"/>
      <c r="AC77" s="136"/>
      <c r="AD77" s="136"/>
      <c r="AE77" s="137"/>
      <c r="AF77" s="137"/>
      <c r="AG77" s="138"/>
      <c r="AH77" s="138"/>
      <c r="AI77" s="137"/>
      <c r="AJ77" s="137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127"/>
      <c r="BB77" s="127"/>
      <c r="BC77" s="127"/>
      <c r="BD77" s="127"/>
      <c r="BE77" s="127"/>
      <c r="BF77" s="128"/>
      <c r="BG77" s="129"/>
      <c r="BH77" s="46"/>
      <c r="BI77" s="141">
        <f>SUMIF($D$7:$BG$7,"1",$D77:$BG77)</f>
        <v>15</v>
      </c>
      <c r="BJ77" s="142">
        <f>SUMIFS($D$9:$BG$9,$D$7:$BG$7,"1",$D77:$BG77,"&gt;"&amp;-1)</f>
        <v>15</v>
      </c>
      <c r="BK77" s="143">
        <f t="shared" si="0"/>
        <v>100</v>
      </c>
      <c r="BL77" s="144">
        <f>SUMIF($D$7:$BG$7,"2",$D77:$BG77)</f>
        <v>28</v>
      </c>
      <c r="BM77" s="142">
        <f>SUMIFS($D$9:$BG$9,$D$7:$BG$7,"2",$D77:$BG77,"&gt;"&amp;-1)</f>
        <v>30</v>
      </c>
      <c r="BN77" s="143">
        <f t="shared" si="1"/>
        <v>93.34</v>
      </c>
      <c r="BO77" s="144">
        <f>SUMIF($D$7:$BG$7,"3",$D77:$BG77)</f>
        <v>21</v>
      </c>
      <c r="BP77" s="142">
        <f>SUMIFS($D$9:$BG$9,$D$7:$BG$7,"3",$D77:$BG77,"&gt;"&amp;-1)</f>
        <v>25</v>
      </c>
      <c r="BQ77" s="143">
        <f t="shared" si="2"/>
        <v>84</v>
      </c>
      <c r="BR77" s="144">
        <f>SUMIF($D$7:$BG$7,"4",$D77:$BG77)</f>
        <v>10</v>
      </c>
      <c r="BS77" s="142">
        <f>SUMIFS($D$9:$BG$9,$D$7:$BG$7,"4",$D77:$BG77,"&gt;"&amp;-1)</f>
        <v>15</v>
      </c>
      <c r="BT77" s="143">
        <f t="shared" si="3"/>
        <v>66.67</v>
      </c>
      <c r="BU77" s="144">
        <f>SUMIF($D$7:$BG$7,"5",$D77:$BG77)</f>
        <v>15</v>
      </c>
      <c r="BV77" s="142">
        <f>SUMIFS($D$9:$BG$9,$D$7:$BG$7,"5",$D77:$BG77,"&gt;"&amp;-1)</f>
        <v>20</v>
      </c>
      <c r="BW77" s="143">
        <f t="shared" si="4"/>
        <v>75</v>
      </c>
      <c r="BX77" s="144">
        <f>SUMIF($D$7:$BG$7,"6",$D77:$BG77)</f>
        <v>0</v>
      </c>
      <c r="BY77" s="142">
        <f>SUMIFS($D$9:$BG$9,$D$7:$BG$7,"6",$D77:$BG77,"&gt;"&amp;-1)</f>
        <v>0</v>
      </c>
      <c r="BZ77" s="143">
        <f t="shared" si="5"/>
        <v>0</v>
      </c>
    </row>
    <row r="78" ht="15.75" customHeight="1" spans="1:78" x14ac:dyDescent="0.25">
      <c r="A78" s="152">
        <v>66</v>
      </c>
      <c r="B78" s="152" t="s">
        <v>183</v>
      </c>
      <c r="C78" s="119" t="s">
        <v>184</v>
      </c>
      <c r="D78" s="134"/>
      <c r="E78" s="135"/>
      <c r="F78" s="136"/>
      <c r="G78" s="136"/>
      <c r="H78" s="137"/>
      <c r="I78" s="137"/>
      <c r="J78" s="138"/>
      <c r="K78" s="139"/>
      <c r="L78" s="136"/>
      <c r="M78" s="136"/>
      <c r="N78" s="137"/>
      <c r="O78" s="137"/>
      <c r="P78" s="138"/>
      <c r="Q78" s="138"/>
      <c r="R78" s="137"/>
      <c r="S78" s="137"/>
      <c r="T78" s="140"/>
      <c r="U78" s="134"/>
      <c r="V78" s="135"/>
      <c r="W78" s="136"/>
      <c r="X78" s="136"/>
      <c r="Y78" s="137"/>
      <c r="Z78" s="137"/>
      <c r="AA78" s="138"/>
      <c r="AB78" s="139"/>
      <c r="AC78" s="136"/>
      <c r="AD78" s="136"/>
      <c r="AE78" s="137"/>
      <c r="AF78" s="137"/>
      <c r="AG78" s="138"/>
      <c r="AH78" s="138"/>
      <c r="AI78" s="137"/>
      <c r="AJ78" s="137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127"/>
      <c r="BB78" s="127"/>
      <c r="BC78" s="127"/>
      <c r="BD78" s="127"/>
      <c r="BE78" s="127"/>
      <c r="BF78" s="128"/>
      <c r="BG78" s="129"/>
      <c r="BH78" s="46"/>
      <c r="BI78" s="141">
        <f>SUMIF($D$7:$BG$7,"1",$D78:$BG78)</f>
        <v>3.5</v>
      </c>
      <c r="BJ78" s="142">
        <f>SUMIFS($D$9:$BG$9,$D$7:$BG$7,"1",$D78:$BG78,"&gt;"&amp;-1)</f>
        <v>12.5</v>
      </c>
      <c r="BK78" s="143">
        <f t="shared" si="0"/>
        <v>28</v>
      </c>
      <c r="BL78" s="144">
        <f>SUMIF($D$7:$BG$7,"2",$D78:$BG78)</f>
        <v>7.5</v>
      </c>
      <c r="BM78" s="142">
        <f>SUMIFS($D$9:$BG$9,$D$7:$BG$7,"2",$D78:$BG78,"&gt;"&amp;-1)</f>
        <v>15</v>
      </c>
      <c r="BN78" s="143">
        <f t="shared" si="1"/>
        <v>50</v>
      </c>
      <c r="BO78" s="144">
        <f>SUMIF($D$7:$BG$7,"3",$D78:$BG78)</f>
        <v>5.5</v>
      </c>
      <c r="BP78" s="142">
        <f>SUMIFS($D$9:$BG$9,$D$7:$BG$7,"3",$D78:$BG78,"&gt;"&amp;-1)</f>
        <v>15</v>
      </c>
      <c r="BQ78" s="143">
        <f t="shared" si="2"/>
        <v>36.669999999999995</v>
      </c>
      <c r="BR78" s="144">
        <f>SUMIF($D$7:$BG$7,"4",$D78:$BG78)</f>
        <v>5.5</v>
      </c>
      <c r="BS78" s="142">
        <f>SUMIFS($D$9:$BG$9,$D$7:$BG$7,"4",$D78:$BG78,"&gt;"&amp;-1)</f>
        <v>15</v>
      </c>
      <c r="BT78" s="143">
        <f t="shared" si="3"/>
        <v>36.669999999999995</v>
      </c>
      <c r="BU78" s="144">
        <f>SUMIF($D$7:$BG$7,"5",$D78:$BG78)</f>
        <v>2.5</v>
      </c>
      <c r="BV78" s="142">
        <f>SUMIFS($D$9:$BG$9,$D$7:$BG$7,"5",$D78:$BG78,"&gt;"&amp;-1)</f>
        <v>10</v>
      </c>
      <c r="BW78" s="143">
        <f t="shared" si="4"/>
        <v>25</v>
      </c>
      <c r="BX78" s="144">
        <f>SUMIF($D$7:$BG$7,"6",$D78:$BG78)</f>
        <v>0</v>
      </c>
      <c r="BY78" s="142">
        <f>SUMIFS($D$9:$BG$9,$D$7:$BG$7,"6",$D78:$BG78,"&gt;"&amp;-1)</f>
        <v>0</v>
      </c>
      <c r="BZ78" s="143">
        <f t="shared" si="5"/>
        <v>0</v>
      </c>
    </row>
    <row r="79" ht="15.75" customHeight="1" spans="1:78" x14ac:dyDescent="0.25">
      <c r="A79" s="152">
        <v>67</v>
      </c>
      <c r="B79" s="152" t="s">
        <v>185</v>
      </c>
      <c r="C79" s="119" t="s">
        <v>186</v>
      </c>
      <c r="D79" s="134"/>
      <c r="E79" s="135"/>
      <c r="F79" s="136"/>
      <c r="G79" s="136"/>
      <c r="H79" s="137"/>
      <c r="I79" s="137"/>
      <c r="J79" s="138"/>
      <c r="K79" s="139"/>
      <c r="L79" s="136"/>
      <c r="M79" s="136"/>
      <c r="N79" s="137"/>
      <c r="O79" s="137"/>
      <c r="P79" s="138"/>
      <c r="Q79" s="138"/>
      <c r="R79" s="137"/>
      <c r="S79" s="137"/>
      <c r="T79" s="140"/>
      <c r="U79" s="134"/>
      <c r="V79" s="135"/>
      <c r="W79" s="136"/>
      <c r="X79" s="136"/>
      <c r="Y79" s="137"/>
      <c r="Z79" s="137"/>
      <c r="AA79" s="138"/>
      <c r="AB79" s="139"/>
      <c r="AC79" s="136"/>
      <c r="AD79" s="136"/>
      <c r="AE79" s="137"/>
      <c r="AF79" s="137"/>
      <c r="AG79" s="138"/>
      <c r="AH79" s="138"/>
      <c r="AI79" s="137"/>
      <c r="AJ79" s="137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127"/>
      <c r="BB79" s="127"/>
      <c r="BC79" s="127"/>
      <c r="BD79" s="127"/>
      <c r="BE79" s="127"/>
      <c r="BF79" s="128"/>
      <c r="BG79" s="129"/>
      <c r="BH79" s="46"/>
      <c r="BI79" s="141">
        <f>SUMIF($D$7:$BG$7,"1",$D79:$BG79)</f>
        <v>14</v>
      </c>
      <c r="BJ79" s="142">
        <f>SUMIFS($D$9:$BG$9,$D$7:$BG$7,"1",$D79:$BG79,"&gt;"&amp;-1)</f>
        <v>15</v>
      </c>
      <c r="BK79" s="143">
        <f t="shared" si="0"/>
        <v>93.34</v>
      </c>
      <c r="BL79" s="144">
        <f>SUMIF($D$7:$BG$7,"2",$D79:$BG79)</f>
        <v>20</v>
      </c>
      <c r="BM79" s="142">
        <f>SUMIFS($D$9:$BG$9,$D$7:$BG$7,"2",$D79:$BG79,"&gt;"&amp;-1)</f>
        <v>20</v>
      </c>
      <c r="BN79" s="143">
        <f t="shared" si="1"/>
        <v>100</v>
      </c>
      <c r="BO79" s="144">
        <f>SUMIF($D$7:$BG$7,"3",$D79:$BG79)</f>
        <v>15</v>
      </c>
      <c r="BP79" s="142">
        <f>SUMIFS($D$9:$BG$9,$D$7:$BG$7,"3",$D79:$BG79,"&gt;"&amp;-1)</f>
        <v>15</v>
      </c>
      <c r="BQ79" s="143">
        <f t="shared" si="2"/>
        <v>100</v>
      </c>
      <c r="BR79" s="144">
        <f>SUMIF($D$7:$BG$7,"4",$D79:$BG79)</f>
        <v>15</v>
      </c>
      <c r="BS79" s="142">
        <f>SUMIFS($D$9:$BG$9,$D$7:$BG$7,"4",$D79:$BG79,"&gt;"&amp;-1)</f>
        <v>15</v>
      </c>
      <c r="BT79" s="143">
        <f t="shared" si="3"/>
        <v>100</v>
      </c>
      <c r="BU79" s="144">
        <f>SUMIF($D$7:$BG$7,"5",$D79:$BG79)</f>
        <v>10</v>
      </c>
      <c r="BV79" s="142">
        <f>SUMIFS($D$9:$BG$9,$D$7:$BG$7,"5",$D79:$BG79,"&gt;"&amp;-1)</f>
        <v>10</v>
      </c>
      <c r="BW79" s="143">
        <f t="shared" si="4"/>
        <v>100</v>
      </c>
      <c r="BX79" s="144">
        <f>SUMIF($D$7:$BG$7,"6",$D79:$BG79)</f>
        <v>0</v>
      </c>
      <c r="BY79" s="142">
        <f>SUMIFS($D$9:$BG$9,$D$7:$BG$7,"6",$D79:$BG79,"&gt;"&amp;-1)</f>
        <v>0</v>
      </c>
      <c r="BZ79" s="143">
        <f t="shared" si="5"/>
        <v>0</v>
      </c>
    </row>
    <row r="80" ht="15.75" customHeight="1" spans="1:78" x14ac:dyDescent="0.25">
      <c r="A80" s="152">
        <v>68</v>
      </c>
      <c r="B80" s="152" t="s">
        <v>187</v>
      </c>
      <c r="C80" s="119" t="s">
        <v>188</v>
      </c>
      <c r="D80" s="134"/>
      <c r="E80" s="135"/>
      <c r="F80" s="136"/>
      <c r="G80" s="136"/>
      <c r="H80" s="137"/>
      <c r="I80" s="137"/>
      <c r="J80" s="138"/>
      <c r="K80" s="139"/>
      <c r="L80" s="136"/>
      <c r="M80" s="136"/>
      <c r="N80" s="137"/>
      <c r="O80" s="137"/>
      <c r="P80" s="138"/>
      <c r="Q80" s="138"/>
      <c r="R80" s="137"/>
      <c r="S80" s="137"/>
      <c r="T80" s="140"/>
      <c r="U80" s="134"/>
      <c r="V80" s="135"/>
      <c r="W80" s="136"/>
      <c r="X80" s="136"/>
      <c r="Y80" s="137"/>
      <c r="Z80" s="137"/>
      <c r="AA80" s="138"/>
      <c r="AB80" s="139"/>
      <c r="AC80" s="136"/>
      <c r="AD80" s="136"/>
      <c r="AE80" s="137"/>
      <c r="AF80" s="137"/>
      <c r="AG80" s="138"/>
      <c r="AH80" s="138"/>
      <c r="AI80" s="137"/>
      <c r="AJ80" s="137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127"/>
      <c r="BB80" s="127"/>
      <c r="BC80" s="127"/>
      <c r="BD80" s="127"/>
      <c r="BE80" s="127"/>
      <c r="BF80" s="128"/>
      <c r="BG80" s="129"/>
      <c r="BH80" s="46"/>
      <c r="BI80" s="141">
        <f>SUMIF($D$7:$BG$7,"1",$D80:$BG80)</f>
        <v>15</v>
      </c>
      <c r="BJ80" s="142">
        <f>SUMIFS($D$9:$BG$9,$D$7:$BG$7,"1",$D80:$BG80,"&gt;"&amp;-1)</f>
        <v>15</v>
      </c>
      <c r="BK80" s="143">
        <f t="shared" si="0"/>
        <v>100</v>
      </c>
      <c r="BL80" s="144">
        <f>SUMIF($D$7:$BG$7,"2",$D80:$BG80)</f>
        <v>23</v>
      </c>
      <c r="BM80" s="142">
        <f>SUMIFS($D$9:$BG$9,$D$7:$BG$7,"2",$D80:$BG80,"&gt;"&amp;-1)</f>
        <v>25</v>
      </c>
      <c r="BN80" s="143">
        <f t="shared" si="1"/>
        <v>92</v>
      </c>
      <c r="BO80" s="144">
        <f>SUMIF($D$7:$BG$7,"3",$D80:$BG80)</f>
        <v>27</v>
      </c>
      <c r="BP80" s="142">
        <f>SUMIFS($D$9:$BG$9,$D$7:$BG$7,"3",$D80:$BG80,"&gt;"&amp;-1)</f>
        <v>30</v>
      </c>
      <c r="BQ80" s="143">
        <f t="shared" si="2"/>
        <v>90</v>
      </c>
      <c r="BR80" s="144">
        <f>SUMIF($D$7:$BG$7,"4",$D80:$BG80)</f>
        <v>15</v>
      </c>
      <c r="BS80" s="142">
        <f>SUMIFS($D$9:$BG$9,$D$7:$BG$7,"4",$D80:$BG80,"&gt;"&amp;-1)</f>
        <v>15</v>
      </c>
      <c r="BT80" s="143">
        <f t="shared" si="3"/>
        <v>100</v>
      </c>
      <c r="BU80" s="144">
        <f>SUMIF($D$7:$BG$7,"5",$D80:$BG80)</f>
        <v>13</v>
      </c>
      <c r="BV80" s="142">
        <f>SUMIFS($D$9:$BG$9,$D$7:$BG$7,"5",$D80:$BG80,"&gt;"&amp;-1)</f>
        <v>20</v>
      </c>
      <c r="BW80" s="143">
        <f t="shared" si="4"/>
        <v>65</v>
      </c>
      <c r="BX80" s="144">
        <f>SUMIF($D$7:$BG$7,"6",$D80:$BG80)</f>
        <v>0</v>
      </c>
      <c r="BY80" s="142">
        <f>SUMIFS($D$9:$BG$9,$D$7:$BG$7,"6",$D80:$BG80,"&gt;"&amp;-1)</f>
        <v>0</v>
      </c>
      <c r="BZ80" s="143">
        <f t="shared" si="5"/>
        <v>0</v>
      </c>
    </row>
    <row r="81" ht="15.75" customHeight="1" spans="1:78" x14ac:dyDescent="0.25">
      <c r="A81" s="152">
        <v>69</v>
      </c>
      <c r="B81" s="152" t="s">
        <v>189</v>
      </c>
      <c r="C81" s="119" t="s">
        <v>190</v>
      </c>
      <c r="D81" s="134"/>
      <c r="E81" s="135"/>
      <c r="F81" s="136"/>
      <c r="G81" s="136"/>
      <c r="H81" s="137"/>
      <c r="I81" s="137"/>
      <c r="J81" s="138"/>
      <c r="K81" s="139"/>
      <c r="L81" s="136"/>
      <c r="M81" s="136"/>
      <c r="N81" s="137"/>
      <c r="O81" s="137"/>
      <c r="P81" s="138"/>
      <c r="Q81" s="138"/>
      <c r="R81" s="137"/>
      <c r="S81" s="137"/>
      <c r="T81" s="140"/>
      <c r="U81" s="134"/>
      <c r="V81" s="135"/>
      <c r="W81" s="136"/>
      <c r="X81" s="136"/>
      <c r="Y81" s="137"/>
      <c r="Z81" s="137"/>
      <c r="AA81" s="138"/>
      <c r="AB81" s="139"/>
      <c r="AC81" s="136"/>
      <c r="AD81" s="136"/>
      <c r="AE81" s="137"/>
      <c r="AF81" s="137"/>
      <c r="AG81" s="138"/>
      <c r="AH81" s="138"/>
      <c r="AI81" s="137"/>
      <c r="AJ81" s="137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127"/>
      <c r="BB81" s="127"/>
      <c r="BC81" s="127"/>
      <c r="BD81" s="127"/>
      <c r="BE81" s="127"/>
      <c r="BF81" s="128"/>
      <c r="BG81" s="129"/>
      <c r="BH81" s="46"/>
      <c r="BI81" s="141">
        <f>SUMIF($D$7:$BG$7,"1",$D81:$BG81)</f>
        <v>3</v>
      </c>
      <c r="BJ81" s="142">
        <f>SUMIFS($D$9:$BG$9,$D$7:$BG$7,"1",$D81:$BG81,"&gt;"&amp;-1)</f>
        <v>10</v>
      </c>
      <c r="BK81" s="143">
        <f t="shared" si="0"/>
        <v>30</v>
      </c>
      <c r="BL81" s="144">
        <f>SUMIF($D$7:$BG$7,"2",$D81:$BG81)</f>
        <v>8</v>
      </c>
      <c r="BM81" s="142">
        <f>SUMIFS($D$9:$BG$9,$D$7:$BG$7,"2",$D81:$BG81,"&gt;"&amp;-1)</f>
        <v>20</v>
      </c>
      <c r="BN81" s="143">
        <f t="shared" si="1"/>
        <v>40</v>
      </c>
      <c r="BO81" s="144">
        <f>SUMIF($D$7:$BG$7,"3",$D81:$BG81)</f>
        <v>9</v>
      </c>
      <c r="BP81" s="142">
        <f>SUMIFS($D$9:$BG$9,$D$7:$BG$7,"3",$D81:$BG81,"&gt;"&amp;-1)</f>
        <v>20</v>
      </c>
      <c r="BQ81" s="143">
        <f t="shared" si="2"/>
        <v>45</v>
      </c>
      <c r="BR81" s="144">
        <f>SUMIF($D$7:$BG$7,"4",$D81:$BG81)</f>
        <v>3</v>
      </c>
      <c r="BS81" s="142">
        <f>SUMIFS($D$9:$BG$9,$D$7:$BG$7,"4",$D81:$BG81,"&gt;"&amp;-1)</f>
        <v>10</v>
      </c>
      <c r="BT81" s="143">
        <f t="shared" si="3"/>
        <v>30</v>
      </c>
      <c r="BU81" s="144">
        <f>SUMIF($D$7:$BG$7,"5",$D81:$BG81)</f>
        <v>3</v>
      </c>
      <c r="BV81" s="142">
        <f>SUMIFS($D$9:$BG$9,$D$7:$BG$7,"5",$D81:$BG81,"&gt;"&amp;-1)</f>
        <v>10</v>
      </c>
      <c r="BW81" s="143">
        <f t="shared" si="4"/>
        <v>30</v>
      </c>
      <c r="BX81" s="144">
        <f>SUMIF($D$7:$BG$7,"6",$D81:$BG81)</f>
        <v>0</v>
      </c>
      <c r="BY81" s="142">
        <f>SUMIFS($D$9:$BG$9,$D$7:$BG$7,"6",$D81:$BG81,"&gt;"&amp;-1)</f>
        <v>0</v>
      </c>
      <c r="BZ81" s="143">
        <f t="shared" si="5"/>
        <v>0</v>
      </c>
    </row>
    <row r="82" ht="15.75" customHeight="1" spans="1:78" x14ac:dyDescent="0.25">
      <c r="A82" s="152">
        <v>70</v>
      </c>
      <c r="B82" s="152" t="s">
        <v>191</v>
      </c>
      <c r="C82" s="119" t="s">
        <v>192</v>
      </c>
      <c r="D82" s="134"/>
      <c r="E82" s="135"/>
      <c r="F82" s="136"/>
      <c r="G82" s="136"/>
      <c r="H82" s="137"/>
      <c r="I82" s="137"/>
      <c r="J82" s="138"/>
      <c r="K82" s="139"/>
      <c r="L82" s="136"/>
      <c r="M82" s="136"/>
      <c r="N82" s="137"/>
      <c r="O82" s="137"/>
      <c r="P82" s="138"/>
      <c r="Q82" s="138"/>
      <c r="R82" s="137"/>
      <c r="S82" s="137"/>
      <c r="T82" s="140"/>
      <c r="U82" s="134"/>
      <c r="V82" s="135"/>
      <c r="W82" s="136"/>
      <c r="X82" s="136"/>
      <c r="Y82" s="137"/>
      <c r="Z82" s="137"/>
      <c r="AA82" s="138"/>
      <c r="AB82" s="139"/>
      <c r="AC82" s="136"/>
      <c r="AD82" s="136"/>
      <c r="AE82" s="137"/>
      <c r="AF82" s="137"/>
      <c r="AG82" s="138"/>
      <c r="AH82" s="138"/>
      <c r="AI82" s="137"/>
      <c r="AJ82" s="137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127"/>
      <c r="BB82" s="127"/>
      <c r="BC82" s="127"/>
      <c r="BD82" s="127"/>
      <c r="BE82" s="127"/>
      <c r="BF82" s="128"/>
      <c r="BG82" s="129"/>
      <c r="BH82" s="46"/>
      <c r="BI82" s="141">
        <f>SUMIF($D$7:$BG$7,"1",$D82:$BG82)</f>
        <v>15</v>
      </c>
      <c r="BJ82" s="142">
        <f>SUMIFS($D$9:$BG$9,$D$7:$BG$7,"1",$D82:$BG82,"&gt;"&amp;-1)</f>
        <v>15</v>
      </c>
      <c r="BK82" s="143">
        <f t="shared" si="0"/>
        <v>100</v>
      </c>
      <c r="BL82" s="144">
        <f>SUMIF($D$7:$BG$7,"2",$D82:$BG82)</f>
        <v>29</v>
      </c>
      <c r="BM82" s="142">
        <f>SUMIFS($D$9:$BG$9,$D$7:$BG$7,"2",$D82:$BG82,"&gt;"&amp;-1)</f>
        <v>30</v>
      </c>
      <c r="BN82" s="143">
        <f t="shared" si="1"/>
        <v>96.67</v>
      </c>
      <c r="BO82" s="144">
        <f>SUMIF($D$7:$BG$7,"3",$D82:$BG82)</f>
        <v>24</v>
      </c>
      <c r="BP82" s="142">
        <f>SUMIFS($D$9:$BG$9,$D$7:$BG$7,"3",$D82:$BG82,"&gt;"&amp;-1)</f>
        <v>25</v>
      </c>
      <c r="BQ82" s="143">
        <f t="shared" si="2"/>
        <v>96</v>
      </c>
      <c r="BR82" s="144">
        <f>SUMIF($D$7:$BG$7,"4",$D82:$BG82)</f>
        <v>15</v>
      </c>
      <c r="BS82" s="142">
        <f>SUMIFS($D$9:$BG$9,$D$7:$BG$7,"4",$D82:$BG82,"&gt;"&amp;-1)</f>
        <v>15</v>
      </c>
      <c r="BT82" s="143">
        <f t="shared" si="3"/>
        <v>100</v>
      </c>
      <c r="BU82" s="144">
        <f>SUMIF($D$7:$BG$7,"5",$D82:$BG82)</f>
        <v>14</v>
      </c>
      <c r="BV82" s="142">
        <f>SUMIFS($D$9:$BG$9,$D$7:$BG$7,"5",$D82:$BG82,"&gt;"&amp;-1)</f>
        <v>20</v>
      </c>
      <c r="BW82" s="143">
        <f t="shared" si="4"/>
        <v>70</v>
      </c>
      <c r="BX82" s="144">
        <f>SUMIF($D$7:$BG$7,"6",$D82:$BG82)</f>
        <v>0</v>
      </c>
      <c r="BY82" s="142">
        <f>SUMIFS($D$9:$BG$9,$D$7:$BG$7,"6",$D82:$BG82,"&gt;"&amp;-1)</f>
        <v>0</v>
      </c>
      <c r="BZ82" s="143">
        <f t="shared" si="5"/>
        <v>0</v>
      </c>
    </row>
    <row r="83" ht="15.75" customHeight="1" spans="1:78" x14ac:dyDescent="0.25">
      <c r="A83" s="152">
        <v>71</v>
      </c>
      <c r="B83" s="152" t="s">
        <v>193</v>
      </c>
      <c r="C83" s="119" t="s">
        <v>194</v>
      </c>
      <c r="D83" s="134"/>
      <c r="E83" s="135"/>
      <c r="F83" s="136"/>
      <c r="G83" s="136"/>
      <c r="H83" s="137"/>
      <c r="I83" s="137"/>
      <c r="J83" s="138"/>
      <c r="K83" s="139"/>
      <c r="L83" s="136"/>
      <c r="M83" s="136"/>
      <c r="N83" s="137"/>
      <c r="O83" s="137"/>
      <c r="P83" s="138"/>
      <c r="Q83" s="138"/>
      <c r="R83" s="137"/>
      <c r="S83" s="137"/>
      <c r="T83" s="140"/>
      <c r="U83" s="134"/>
      <c r="V83" s="135"/>
      <c r="W83" s="136"/>
      <c r="X83" s="136"/>
      <c r="Y83" s="137"/>
      <c r="Z83" s="137"/>
      <c r="AA83" s="138"/>
      <c r="AB83" s="139"/>
      <c r="AC83" s="136"/>
      <c r="AD83" s="136"/>
      <c r="AE83" s="137"/>
      <c r="AF83" s="137"/>
      <c r="AG83" s="138"/>
      <c r="AH83" s="138"/>
      <c r="AI83" s="137"/>
      <c r="AJ83" s="137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127"/>
      <c r="BB83" s="127"/>
      <c r="BC83" s="127"/>
      <c r="BD83" s="127"/>
      <c r="BE83" s="127"/>
      <c r="BF83" s="128"/>
      <c r="BG83" s="129"/>
      <c r="BH83" s="46"/>
      <c r="BI83" s="141">
        <f>SUMIF($D$7:$BG$7,"1",$D83:$BG83)</f>
        <v>15</v>
      </c>
      <c r="BJ83" s="142">
        <f>SUMIFS($D$9:$BG$9,$D$7:$BG$7,"1",$D83:$BG83,"&gt;"&amp;-1)</f>
        <v>15</v>
      </c>
      <c r="BK83" s="143">
        <f t="shared" si="0"/>
        <v>100</v>
      </c>
      <c r="BL83" s="144">
        <f>SUMIF($D$7:$BG$7,"2",$D83:$BG83)</f>
        <v>22</v>
      </c>
      <c r="BM83" s="142">
        <f>SUMIFS($D$9:$BG$9,$D$7:$BG$7,"2",$D83:$BG83,"&gt;"&amp;-1)</f>
        <v>25</v>
      </c>
      <c r="BN83" s="143">
        <f t="shared" si="1"/>
        <v>88</v>
      </c>
      <c r="BO83" s="144">
        <f>SUMIF($D$7:$BG$7,"3",$D83:$BG83)</f>
        <v>25</v>
      </c>
      <c r="BP83" s="142">
        <f>SUMIFS($D$9:$BG$9,$D$7:$BG$7,"3",$D83:$BG83,"&gt;"&amp;-1)</f>
        <v>30</v>
      </c>
      <c r="BQ83" s="143">
        <f t="shared" si="2"/>
        <v>83.34</v>
      </c>
      <c r="BR83" s="144">
        <f>SUMIF($D$7:$BG$7,"4",$D83:$BG83)</f>
        <v>13</v>
      </c>
      <c r="BS83" s="142">
        <f>SUMIFS($D$9:$BG$9,$D$7:$BG$7,"4",$D83:$BG83,"&gt;"&amp;-1)</f>
        <v>15</v>
      </c>
      <c r="BT83" s="143">
        <f t="shared" si="3"/>
        <v>86.67</v>
      </c>
      <c r="BU83" s="144">
        <f>SUMIF($D$7:$BG$7,"5",$D83:$BG83)</f>
        <v>12</v>
      </c>
      <c r="BV83" s="142">
        <f>SUMIFS($D$9:$BG$9,$D$7:$BG$7,"5",$D83:$BG83,"&gt;"&amp;-1)</f>
        <v>20</v>
      </c>
      <c r="BW83" s="143">
        <f t="shared" si="4"/>
        <v>60</v>
      </c>
      <c r="BX83" s="144">
        <f>SUMIF($D$7:$BG$7,"6",$D83:$BG83)</f>
        <v>0</v>
      </c>
      <c r="BY83" s="142">
        <f>SUMIFS($D$9:$BG$9,$D$7:$BG$7,"6",$D83:$BG83,"&gt;"&amp;-1)</f>
        <v>0</v>
      </c>
      <c r="BZ83" s="143">
        <f t="shared" si="5"/>
        <v>0</v>
      </c>
    </row>
    <row r="84" ht="15.75" customHeight="1" spans="1:78" x14ac:dyDescent="0.25">
      <c r="A84" s="152">
        <v>72</v>
      </c>
      <c r="B84" s="152" t="s">
        <v>195</v>
      </c>
      <c r="C84" s="119" t="s">
        <v>196</v>
      </c>
      <c r="D84" s="134"/>
      <c r="E84" s="135"/>
      <c r="F84" s="136"/>
      <c r="G84" s="136"/>
      <c r="H84" s="137"/>
      <c r="I84" s="137"/>
      <c r="J84" s="138"/>
      <c r="K84" s="139"/>
      <c r="L84" s="136"/>
      <c r="M84" s="136"/>
      <c r="N84" s="137"/>
      <c r="O84" s="137"/>
      <c r="P84" s="138"/>
      <c r="Q84" s="138"/>
      <c r="R84" s="137"/>
      <c r="S84" s="137"/>
      <c r="T84" s="140"/>
      <c r="U84" s="134"/>
      <c r="V84" s="135"/>
      <c r="W84" s="136"/>
      <c r="X84" s="136"/>
      <c r="Y84" s="137"/>
      <c r="Z84" s="137"/>
      <c r="AA84" s="138"/>
      <c r="AB84" s="139"/>
      <c r="AC84" s="136"/>
      <c r="AD84" s="136"/>
      <c r="AE84" s="137"/>
      <c r="AF84" s="137"/>
      <c r="AG84" s="138"/>
      <c r="AH84" s="138"/>
      <c r="AI84" s="137"/>
      <c r="AJ84" s="137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127"/>
      <c r="BB84" s="127"/>
      <c r="BC84" s="127"/>
      <c r="BD84" s="127"/>
      <c r="BE84" s="127"/>
      <c r="BF84" s="128"/>
      <c r="BG84" s="129"/>
      <c r="BH84" s="46"/>
      <c r="BI84" s="141">
        <f>SUMIF($D$7:$BG$7,"1",$D84:$BG84)</f>
        <v>6.5</v>
      </c>
      <c r="BJ84" s="142">
        <f>SUMIFS($D$9:$BG$9,$D$7:$BG$7,"1",$D84:$BG84,"&gt;"&amp;-1)</f>
        <v>10</v>
      </c>
      <c r="BK84" s="143">
        <f t="shared" si="0"/>
        <v>65</v>
      </c>
      <c r="BL84" s="144">
        <f>SUMIF($D$7:$BG$7,"2",$D84:$BG84)</f>
        <v>16.5</v>
      </c>
      <c r="BM84" s="142">
        <f>SUMIFS($D$9:$BG$9,$D$7:$BG$7,"2",$D84:$BG84,"&gt;"&amp;-1)</f>
        <v>23</v>
      </c>
      <c r="BN84" s="143">
        <f t="shared" si="1"/>
        <v>71.74000000000001</v>
      </c>
      <c r="BO84" s="144">
        <f>SUMIF($D$7:$BG$7,"3",$D84:$BG84)</f>
        <v>24.5</v>
      </c>
      <c r="BP84" s="142">
        <f>SUMIFS($D$9:$BG$9,$D$7:$BG$7,"3",$D84:$BG84,"&gt;"&amp;-1)</f>
        <v>35</v>
      </c>
      <c r="BQ84" s="143">
        <f t="shared" si="2"/>
        <v>70</v>
      </c>
      <c r="BR84" s="144">
        <f>SUMIF($D$7:$BG$7,"4",$D84:$BG84)</f>
        <v>11.5</v>
      </c>
      <c r="BS84" s="142">
        <f>SUMIFS($D$9:$BG$9,$D$7:$BG$7,"4",$D84:$BG84,"&gt;"&amp;-1)</f>
        <v>15</v>
      </c>
      <c r="BT84" s="143">
        <f t="shared" si="3"/>
        <v>76.67</v>
      </c>
      <c r="BU84" s="144">
        <f>SUMIF($D$7:$BG$7,"5",$D84:$BG84)</f>
        <v>8.5</v>
      </c>
      <c r="BV84" s="142">
        <f>SUMIFS($D$9:$BG$9,$D$7:$BG$7,"5",$D84:$BG84,"&gt;"&amp;-1)</f>
        <v>15</v>
      </c>
      <c r="BW84" s="143">
        <f t="shared" si="4"/>
        <v>56.669999999999995</v>
      </c>
      <c r="BX84" s="144">
        <f>SUMIF($D$7:$BG$7,"6",$D84:$BG84)</f>
        <v>0</v>
      </c>
      <c r="BY84" s="142">
        <f>SUMIFS($D$9:$BG$9,$D$7:$BG$7,"6",$D84:$BG84,"&gt;"&amp;-1)</f>
        <v>0</v>
      </c>
      <c r="BZ84" s="143">
        <f t="shared" si="5"/>
        <v>0</v>
      </c>
    </row>
    <row r="85" ht="15.75" customHeight="1" spans="1:78" x14ac:dyDescent="0.25">
      <c r="A85" s="152">
        <v>73</v>
      </c>
      <c r="B85" s="152" t="s">
        <v>197</v>
      </c>
      <c r="C85" s="119" t="s">
        <v>198</v>
      </c>
      <c r="D85" s="134"/>
      <c r="E85" s="135"/>
      <c r="F85" s="136"/>
      <c r="G85" s="136"/>
      <c r="H85" s="137"/>
      <c r="I85" s="137"/>
      <c r="J85" s="138"/>
      <c r="K85" s="139"/>
      <c r="L85" s="136"/>
      <c r="M85" s="136"/>
      <c r="N85" s="137"/>
      <c r="O85" s="137"/>
      <c r="P85" s="138"/>
      <c r="Q85" s="138"/>
      <c r="R85" s="137"/>
      <c r="S85" s="137"/>
      <c r="T85" s="140"/>
      <c r="U85" s="134"/>
      <c r="V85" s="135"/>
      <c r="W85" s="136"/>
      <c r="X85" s="136"/>
      <c r="Y85" s="137"/>
      <c r="Z85" s="137"/>
      <c r="AA85" s="138"/>
      <c r="AB85" s="139"/>
      <c r="AC85" s="136"/>
      <c r="AD85" s="136"/>
      <c r="AE85" s="137"/>
      <c r="AF85" s="137"/>
      <c r="AG85" s="138"/>
      <c r="AH85" s="138"/>
      <c r="AI85" s="137"/>
      <c r="AJ85" s="137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127"/>
      <c r="BB85" s="127"/>
      <c r="BC85" s="127"/>
      <c r="BD85" s="127"/>
      <c r="BE85" s="127"/>
      <c r="BF85" s="128"/>
      <c r="BG85" s="129"/>
      <c r="BH85" s="46"/>
      <c r="BI85" s="141">
        <f>SUMIF($D$7:$BG$7,"1",$D85:$BG85)</f>
        <v>10</v>
      </c>
      <c r="BJ85" s="142">
        <f>SUMIFS($D$9:$BG$9,$D$7:$BG$7,"1",$D85:$BG85,"&gt;"&amp;-1)</f>
        <v>12.5</v>
      </c>
      <c r="BK85" s="143">
        <f t="shared" si="0"/>
        <v>80</v>
      </c>
      <c r="BL85" s="144">
        <f>SUMIF($D$7:$BG$7,"2",$D85:$BG85)</f>
        <v>24</v>
      </c>
      <c r="BM85" s="142">
        <f>SUMIFS($D$9:$BG$9,$D$7:$BG$7,"2",$D85:$BG85,"&gt;"&amp;-1)</f>
        <v>25</v>
      </c>
      <c r="BN85" s="143">
        <f t="shared" si="1"/>
        <v>96</v>
      </c>
      <c r="BO85" s="144">
        <f>SUMIF($D$7:$BG$7,"3",$D85:$BG85)</f>
        <v>29</v>
      </c>
      <c r="BP85" s="142">
        <f>SUMIFS($D$9:$BG$9,$D$7:$BG$7,"3",$D85:$BG85,"&gt;"&amp;-1)</f>
        <v>30</v>
      </c>
      <c r="BQ85" s="143">
        <f t="shared" si="2"/>
        <v>96.67</v>
      </c>
      <c r="BR85" s="144">
        <f>SUMIF($D$7:$BG$7,"4",$D85:$BG85)</f>
        <v>13</v>
      </c>
      <c r="BS85" s="142">
        <f>SUMIFS($D$9:$BG$9,$D$7:$BG$7,"4",$D85:$BG85,"&gt;"&amp;-1)</f>
        <v>15</v>
      </c>
      <c r="BT85" s="143">
        <f t="shared" si="3"/>
        <v>86.67</v>
      </c>
      <c r="BU85" s="144">
        <f>SUMIF($D$7:$BG$7,"5",$D85:$BG85)</f>
        <v>9</v>
      </c>
      <c r="BV85" s="142">
        <f>SUMIFS($D$9:$BG$9,$D$7:$BG$7,"5",$D85:$BG85,"&gt;"&amp;-1)</f>
        <v>10</v>
      </c>
      <c r="BW85" s="143">
        <f t="shared" si="4"/>
        <v>90</v>
      </c>
      <c r="BX85" s="144">
        <f>SUMIF($D$7:$BG$7,"6",$D85:$BG85)</f>
        <v>0</v>
      </c>
      <c r="BY85" s="142">
        <f>SUMIFS($D$9:$BG$9,$D$7:$BG$7,"6",$D85:$BG85,"&gt;"&amp;-1)</f>
        <v>0</v>
      </c>
      <c r="BZ85" s="143">
        <f t="shared" si="5"/>
        <v>0</v>
      </c>
    </row>
    <row r="86" ht="15.75" customHeight="1" spans="1:78" x14ac:dyDescent="0.25">
      <c r="A86" s="152">
        <v>74</v>
      </c>
      <c r="B86" s="152" t="s">
        <v>199</v>
      </c>
      <c r="C86" s="119" t="s">
        <v>200</v>
      </c>
      <c r="D86" s="134"/>
      <c r="E86" s="135"/>
      <c r="F86" s="136"/>
      <c r="G86" s="136"/>
      <c r="H86" s="137"/>
      <c r="I86" s="137"/>
      <c r="J86" s="138"/>
      <c r="K86" s="139"/>
      <c r="L86" s="136"/>
      <c r="M86" s="136"/>
      <c r="N86" s="137"/>
      <c r="O86" s="137"/>
      <c r="P86" s="138"/>
      <c r="Q86" s="138"/>
      <c r="R86" s="137"/>
      <c r="S86" s="137"/>
      <c r="T86" s="140"/>
      <c r="U86" s="134"/>
      <c r="V86" s="135"/>
      <c r="W86" s="136"/>
      <c r="X86" s="136"/>
      <c r="Y86" s="137"/>
      <c r="Z86" s="137"/>
      <c r="AA86" s="138"/>
      <c r="AB86" s="139"/>
      <c r="AC86" s="136"/>
      <c r="AD86" s="136"/>
      <c r="AE86" s="137"/>
      <c r="AF86" s="137"/>
      <c r="AG86" s="138"/>
      <c r="AH86" s="138"/>
      <c r="AI86" s="137"/>
      <c r="AJ86" s="137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127"/>
      <c r="BB86" s="127"/>
      <c r="BC86" s="127"/>
      <c r="BD86" s="127"/>
      <c r="BE86" s="127"/>
      <c r="BF86" s="128"/>
      <c r="BG86" s="129"/>
      <c r="BH86" s="46"/>
      <c r="BI86" s="141">
        <f>SUMIF($D$7:$BG$7,"1",$D86:$BG86)</f>
        <v>11</v>
      </c>
      <c r="BJ86" s="142">
        <f>SUMIFS($D$9:$BG$9,$D$7:$BG$7,"1",$D86:$BG86,"&gt;"&amp;-1)</f>
        <v>12.5</v>
      </c>
      <c r="BK86" s="143">
        <f t="shared" si="0"/>
        <v>88</v>
      </c>
      <c r="BL86" s="144">
        <f>SUMIF($D$7:$BG$7,"2",$D86:$BG86)</f>
        <v>21</v>
      </c>
      <c r="BM86" s="142">
        <f>SUMIFS($D$9:$BG$9,$D$7:$BG$7,"2",$D86:$BG86,"&gt;"&amp;-1)</f>
        <v>23</v>
      </c>
      <c r="BN86" s="143">
        <f t="shared" si="1"/>
        <v>91.31</v>
      </c>
      <c r="BO86" s="144">
        <f>SUMIF($D$7:$BG$7,"3",$D86:$BG86)</f>
        <v>26</v>
      </c>
      <c r="BP86" s="142">
        <f>SUMIFS($D$9:$BG$9,$D$7:$BG$7,"3",$D86:$BG86,"&gt;"&amp;-1)</f>
        <v>30</v>
      </c>
      <c r="BQ86" s="143">
        <f t="shared" si="2"/>
        <v>86.67</v>
      </c>
      <c r="BR86" s="144">
        <f>SUMIF($D$7:$BG$7,"4",$D86:$BG86)</f>
        <v>15</v>
      </c>
      <c r="BS86" s="142">
        <f>SUMIFS($D$9:$BG$9,$D$7:$BG$7,"4",$D86:$BG86,"&gt;"&amp;-1)</f>
        <v>15</v>
      </c>
      <c r="BT86" s="143">
        <f t="shared" si="3"/>
        <v>100</v>
      </c>
      <c r="BU86" s="144">
        <f>SUMIF($D$7:$BG$7,"5",$D86:$BG86)</f>
        <v>12</v>
      </c>
      <c r="BV86" s="142">
        <f>SUMIFS($D$9:$BG$9,$D$7:$BG$7,"5",$D86:$BG86,"&gt;"&amp;-1)</f>
        <v>15</v>
      </c>
      <c r="BW86" s="143">
        <f t="shared" si="4"/>
        <v>80</v>
      </c>
      <c r="BX86" s="144">
        <f>SUMIF($D$7:$BG$7,"6",$D86:$BG86)</f>
        <v>0</v>
      </c>
      <c r="BY86" s="142">
        <f>SUMIFS($D$9:$BG$9,$D$7:$BG$7,"6",$D86:$BG86,"&gt;"&amp;-1)</f>
        <v>0</v>
      </c>
      <c r="BZ86" s="143">
        <f t="shared" si="5"/>
        <v>0</v>
      </c>
    </row>
    <row r="87" ht="15.75" customHeight="1" spans="1:78" x14ac:dyDescent="0.25">
      <c r="A87" s="152">
        <v>75</v>
      </c>
      <c r="B87" s="152" t="s">
        <v>201</v>
      </c>
      <c r="C87" s="119" t="s">
        <v>202</v>
      </c>
      <c r="D87" s="134"/>
      <c r="E87" s="135"/>
      <c r="F87" s="136"/>
      <c r="G87" s="136"/>
      <c r="H87" s="137"/>
      <c r="I87" s="137"/>
      <c r="J87" s="138"/>
      <c r="K87" s="139"/>
      <c r="L87" s="136"/>
      <c r="M87" s="136"/>
      <c r="N87" s="137"/>
      <c r="O87" s="137"/>
      <c r="P87" s="138"/>
      <c r="Q87" s="138"/>
      <c r="R87" s="137"/>
      <c r="S87" s="137"/>
      <c r="T87" s="140"/>
      <c r="U87" s="134"/>
      <c r="V87" s="135"/>
      <c r="W87" s="136"/>
      <c r="X87" s="136"/>
      <c r="Y87" s="137"/>
      <c r="Z87" s="137"/>
      <c r="AA87" s="138"/>
      <c r="AB87" s="139"/>
      <c r="AC87" s="136"/>
      <c r="AD87" s="136"/>
      <c r="AE87" s="137"/>
      <c r="AF87" s="137"/>
      <c r="AG87" s="138"/>
      <c r="AH87" s="138"/>
      <c r="AI87" s="137"/>
      <c r="AJ87" s="137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127"/>
      <c r="BB87" s="127"/>
      <c r="BC87" s="127"/>
      <c r="BD87" s="127"/>
      <c r="BE87" s="127"/>
      <c r="BF87" s="128"/>
      <c r="BG87" s="129"/>
      <c r="BH87" s="46"/>
      <c r="BI87" s="141">
        <f>SUMIF($D$7:$BG$7,"1",$D87:$BG87)</f>
        <v>15</v>
      </c>
      <c r="BJ87" s="142">
        <f>SUMIFS($D$9:$BG$9,$D$7:$BG$7,"1",$D87:$BG87,"&gt;"&amp;-1)</f>
        <v>15</v>
      </c>
      <c r="BK87" s="143">
        <f t="shared" si="0"/>
        <v>100</v>
      </c>
      <c r="BL87" s="144">
        <f>SUMIF($D$7:$BG$7,"2",$D87:$BG87)</f>
        <v>22</v>
      </c>
      <c r="BM87" s="142">
        <f>SUMIFS($D$9:$BG$9,$D$7:$BG$7,"2",$D87:$BG87,"&gt;"&amp;-1)</f>
        <v>22</v>
      </c>
      <c r="BN87" s="143">
        <f t="shared" si="1"/>
        <v>100</v>
      </c>
      <c r="BO87" s="144">
        <f>SUMIF($D$7:$BG$7,"3",$D87:$BG87)</f>
        <v>20</v>
      </c>
      <c r="BP87" s="142">
        <f>SUMIFS($D$9:$BG$9,$D$7:$BG$7,"3",$D87:$BG87,"&gt;"&amp;-1)</f>
        <v>20</v>
      </c>
      <c r="BQ87" s="143">
        <f t="shared" si="2"/>
        <v>100</v>
      </c>
      <c r="BR87" s="144">
        <f>SUMIF($D$7:$BG$7,"4",$D87:$BG87)</f>
        <v>13</v>
      </c>
      <c r="BS87" s="142">
        <f>SUMIFS($D$9:$BG$9,$D$7:$BG$7,"4",$D87:$BG87,"&gt;"&amp;-1)</f>
        <v>15</v>
      </c>
      <c r="BT87" s="143">
        <f t="shared" si="3"/>
        <v>86.67</v>
      </c>
      <c r="BU87" s="144">
        <f>SUMIF($D$7:$BG$7,"5",$D87:$BG87)</f>
        <v>12</v>
      </c>
      <c r="BV87" s="142">
        <f>SUMIFS($D$9:$BG$9,$D$7:$BG$7,"5",$D87:$BG87,"&gt;"&amp;-1)</f>
        <v>15</v>
      </c>
      <c r="BW87" s="143">
        <f t="shared" si="4"/>
        <v>80</v>
      </c>
      <c r="BX87" s="144">
        <f>SUMIF($D$7:$BG$7,"6",$D87:$BG87)</f>
        <v>0</v>
      </c>
      <c r="BY87" s="142">
        <f>SUMIFS($D$9:$BG$9,$D$7:$BG$7,"6",$D87:$BG87,"&gt;"&amp;-1)</f>
        <v>0</v>
      </c>
      <c r="BZ87" s="143">
        <f t="shared" si="5"/>
        <v>0</v>
      </c>
    </row>
    <row r="88" ht="15.75" customHeight="1" spans="1:78" x14ac:dyDescent="0.25">
      <c r="A88" s="152">
        <v>76</v>
      </c>
      <c r="B88" s="152" t="s">
        <v>203</v>
      </c>
      <c r="C88" s="119" t="s">
        <v>204</v>
      </c>
      <c r="D88" s="134"/>
      <c r="E88" s="135"/>
      <c r="F88" s="136"/>
      <c r="G88" s="136"/>
      <c r="H88" s="137"/>
      <c r="I88" s="137"/>
      <c r="J88" s="138"/>
      <c r="K88" s="139"/>
      <c r="L88" s="136"/>
      <c r="M88" s="136"/>
      <c r="N88" s="137"/>
      <c r="O88" s="137"/>
      <c r="P88" s="138"/>
      <c r="Q88" s="138"/>
      <c r="R88" s="137"/>
      <c r="S88" s="137"/>
      <c r="T88" s="140"/>
      <c r="U88" s="134"/>
      <c r="V88" s="135"/>
      <c r="W88" s="136"/>
      <c r="X88" s="136"/>
      <c r="Y88" s="137"/>
      <c r="Z88" s="137"/>
      <c r="AA88" s="138"/>
      <c r="AB88" s="139"/>
      <c r="AC88" s="136"/>
      <c r="AD88" s="136"/>
      <c r="AE88" s="137"/>
      <c r="AF88" s="137"/>
      <c r="AG88" s="138"/>
      <c r="AH88" s="138"/>
      <c r="AI88" s="137"/>
      <c r="AJ88" s="137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127"/>
      <c r="BB88" s="127"/>
      <c r="BC88" s="127"/>
      <c r="BD88" s="127"/>
      <c r="BE88" s="127"/>
      <c r="BF88" s="128"/>
      <c r="BG88" s="129"/>
      <c r="BH88" s="46"/>
      <c r="BI88" s="141">
        <f>SUMIF($D$7:$BG$7,"1",$D88:$BG88)</f>
        <v>0</v>
      </c>
      <c r="BJ88" s="142">
        <f>SUMIFS($D$9:$BG$9,$D$7:$BG$7,"1",$D88:$BG88,"&gt;"&amp;-1)</f>
        <v>10</v>
      </c>
      <c r="BK88" s="143">
        <f t="shared" si="0"/>
        <v>0</v>
      </c>
      <c r="BL88" s="144">
        <f>SUMIF($D$7:$BG$7,"2",$D88:$BG88)</f>
        <v>0</v>
      </c>
      <c r="BM88" s="142">
        <f>SUMIFS($D$9:$BG$9,$D$7:$BG$7,"2",$D88:$BG88,"&gt;"&amp;-1)</f>
        <v>10</v>
      </c>
      <c r="BN88" s="143">
        <f t="shared" si="1"/>
        <v>0</v>
      </c>
      <c r="BO88" s="144">
        <f>SUMIF($D$7:$BG$7,"3",$D88:$BG88)</f>
        <v>0</v>
      </c>
      <c r="BP88" s="142">
        <f>SUMIFS($D$9:$BG$9,$D$7:$BG$7,"3",$D88:$BG88,"&gt;"&amp;-1)</f>
        <v>10</v>
      </c>
      <c r="BQ88" s="143">
        <f t="shared" si="2"/>
        <v>0</v>
      </c>
      <c r="BR88" s="144">
        <f>SUMIF($D$7:$BG$7,"4",$D88:$BG88)</f>
        <v>0</v>
      </c>
      <c r="BS88" s="142">
        <f>SUMIFS($D$9:$BG$9,$D$7:$BG$7,"4",$D88:$BG88,"&gt;"&amp;-1)</f>
        <v>10</v>
      </c>
      <c r="BT88" s="143">
        <f t="shared" si="3"/>
        <v>0</v>
      </c>
      <c r="BU88" s="144">
        <f>SUMIF($D$7:$BG$7,"5",$D88:$BG88)</f>
        <v>0</v>
      </c>
      <c r="BV88" s="142">
        <f>SUMIFS($D$9:$BG$9,$D$7:$BG$7,"5",$D88:$BG88,"&gt;"&amp;-1)</f>
        <v>10</v>
      </c>
      <c r="BW88" s="143">
        <f t="shared" si="4"/>
        <v>0</v>
      </c>
      <c r="BX88" s="144">
        <f>SUMIF($D$7:$BG$7,"6",$D88:$BG88)</f>
        <v>0</v>
      </c>
      <c r="BY88" s="142">
        <f>SUMIFS($D$9:$BG$9,$D$7:$BG$7,"6",$D88:$BG88,"&gt;"&amp;-1)</f>
        <v>0</v>
      </c>
      <c r="BZ88" s="143">
        <f t="shared" si="5"/>
        <v>0</v>
      </c>
    </row>
    <row r="89" ht="15.75" customHeight="1" spans="1:78" x14ac:dyDescent="0.25">
      <c r="A89" s="152">
        <v>77</v>
      </c>
      <c r="B89" s="152" t="s">
        <v>205</v>
      </c>
      <c r="C89" s="119" t="s">
        <v>206</v>
      </c>
      <c r="D89" s="134"/>
      <c r="E89" s="135"/>
      <c r="F89" s="136"/>
      <c r="G89" s="136"/>
      <c r="H89" s="137"/>
      <c r="I89" s="137"/>
      <c r="J89" s="138"/>
      <c r="K89" s="139"/>
      <c r="L89" s="136"/>
      <c r="M89" s="136"/>
      <c r="N89" s="137"/>
      <c r="O89" s="137"/>
      <c r="P89" s="138"/>
      <c r="Q89" s="138"/>
      <c r="R89" s="137"/>
      <c r="S89" s="137"/>
      <c r="T89" s="140"/>
      <c r="U89" s="134"/>
      <c r="V89" s="135"/>
      <c r="W89" s="136"/>
      <c r="X89" s="136"/>
      <c r="Y89" s="137"/>
      <c r="Z89" s="137"/>
      <c r="AA89" s="138"/>
      <c r="AB89" s="139"/>
      <c r="AC89" s="136"/>
      <c r="AD89" s="136"/>
      <c r="AE89" s="137"/>
      <c r="AF89" s="137"/>
      <c r="AG89" s="138"/>
      <c r="AH89" s="138"/>
      <c r="AI89" s="137"/>
      <c r="AJ89" s="137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127"/>
      <c r="BB89" s="127"/>
      <c r="BC89" s="127"/>
      <c r="BD89" s="127"/>
      <c r="BE89" s="127"/>
      <c r="BF89" s="128"/>
      <c r="BG89" s="129"/>
      <c r="BH89" s="46"/>
      <c r="BI89" s="141">
        <f>SUMIF($D$7:$BG$7,"1",$D89:$BG89)</f>
        <v>2.5</v>
      </c>
      <c r="BJ89" s="142">
        <f>SUMIFS($D$9:$BG$9,$D$7:$BG$7,"1",$D89:$BG89,"&gt;"&amp;-1)</f>
        <v>10</v>
      </c>
      <c r="BK89" s="143">
        <f t="shared" si="0"/>
        <v>25</v>
      </c>
      <c r="BL89" s="144">
        <f>SUMIF($D$7:$BG$7,"2",$D89:$BG89)</f>
        <v>8.5</v>
      </c>
      <c r="BM89" s="142">
        <f>SUMIFS($D$9:$BG$9,$D$7:$BG$7,"2",$D89:$BG89,"&gt;"&amp;-1)</f>
        <v>18</v>
      </c>
      <c r="BN89" s="143">
        <f t="shared" si="1"/>
        <v>47.23</v>
      </c>
      <c r="BO89" s="144">
        <f>SUMIF($D$7:$BG$7,"3",$D89:$BG89)</f>
        <v>8.5</v>
      </c>
      <c r="BP89" s="142">
        <f>SUMIFS($D$9:$BG$9,$D$7:$BG$7,"3",$D89:$BG89,"&gt;"&amp;-1)</f>
        <v>25</v>
      </c>
      <c r="BQ89" s="143">
        <f t="shared" si="2"/>
        <v>34</v>
      </c>
      <c r="BR89" s="144">
        <f>SUMIF($D$7:$BG$7,"4",$D89:$BG89)</f>
        <v>3.5</v>
      </c>
      <c r="BS89" s="142">
        <f>SUMIFS($D$9:$BG$9,$D$7:$BG$7,"4",$D89:$BG89,"&gt;"&amp;-1)</f>
        <v>15</v>
      </c>
      <c r="BT89" s="143">
        <f t="shared" si="3"/>
        <v>23.34</v>
      </c>
      <c r="BU89" s="144">
        <f>SUMIF($D$7:$BG$7,"5",$D89:$BG89)</f>
        <v>3.5</v>
      </c>
      <c r="BV89" s="142">
        <f>SUMIFS($D$9:$BG$9,$D$7:$BG$7,"5",$D89:$BG89,"&gt;"&amp;-1)</f>
        <v>15</v>
      </c>
      <c r="BW89" s="143">
        <f t="shared" si="4"/>
        <v>23.34</v>
      </c>
      <c r="BX89" s="144">
        <f>SUMIF($D$7:$BG$7,"6",$D89:$BG89)</f>
        <v>0</v>
      </c>
      <c r="BY89" s="142">
        <f>SUMIFS($D$9:$BG$9,$D$7:$BG$7,"6",$D89:$BG89,"&gt;"&amp;-1)</f>
        <v>0</v>
      </c>
      <c r="BZ89" s="143">
        <f t="shared" si="5"/>
        <v>0</v>
      </c>
    </row>
    <row r="90" ht="15.75" customHeight="1" spans="1:78" x14ac:dyDescent="0.25">
      <c r="A90" s="152">
        <v>78</v>
      </c>
      <c r="B90" s="152" t="s">
        <v>207</v>
      </c>
      <c r="C90" s="119" t="s">
        <v>208</v>
      </c>
      <c r="D90" s="134"/>
      <c r="E90" s="135"/>
      <c r="F90" s="136"/>
      <c r="G90" s="136"/>
      <c r="H90" s="137"/>
      <c r="I90" s="137"/>
      <c r="J90" s="138"/>
      <c r="K90" s="139"/>
      <c r="L90" s="136"/>
      <c r="M90" s="136"/>
      <c r="N90" s="137"/>
      <c r="O90" s="137"/>
      <c r="P90" s="138"/>
      <c r="Q90" s="138"/>
      <c r="R90" s="137"/>
      <c r="S90" s="137"/>
      <c r="T90" s="140"/>
      <c r="U90" s="134"/>
      <c r="V90" s="135"/>
      <c r="W90" s="136"/>
      <c r="X90" s="136"/>
      <c r="Y90" s="137"/>
      <c r="Z90" s="137"/>
      <c r="AA90" s="138"/>
      <c r="AB90" s="139"/>
      <c r="AC90" s="136"/>
      <c r="AD90" s="136"/>
      <c r="AE90" s="137"/>
      <c r="AF90" s="137"/>
      <c r="AG90" s="138"/>
      <c r="AH90" s="138"/>
      <c r="AI90" s="137"/>
      <c r="AJ90" s="137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127"/>
      <c r="BB90" s="127"/>
      <c r="BC90" s="127"/>
      <c r="BD90" s="127"/>
      <c r="BE90" s="127"/>
      <c r="BF90" s="128"/>
      <c r="BG90" s="129"/>
      <c r="BH90" s="46"/>
      <c r="BI90" s="141">
        <f>SUMIF($D$7:$BG$7,"1",$D90:$BG90)</f>
        <v>10</v>
      </c>
      <c r="BJ90" s="142">
        <f>SUMIFS($D$9:$BG$9,$D$7:$BG$7,"1",$D90:$BG90,"&gt;"&amp;-1)</f>
        <v>10</v>
      </c>
      <c r="BK90" s="143">
        <f t="shared" si="0"/>
        <v>100</v>
      </c>
      <c r="BL90" s="144">
        <f>SUMIF($D$7:$BG$7,"2",$D90:$BG90)</f>
        <v>26</v>
      </c>
      <c r="BM90" s="142">
        <f>SUMIFS($D$9:$BG$9,$D$7:$BG$7,"2",$D90:$BG90,"&gt;"&amp;-1)</f>
        <v>27</v>
      </c>
      <c r="BN90" s="143">
        <f t="shared" si="1"/>
        <v>96.30000000000001</v>
      </c>
      <c r="BO90" s="144">
        <f>SUMIF($D$7:$BG$7,"3",$D90:$BG90)</f>
        <v>26</v>
      </c>
      <c r="BP90" s="142">
        <f>SUMIFS($D$9:$BG$9,$D$7:$BG$7,"3",$D90:$BG90,"&gt;"&amp;-1)</f>
        <v>30</v>
      </c>
      <c r="BQ90" s="143">
        <f t="shared" si="2"/>
        <v>86.67</v>
      </c>
      <c r="BR90" s="144">
        <f>SUMIF($D$7:$BG$7,"4",$D90:$BG90)</f>
        <v>15</v>
      </c>
      <c r="BS90" s="142">
        <f>SUMIFS($D$9:$BG$9,$D$7:$BG$7,"4",$D90:$BG90,"&gt;"&amp;-1)</f>
        <v>15</v>
      </c>
      <c r="BT90" s="143">
        <f t="shared" si="3"/>
        <v>100</v>
      </c>
      <c r="BU90" s="144">
        <f>SUMIF($D$7:$BG$7,"5",$D90:$BG90)</f>
        <v>11</v>
      </c>
      <c r="BV90" s="142">
        <f>SUMIFS($D$9:$BG$9,$D$7:$BG$7,"5",$D90:$BG90,"&gt;"&amp;-1)</f>
        <v>15</v>
      </c>
      <c r="BW90" s="143">
        <f t="shared" si="4"/>
        <v>73.34</v>
      </c>
      <c r="BX90" s="144">
        <f>SUMIF($D$7:$BG$7,"6",$D90:$BG90)</f>
        <v>0</v>
      </c>
      <c r="BY90" s="142">
        <f>SUMIFS($D$9:$BG$9,$D$7:$BG$7,"6",$D90:$BG90,"&gt;"&amp;-1)</f>
        <v>0</v>
      </c>
      <c r="BZ90" s="143">
        <f t="shared" si="5"/>
        <v>0</v>
      </c>
    </row>
    <row r="91" ht="15.75" customHeight="1" spans="1:78" x14ac:dyDescent="0.25">
      <c r="A91" s="152">
        <v>79</v>
      </c>
      <c r="B91" s="152" t="s">
        <v>209</v>
      </c>
      <c r="C91" s="119" t="s">
        <v>210</v>
      </c>
      <c r="D91" s="134"/>
      <c r="E91" s="135"/>
      <c r="F91" s="136"/>
      <c r="G91" s="136"/>
      <c r="H91" s="137"/>
      <c r="I91" s="137"/>
      <c r="J91" s="138"/>
      <c r="K91" s="139"/>
      <c r="L91" s="136"/>
      <c r="M91" s="136"/>
      <c r="N91" s="137"/>
      <c r="O91" s="137"/>
      <c r="P91" s="138"/>
      <c r="Q91" s="138"/>
      <c r="R91" s="137"/>
      <c r="S91" s="137"/>
      <c r="T91" s="140"/>
      <c r="U91" s="134"/>
      <c r="V91" s="135"/>
      <c r="W91" s="136"/>
      <c r="X91" s="136"/>
      <c r="Y91" s="137"/>
      <c r="Z91" s="137"/>
      <c r="AA91" s="138"/>
      <c r="AB91" s="139"/>
      <c r="AC91" s="136"/>
      <c r="AD91" s="136"/>
      <c r="AE91" s="137"/>
      <c r="AF91" s="137"/>
      <c r="AG91" s="138"/>
      <c r="AH91" s="138"/>
      <c r="AI91" s="137"/>
      <c r="AJ91" s="137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127"/>
      <c r="BB91" s="127"/>
      <c r="BC91" s="127"/>
      <c r="BD91" s="127"/>
      <c r="BE91" s="127"/>
      <c r="BF91" s="128"/>
      <c r="BG91" s="129"/>
      <c r="BH91" s="46"/>
      <c r="BI91" s="141">
        <f>SUMIF($D$7:$BG$7,"1",$D91:$BG91)</f>
        <v>2.5</v>
      </c>
      <c r="BJ91" s="142">
        <f>SUMIFS($D$9:$BG$9,$D$7:$BG$7,"1",$D91:$BG91,"&gt;"&amp;-1)</f>
        <v>10</v>
      </c>
      <c r="BK91" s="143">
        <f t="shared" si="0"/>
        <v>25</v>
      </c>
      <c r="BL91" s="144">
        <f>SUMIF($D$7:$BG$7,"2",$D91:$BG91)</f>
        <v>6.5</v>
      </c>
      <c r="BM91" s="142">
        <f>SUMIFS($D$9:$BG$9,$D$7:$BG$7,"2",$D91:$BG91,"&gt;"&amp;-1)</f>
        <v>15</v>
      </c>
      <c r="BN91" s="143">
        <f t="shared" si="1"/>
        <v>43.339999999999996</v>
      </c>
      <c r="BO91" s="144">
        <f>SUMIF($D$7:$BG$7,"3",$D91:$BG91)</f>
        <v>11.5</v>
      </c>
      <c r="BP91" s="142">
        <f>SUMIFS($D$9:$BG$9,$D$7:$BG$7,"3",$D91:$BG91,"&gt;"&amp;-1)</f>
        <v>20</v>
      </c>
      <c r="BQ91" s="143">
        <f t="shared" si="2"/>
        <v>57.5</v>
      </c>
      <c r="BR91" s="144">
        <f>SUMIF($D$7:$BG$7,"4",$D91:$BG91)</f>
        <v>2.5</v>
      </c>
      <c r="BS91" s="142">
        <f>SUMIFS($D$9:$BG$9,$D$7:$BG$7,"4",$D91:$BG91,"&gt;"&amp;-1)</f>
        <v>10</v>
      </c>
      <c r="BT91" s="143">
        <f t="shared" si="3"/>
        <v>25</v>
      </c>
      <c r="BU91" s="144">
        <f>SUMIF($D$7:$BG$7,"5",$D91:$BG91)</f>
        <v>2.5</v>
      </c>
      <c r="BV91" s="142">
        <f>SUMIFS($D$9:$BG$9,$D$7:$BG$7,"5",$D91:$BG91,"&gt;"&amp;-1)</f>
        <v>10</v>
      </c>
      <c r="BW91" s="143">
        <f t="shared" si="4"/>
        <v>25</v>
      </c>
      <c r="BX91" s="144">
        <f>SUMIF($D$7:$BG$7,"6",$D91:$BG91)</f>
        <v>0</v>
      </c>
      <c r="BY91" s="142">
        <f>SUMIFS($D$9:$BG$9,$D$7:$BG$7,"6",$D91:$BG91,"&gt;"&amp;-1)</f>
        <v>0</v>
      </c>
      <c r="BZ91" s="143">
        <f t="shared" si="5"/>
        <v>0</v>
      </c>
    </row>
    <row r="92" ht="15.75" customHeight="1" spans="1:78" x14ac:dyDescent="0.25">
      <c r="A92" s="152">
        <v>80</v>
      </c>
      <c r="B92" s="152" t="s">
        <v>211</v>
      </c>
      <c r="C92" s="119" t="s">
        <v>212</v>
      </c>
      <c r="D92" s="134"/>
      <c r="E92" s="135"/>
      <c r="F92" s="136"/>
      <c r="G92" s="136"/>
      <c r="H92" s="137"/>
      <c r="I92" s="137"/>
      <c r="J92" s="138"/>
      <c r="K92" s="139"/>
      <c r="L92" s="136"/>
      <c r="M92" s="136"/>
      <c r="N92" s="137"/>
      <c r="O92" s="137"/>
      <c r="P92" s="138"/>
      <c r="Q92" s="138"/>
      <c r="R92" s="137"/>
      <c r="S92" s="137"/>
      <c r="T92" s="140"/>
      <c r="U92" s="134"/>
      <c r="V92" s="135"/>
      <c r="W92" s="136"/>
      <c r="X92" s="136"/>
      <c r="Y92" s="137"/>
      <c r="Z92" s="137"/>
      <c r="AA92" s="138"/>
      <c r="AB92" s="139"/>
      <c r="AC92" s="136"/>
      <c r="AD92" s="136"/>
      <c r="AE92" s="137"/>
      <c r="AF92" s="137"/>
      <c r="AG92" s="138"/>
      <c r="AH92" s="138"/>
      <c r="AI92" s="137"/>
      <c r="AJ92" s="137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127"/>
      <c r="BB92" s="127"/>
      <c r="BC92" s="127"/>
      <c r="BD92" s="127"/>
      <c r="BE92" s="127"/>
      <c r="BF92" s="128"/>
      <c r="BG92" s="129"/>
      <c r="BH92" s="46"/>
      <c r="BI92" s="141">
        <f>SUMIF($D$7:$BG$7,"1",$D92:$BG92)</f>
        <v>3</v>
      </c>
      <c r="BJ92" s="142">
        <f>SUMIFS($D$9:$BG$9,$D$7:$BG$7,"1",$D92:$BG92,"&gt;"&amp;-1)</f>
        <v>12.5</v>
      </c>
      <c r="BK92" s="143">
        <f t="shared" si="0"/>
        <v>24</v>
      </c>
      <c r="BL92" s="144">
        <f>SUMIF($D$7:$BG$7,"2",$D92:$BG92)</f>
        <v>7</v>
      </c>
      <c r="BM92" s="142">
        <f>SUMIFS($D$9:$BG$9,$D$7:$BG$7,"2",$D92:$BG92,"&gt;"&amp;-1)</f>
        <v>15</v>
      </c>
      <c r="BN92" s="143">
        <f t="shared" si="1"/>
        <v>46.669999999999995</v>
      </c>
      <c r="BO92" s="144">
        <f>SUMIF($D$7:$BG$7,"3",$D92:$BG92)</f>
        <v>4</v>
      </c>
      <c r="BP92" s="142">
        <f>SUMIFS($D$9:$BG$9,$D$7:$BG$7,"3",$D92:$BG92,"&gt;"&amp;-1)</f>
        <v>15</v>
      </c>
      <c r="BQ92" s="143">
        <f t="shared" si="2"/>
        <v>26.67</v>
      </c>
      <c r="BR92" s="144">
        <f>SUMIF($D$7:$BG$7,"4",$D92:$BG92)</f>
        <v>5</v>
      </c>
      <c r="BS92" s="142">
        <f>SUMIFS($D$9:$BG$9,$D$7:$BG$7,"4",$D92:$BG92,"&gt;"&amp;-1)</f>
        <v>15</v>
      </c>
      <c r="BT92" s="143">
        <f t="shared" si="3"/>
        <v>33.339999999999996</v>
      </c>
      <c r="BU92" s="144">
        <f>SUMIF($D$7:$BG$7,"5",$D92:$BG92)</f>
        <v>2</v>
      </c>
      <c r="BV92" s="142">
        <f>SUMIFS($D$9:$BG$9,$D$7:$BG$7,"5",$D92:$BG92,"&gt;"&amp;-1)</f>
        <v>10</v>
      </c>
      <c r="BW92" s="143">
        <f t="shared" si="4"/>
        <v>20</v>
      </c>
      <c r="BX92" s="144">
        <f>SUMIF($D$7:$BG$7,"6",$D92:$BG92)</f>
        <v>0</v>
      </c>
      <c r="BY92" s="142">
        <f>SUMIFS($D$9:$BG$9,$D$7:$BG$7,"6",$D92:$BG92,"&gt;"&amp;-1)</f>
        <v>0</v>
      </c>
      <c r="BZ92" s="143">
        <f t="shared" si="5"/>
        <v>0</v>
      </c>
    </row>
    <row r="93" ht="15.75" customHeight="1" spans="1:78" x14ac:dyDescent="0.25">
      <c r="A93" s="152">
        <v>81</v>
      </c>
      <c r="B93" s="152" t="s">
        <v>213</v>
      </c>
      <c r="C93" s="119" t="s">
        <v>214</v>
      </c>
      <c r="D93" s="134"/>
      <c r="E93" s="135"/>
      <c r="F93" s="136"/>
      <c r="G93" s="136"/>
      <c r="H93" s="137"/>
      <c r="I93" s="137"/>
      <c r="J93" s="138"/>
      <c r="K93" s="139"/>
      <c r="L93" s="136"/>
      <c r="M93" s="136"/>
      <c r="N93" s="137"/>
      <c r="O93" s="137"/>
      <c r="P93" s="138"/>
      <c r="Q93" s="138"/>
      <c r="R93" s="137"/>
      <c r="S93" s="137"/>
      <c r="T93" s="140"/>
      <c r="U93" s="134"/>
      <c r="V93" s="135"/>
      <c r="W93" s="136"/>
      <c r="X93" s="136"/>
      <c r="Y93" s="137"/>
      <c r="Z93" s="137"/>
      <c r="AA93" s="138"/>
      <c r="AB93" s="139"/>
      <c r="AC93" s="136"/>
      <c r="AD93" s="136"/>
      <c r="AE93" s="137"/>
      <c r="AF93" s="137"/>
      <c r="AG93" s="138"/>
      <c r="AH93" s="138"/>
      <c r="AI93" s="137"/>
      <c r="AJ93" s="137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127"/>
      <c r="BB93" s="127"/>
      <c r="BC93" s="127"/>
      <c r="BD93" s="127"/>
      <c r="BE93" s="127"/>
      <c r="BF93" s="128"/>
      <c r="BG93" s="129"/>
      <c r="BH93" s="46"/>
      <c r="BI93" s="141">
        <f>SUMIF($D$7:$BG$7,"1",$D93:$BG93)</f>
        <v>10</v>
      </c>
      <c r="BJ93" s="142">
        <f>SUMIFS($D$9:$BG$9,$D$7:$BG$7,"1",$D93:$BG93,"&gt;"&amp;-1)</f>
        <v>10</v>
      </c>
      <c r="BK93" s="143">
        <f t="shared" si="0"/>
        <v>100</v>
      </c>
      <c r="BL93" s="144">
        <f>SUMIF($D$7:$BG$7,"2",$D93:$BG93)</f>
        <v>19</v>
      </c>
      <c r="BM93" s="142">
        <f>SUMIFS($D$9:$BG$9,$D$7:$BG$7,"2",$D93:$BG93,"&gt;"&amp;-1)</f>
        <v>20</v>
      </c>
      <c r="BN93" s="143">
        <f t="shared" si="1"/>
        <v>95</v>
      </c>
      <c r="BO93" s="144">
        <f>SUMIF($D$7:$BG$7,"3",$D93:$BG93)</f>
        <v>18</v>
      </c>
      <c r="BP93" s="142">
        <f>SUMIFS($D$9:$BG$9,$D$7:$BG$7,"3",$D93:$BG93,"&gt;"&amp;-1)</f>
        <v>20</v>
      </c>
      <c r="BQ93" s="143">
        <f t="shared" si="2"/>
        <v>90</v>
      </c>
      <c r="BR93" s="144">
        <f>SUMIF($D$7:$BG$7,"4",$D93:$BG93)</f>
        <v>15</v>
      </c>
      <c r="BS93" s="142">
        <f>SUMIFS($D$9:$BG$9,$D$7:$BG$7,"4",$D93:$BG93,"&gt;"&amp;-1)</f>
        <v>15</v>
      </c>
      <c r="BT93" s="143">
        <f t="shared" si="3"/>
        <v>100</v>
      </c>
      <c r="BU93" s="144">
        <f>SUMIF($D$7:$BG$7,"5",$D93:$BG93)</f>
        <v>10</v>
      </c>
      <c r="BV93" s="142">
        <f>SUMIFS($D$9:$BG$9,$D$7:$BG$7,"5",$D93:$BG93,"&gt;"&amp;-1)</f>
        <v>10</v>
      </c>
      <c r="BW93" s="143">
        <f t="shared" si="4"/>
        <v>100</v>
      </c>
      <c r="BX93" s="144">
        <f>SUMIF($D$7:$BG$7,"6",$D93:$BG93)</f>
        <v>0</v>
      </c>
      <c r="BY93" s="142">
        <f>SUMIFS($D$9:$BG$9,$D$7:$BG$7,"6",$D93:$BG93,"&gt;"&amp;-1)</f>
        <v>0</v>
      </c>
      <c r="BZ93" s="143">
        <f t="shared" si="5"/>
        <v>0</v>
      </c>
    </row>
    <row r="94" ht="15.75" customHeight="1" spans="1:78" x14ac:dyDescent="0.25">
      <c r="A94" s="152">
        <v>82</v>
      </c>
      <c r="B94" s="152" t="s">
        <v>215</v>
      </c>
      <c r="C94" s="119" t="s">
        <v>216</v>
      </c>
      <c r="D94" s="134"/>
      <c r="E94" s="135"/>
      <c r="F94" s="136"/>
      <c r="G94" s="136"/>
      <c r="H94" s="137"/>
      <c r="I94" s="137"/>
      <c r="J94" s="138"/>
      <c r="K94" s="139"/>
      <c r="L94" s="136"/>
      <c r="M94" s="136"/>
      <c r="N94" s="137"/>
      <c r="O94" s="137"/>
      <c r="P94" s="138"/>
      <c r="Q94" s="138"/>
      <c r="R94" s="137"/>
      <c r="S94" s="137"/>
      <c r="T94" s="140"/>
      <c r="U94" s="134"/>
      <c r="V94" s="135"/>
      <c r="W94" s="136"/>
      <c r="X94" s="136"/>
      <c r="Y94" s="137"/>
      <c r="Z94" s="137"/>
      <c r="AA94" s="138"/>
      <c r="AB94" s="139"/>
      <c r="AC94" s="136"/>
      <c r="AD94" s="136"/>
      <c r="AE94" s="137"/>
      <c r="AF94" s="137"/>
      <c r="AG94" s="138"/>
      <c r="AH94" s="138"/>
      <c r="AI94" s="137"/>
      <c r="AJ94" s="137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127"/>
      <c r="BB94" s="127"/>
      <c r="BC94" s="127"/>
      <c r="BD94" s="127"/>
      <c r="BE94" s="127"/>
      <c r="BF94" s="128"/>
      <c r="BG94" s="129"/>
      <c r="BH94" s="46"/>
      <c r="BI94" s="141">
        <f>SUMIF($D$7:$BG$7,"1",$D94:$BG94)</f>
        <v>4.5</v>
      </c>
      <c r="BJ94" s="142">
        <f>SUMIFS($D$9:$BG$9,$D$7:$BG$7,"1",$D94:$BG94,"&gt;"&amp;-1)</f>
        <v>10</v>
      </c>
      <c r="BK94" s="143">
        <f t="shared" si="0"/>
        <v>45</v>
      </c>
      <c r="BL94" s="144">
        <f>SUMIF($D$7:$BG$7,"2",$D94:$BG94)</f>
        <v>12.5</v>
      </c>
      <c r="BM94" s="142">
        <f>SUMIFS($D$9:$BG$9,$D$7:$BG$7,"2",$D94:$BG94,"&gt;"&amp;-1)</f>
        <v>18</v>
      </c>
      <c r="BN94" s="143">
        <f t="shared" si="1"/>
        <v>69.45</v>
      </c>
      <c r="BO94" s="144">
        <f>SUMIF($D$7:$BG$7,"3",$D94:$BG94)</f>
        <v>10.5</v>
      </c>
      <c r="BP94" s="142">
        <f>SUMIFS($D$9:$BG$9,$D$7:$BG$7,"3",$D94:$BG94,"&gt;"&amp;-1)</f>
        <v>20</v>
      </c>
      <c r="BQ94" s="143">
        <f t="shared" si="2"/>
        <v>52.5</v>
      </c>
      <c r="BR94" s="144">
        <f>SUMIF($D$7:$BG$7,"4",$D94:$BG94)</f>
        <v>6.5</v>
      </c>
      <c r="BS94" s="142">
        <f>SUMIFS($D$9:$BG$9,$D$7:$BG$7,"4",$D94:$BG94,"&gt;"&amp;-1)</f>
        <v>15</v>
      </c>
      <c r="BT94" s="143">
        <f t="shared" si="3"/>
        <v>43.339999999999996</v>
      </c>
      <c r="BU94" s="144">
        <f>SUMIF($D$7:$BG$7,"5",$D94:$BG94)</f>
        <v>4.5</v>
      </c>
      <c r="BV94" s="142">
        <f>SUMIFS($D$9:$BG$9,$D$7:$BG$7,"5",$D94:$BG94,"&gt;"&amp;-1)</f>
        <v>10</v>
      </c>
      <c r="BW94" s="143">
        <f t="shared" si="4"/>
        <v>45</v>
      </c>
      <c r="BX94" s="144">
        <f>SUMIF($D$7:$BG$7,"6",$D94:$BG94)</f>
        <v>0</v>
      </c>
      <c r="BY94" s="142">
        <f>SUMIFS($D$9:$BG$9,$D$7:$BG$7,"6",$D94:$BG94,"&gt;"&amp;-1)</f>
        <v>0</v>
      </c>
      <c r="BZ94" s="143">
        <f t="shared" si="5"/>
        <v>0</v>
      </c>
    </row>
    <row r="95" ht="15.75" customHeight="1" spans="1:78" x14ac:dyDescent="0.25">
      <c r="A95" s="152">
        <v>83</v>
      </c>
      <c r="B95" s="152" t="s">
        <v>217</v>
      </c>
      <c r="C95" s="119" t="s">
        <v>218</v>
      </c>
      <c r="D95" s="134"/>
      <c r="E95" s="135"/>
      <c r="F95" s="136"/>
      <c r="G95" s="136"/>
      <c r="H95" s="137"/>
      <c r="I95" s="137"/>
      <c r="J95" s="138"/>
      <c r="K95" s="139"/>
      <c r="L95" s="136"/>
      <c r="M95" s="136"/>
      <c r="N95" s="137"/>
      <c r="O95" s="137"/>
      <c r="P95" s="138"/>
      <c r="Q95" s="138"/>
      <c r="R95" s="137"/>
      <c r="S95" s="137"/>
      <c r="T95" s="140"/>
      <c r="U95" s="134"/>
      <c r="V95" s="135"/>
      <c r="W95" s="136"/>
      <c r="X95" s="136"/>
      <c r="Y95" s="137"/>
      <c r="Z95" s="137"/>
      <c r="AA95" s="138"/>
      <c r="AB95" s="139"/>
      <c r="AC95" s="136"/>
      <c r="AD95" s="136"/>
      <c r="AE95" s="137"/>
      <c r="AF95" s="137"/>
      <c r="AG95" s="138"/>
      <c r="AH95" s="138"/>
      <c r="AI95" s="137"/>
      <c r="AJ95" s="137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127"/>
      <c r="BB95" s="127"/>
      <c r="BC95" s="127"/>
      <c r="BD95" s="127"/>
      <c r="BE95" s="127"/>
      <c r="BF95" s="128"/>
      <c r="BG95" s="129"/>
      <c r="BH95" s="46"/>
      <c r="BI95" s="141">
        <f>SUMIF($D$7:$BG$7,"1",$D95:$BG95)</f>
        <v>5</v>
      </c>
      <c r="BJ95" s="142">
        <f>SUMIFS($D$9:$BG$9,$D$7:$BG$7,"1",$D95:$BG95,"&gt;"&amp;-1)</f>
        <v>10</v>
      </c>
      <c r="BK95" s="143">
        <f t="shared" si="0"/>
        <v>50</v>
      </c>
      <c r="BL95" s="144">
        <f>SUMIF($D$7:$BG$7,"2",$D95:$BG95)</f>
        <v>7</v>
      </c>
      <c r="BM95" s="142">
        <f>SUMIFS($D$9:$BG$9,$D$7:$BG$7,"2",$D95:$BG95,"&gt;"&amp;-1)</f>
        <v>13</v>
      </c>
      <c r="BN95" s="143">
        <f t="shared" si="1"/>
        <v>53.85</v>
      </c>
      <c r="BO95" s="144">
        <f>SUMIF($D$7:$BG$7,"3",$D95:$BG95)</f>
        <v>11</v>
      </c>
      <c r="BP95" s="142">
        <f>SUMIFS($D$9:$BG$9,$D$7:$BG$7,"3",$D95:$BG95,"&gt;"&amp;-1)</f>
        <v>20</v>
      </c>
      <c r="BQ95" s="143">
        <f t="shared" si="2"/>
        <v>55</v>
      </c>
      <c r="BR95" s="144">
        <f>SUMIF($D$7:$BG$7,"4",$D95:$BG95)</f>
        <v>5</v>
      </c>
      <c r="BS95" s="142">
        <f>SUMIFS($D$9:$BG$9,$D$7:$BG$7,"4",$D95:$BG95,"&gt;"&amp;-1)</f>
        <v>10</v>
      </c>
      <c r="BT95" s="143">
        <f t="shared" si="3"/>
        <v>50</v>
      </c>
      <c r="BU95" s="144">
        <f>SUMIF($D$7:$BG$7,"5",$D95:$BG95)</f>
        <v>5</v>
      </c>
      <c r="BV95" s="142">
        <f>SUMIFS($D$9:$BG$9,$D$7:$BG$7,"5",$D95:$BG95,"&gt;"&amp;-1)</f>
        <v>10</v>
      </c>
      <c r="BW95" s="143">
        <f t="shared" si="4"/>
        <v>50</v>
      </c>
      <c r="BX95" s="144">
        <f>SUMIF($D$7:$BG$7,"6",$D95:$BG95)</f>
        <v>0</v>
      </c>
      <c r="BY95" s="142">
        <f>SUMIFS($D$9:$BG$9,$D$7:$BG$7,"6",$D95:$BG95,"&gt;"&amp;-1)</f>
        <v>0</v>
      </c>
      <c r="BZ95" s="143">
        <f t="shared" si="5"/>
        <v>0</v>
      </c>
    </row>
    <row r="96" ht="15.75" customHeight="1" spans="1:78" x14ac:dyDescent="0.25">
      <c r="A96" s="152">
        <v>84</v>
      </c>
      <c r="B96" s="152" t="s">
        <v>219</v>
      </c>
      <c r="C96" s="119" t="s">
        <v>220</v>
      </c>
      <c r="D96" s="134"/>
      <c r="E96" s="135"/>
      <c r="F96" s="136"/>
      <c r="G96" s="136"/>
      <c r="H96" s="137"/>
      <c r="I96" s="137"/>
      <c r="J96" s="138"/>
      <c r="K96" s="139"/>
      <c r="L96" s="136"/>
      <c r="M96" s="136"/>
      <c r="N96" s="137"/>
      <c r="O96" s="137"/>
      <c r="P96" s="138"/>
      <c r="Q96" s="138"/>
      <c r="R96" s="137"/>
      <c r="S96" s="137"/>
      <c r="T96" s="140"/>
      <c r="U96" s="134"/>
      <c r="V96" s="135"/>
      <c r="W96" s="136"/>
      <c r="X96" s="136"/>
      <c r="Y96" s="137"/>
      <c r="Z96" s="137"/>
      <c r="AA96" s="138"/>
      <c r="AB96" s="139"/>
      <c r="AC96" s="136"/>
      <c r="AD96" s="136"/>
      <c r="AE96" s="137"/>
      <c r="AF96" s="137"/>
      <c r="AG96" s="138"/>
      <c r="AH96" s="138"/>
      <c r="AI96" s="137"/>
      <c r="AJ96" s="137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127"/>
      <c r="BB96" s="127"/>
      <c r="BC96" s="127"/>
      <c r="BD96" s="127"/>
      <c r="BE96" s="127"/>
      <c r="BF96" s="128"/>
      <c r="BG96" s="129"/>
      <c r="BH96" s="46"/>
      <c r="BI96" s="141">
        <f>SUMIF($D$7:$BG$7,"1",$D96:$BG96)</f>
        <v>10</v>
      </c>
      <c r="BJ96" s="142">
        <f>SUMIFS($D$9:$BG$9,$D$7:$BG$7,"1",$D96:$BG96,"&gt;"&amp;-1)</f>
        <v>10</v>
      </c>
      <c r="BK96" s="143">
        <f t="shared" si="0"/>
        <v>100</v>
      </c>
      <c r="BL96" s="144">
        <f>SUMIF($D$7:$BG$7,"2",$D96:$BG96)</f>
        <v>20</v>
      </c>
      <c r="BM96" s="142">
        <f>SUMIFS($D$9:$BG$9,$D$7:$BG$7,"2",$D96:$BG96,"&gt;"&amp;-1)</f>
        <v>20</v>
      </c>
      <c r="BN96" s="143">
        <f t="shared" si="1"/>
        <v>100</v>
      </c>
      <c r="BO96" s="144">
        <f>SUMIF($D$7:$BG$7,"3",$D96:$BG96)</f>
        <v>23</v>
      </c>
      <c r="BP96" s="142">
        <f>SUMIFS($D$9:$BG$9,$D$7:$BG$7,"3",$D96:$BG96,"&gt;"&amp;-1)</f>
        <v>30</v>
      </c>
      <c r="BQ96" s="143">
        <f t="shared" si="2"/>
        <v>76.67</v>
      </c>
      <c r="BR96" s="144">
        <f>SUMIF($D$7:$BG$7,"4",$D96:$BG96)</f>
        <v>15</v>
      </c>
      <c r="BS96" s="142">
        <f>SUMIFS($D$9:$BG$9,$D$7:$BG$7,"4",$D96:$BG96,"&gt;"&amp;-1)</f>
        <v>15</v>
      </c>
      <c r="BT96" s="143">
        <f t="shared" si="3"/>
        <v>100</v>
      </c>
      <c r="BU96" s="144">
        <f>SUMIF($D$7:$BG$7,"5",$D96:$BG96)</f>
        <v>10</v>
      </c>
      <c r="BV96" s="142">
        <f>SUMIFS($D$9:$BG$9,$D$7:$BG$7,"5",$D96:$BG96,"&gt;"&amp;-1)</f>
        <v>10</v>
      </c>
      <c r="BW96" s="143">
        <f t="shared" si="4"/>
        <v>100</v>
      </c>
      <c r="BX96" s="144">
        <f>SUMIF($D$7:$BG$7,"6",$D96:$BG96)</f>
        <v>0</v>
      </c>
      <c r="BY96" s="142">
        <f>SUMIFS($D$9:$BG$9,$D$7:$BG$7,"6",$D96:$BG96,"&gt;"&amp;-1)</f>
        <v>0</v>
      </c>
      <c r="BZ96" s="143">
        <f t="shared" si="5"/>
        <v>0</v>
      </c>
    </row>
    <row r="97" ht="15.75" customHeight="1" spans="1:78" x14ac:dyDescent="0.25">
      <c r="A97" s="152">
        <v>85</v>
      </c>
      <c r="B97" s="152" t="s">
        <v>221</v>
      </c>
      <c r="C97" s="119" t="s">
        <v>222</v>
      </c>
      <c r="D97" s="134"/>
      <c r="E97" s="135"/>
      <c r="F97" s="136"/>
      <c r="G97" s="136"/>
      <c r="H97" s="137"/>
      <c r="I97" s="137"/>
      <c r="J97" s="138"/>
      <c r="K97" s="139"/>
      <c r="L97" s="136"/>
      <c r="M97" s="136"/>
      <c r="N97" s="137"/>
      <c r="O97" s="137"/>
      <c r="P97" s="138"/>
      <c r="Q97" s="138"/>
      <c r="R97" s="137"/>
      <c r="S97" s="137"/>
      <c r="T97" s="140"/>
      <c r="U97" s="134"/>
      <c r="V97" s="135"/>
      <c r="W97" s="136"/>
      <c r="X97" s="136"/>
      <c r="Y97" s="137"/>
      <c r="Z97" s="137"/>
      <c r="AA97" s="138"/>
      <c r="AB97" s="139"/>
      <c r="AC97" s="136"/>
      <c r="AD97" s="136"/>
      <c r="AE97" s="137"/>
      <c r="AF97" s="137"/>
      <c r="AG97" s="138"/>
      <c r="AH97" s="138"/>
      <c r="AI97" s="137"/>
      <c r="AJ97" s="137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127"/>
      <c r="BB97" s="127"/>
      <c r="BC97" s="127"/>
      <c r="BD97" s="127"/>
      <c r="BE97" s="127"/>
      <c r="BF97" s="128"/>
      <c r="BG97" s="129"/>
      <c r="BH97" s="46"/>
      <c r="BI97" s="141">
        <f>SUMIF($D$7:$BG$7,"1",$D97:$BG97)</f>
        <v>10</v>
      </c>
      <c r="BJ97" s="142">
        <f>SUMIFS($D$9:$BG$9,$D$7:$BG$7,"1",$D97:$BG97,"&gt;"&amp;-1)</f>
        <v>10</v>
      </c>
      <c r="BK97" s="143">
        <f t="shared" si="0"/>
        <v>100</v>
      </c>
      <c r="BL97" s="144">
        <f>SUMIF($D$7:$BG$7,"2",$D97:$BG97)</f>
        <v>24</v>
      </c>
      <c r="BM97" s="142">
        <f>SUMIFS($D$9:$BG$9,$D$7:$BG$7,"2",$D97:$BG97,"&gt;"&amp;-1)</f>
        <v>27</v>
      </c>
      <c r="BN97" s="143">
        <f t="shared" si="1"/>
        <v>88.89</v>
      </c>
      <c r="BO97" s="144">
        <f>SUMIF($D$7:$BG$7,"3",$D97:$BG97)</f>
        <v>23</v>
      </c>
      <c r="BP97" s="142">
        <f>SUMIFS($D$9:$BG$9,$D$7:$BG$7,"3",$D97:$BG97,"&gt;"&amp;-1)</f>
        <v>35</v>
      </c>
      <c r="BQ97" s="143">
        <f t="shared" si="2"/>
        <v>65.72</v>
      </c>
      <c r="BR97" s="144">
        <f>SUMIF($D$7:$BG$7,"4",$D97:$BG97)</f>
        <v>15</v>
      </c>
      <c r="BS97" s="142">
        <f>SUMIFS($D$9:$BG$9,$D$7:$BG$7,"4",$D97:$BG97,"&gt;"&amp;-1)</f>
        <v>15</v>
      </c>
      <c r="BT97" s="143">
        <f t="shared" si="3"/>
        <v>100</v>
      </c>
      <c r="BU97" s="144">
        <f>SUMIF($D$7:$BG$7,"5",$D97:$BG97)</f>
        <v>12</v>
      </c>
      <c r="BV97" s="142">
        <f>SUMIFS($D$9:$BG$9,$D$7:$BG$7,"5",$D97:$BG97,"&gt;"&amp;-1)</f>
        <v>15</v>
      </c>
      <c r="BW97" s="143">
        <f t="shared" si="4"/>
        <v>80</v>
      </c>
      <c r="BX97" s="144">
        <f>SUMIF($D$7:$BG$7,"6",$D97:$BG97)</f>
        <v>0</v>
      </c>
      <c r="BY97" s="142">
        <f>SUMIFS($D$9:$BG$9,$D$7:$BG$7,"6",$D97:$BG97,"&gt;"&amp;-1)</f>
        <v>0</v>
      </c>
      <c r="BZ97" s="143">
        <f t="shared" si="5"/>
        <v>0</v>
      </c>
    </row>
    <row r="98" ht="15.75" customHeight="1" spans="1:78" x14ac:dyDescent="0.25">
      <c r="A98" s="152">
        <v>86</v>
      </c>
      <c r="B98" s="152" t="s">
        <v>223</v>
      </c>
      <c r="C98" s="119" t="s">
        <v>224</v>
      </c>
      <c r="D98" s="134"/>
      <c r="E98" s="135"/>
      <c r="F98" s="136"/>
      <c r="G98" s="136"/>
      <c r="H98" s="137"/>
      <c r="I98" s="137"/>
      <c r="J98" s="138"/>
      <c r="K98" s="139"/>
      <c r="L98" s="136"/>
      <c r="M98" s="136"/>
      <c r="N98" s="137"/>
      <c r="O98" s="137"/>
      <c r="P98" s="138"/>
      <c r="Q98" s="138"/>
      <c r="R98" s="137"/>
      <c r="S98" s="137"/>
      <c r="T98" s="140"/>
      <c r="U98" s="134"/>
      <c r="V98" s="135"/>
      <c r="W98" s="136"/>
      <c r="X98" s="136"/>
      <c r="Y98" s="137"/>
      <c r="Z98" s="137"/>
      <c r="AA98" s="138"/>
      <c r="AB98" s="139"/>
      <c r="AC98" s="136"/>
      <c r="AD98" s="136"/>
      <c r="AE98" s="137"/>
      <c r="AF98" s="137"/>
      <c r="AG98" s="138"/>
      <c r="AH98" s="138"/>
      <c r="AI98" s="137"/>
      <c r="AJ98" s="137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127"/>
      <c r="BB98" s="127"/>
      <c r="BC98" s="127"/>
      <c r="BD98" s="127"/>
      <c r="BE98" s="127"/>
      <c r="BF98" s="128"/>
      <c r="BG98" s="129"/>
      <c r="BH98" s="46"/>
      <c r="BI98" s="141">
        <f>SUMIF($D$7:$BG$7,"1",$D98:$BG98)</f>
        <v>10</v>
      </c>
      <c r="BJ98" s="142">
        <f>SUMIFS($D$9:$BG$9,$D$7:$BG$7,"1",$D98:$BG98,"&gt;"&amp;-1)</f>
        <v>10</v>
      </c>
      <c r="BK98" s="143">
        <f t="shared" si="0"/>
        <v>100</v>
      </c>
      <c r="BL98" s="144">
        <f>SUMIF($D$7:$BG$7,"2",$D98:$BG98)</f>
        <v>26</v>
      </c>
      <c r="BM98" s="142">
        <f>SUMIFS($D$9:$BG$9,$D$7:$BG$7,"2",$D98:$BG98,"&gt;"&amp;-1)</f>
        <v>30</v>
      </c>
      <c r="BN98" s="143">
        <f t="shared" si="1"/>
        <v>86.67</v>
      </c>
      <c r="BO98" s="144">
        <f>SUMIF($D$7:$BG$7,"3",$D98:$BG98)</f>
        <v>20</v>
      </c>
      <c r="BP98" s="142">
        <f>SUMIFS($D$9:$BG$9,$D$7:$BG$7,"3",$D98:$BG98,"&gt;"&amp;-1)</f>
        <v>20</v>
      </c>
      <c r="BQ98" s="143">
        <f t="shared" si="2"/>
        <v>100</v>
      </c>
      <c r="BR98" s="144">
        <f>SUMIF($D$7:$BG$7,"4",$D98:$BG98)</f>
        <v>15</v>
      </c>
      <c r="BS98" s="142">
        <f>SUMIFS($D$9:$BG$9,$D$7:$BG$7,"4",$D98:$BG98,"&gt;"&amp;-1)</f>
        <v>15</v>
      </c>
      <c r="BT98" s="143">
        <f t="shared" si="3"/>
        <v>100</v>
      </c>
      <c r="BU98" s="144">
        <f>SUMIF($D$7:$BG$7,"5",$D98:$BG98)</f>
        <v>15</v>
      </c>
      <c r="BV98" s="142">
        <f>SUMIFS($D$9:$BG$9,$D$7:$BG$7,"5",$D98:$BG98,"&gt;"&amp;-1)</f>
        <v>20</v>
      </c>
      <c r="BW98" s="143">
        <f t="shared" si="4"/>
        <v>75</v>
      </c>
      <c r="BX98" s="144">
        <f>SUMIF($D$7:$BG$7,"6",$D98:$BG98)</f>
        <v>0</v>
      </c>
      <c r="BY98" s="142">
        <f>SUMIFS($D$9:$BG$9,$D$7:$BG$7,"6",$D98:$BG98,"&gt;"&amp;-1)</f>
        <v>0</v>
      </c>
      <c r="BZ98" s="143">
        <f t="shared" si="5"/>
        <v>0</v>
      </c>
    </row>
    <row r="99" ht="15.75" customHeight="1" spans="1:78" x14ac:dyDescent="0.25">
      <c r="A99" s="152">
        <v>87</v>
      </c>
      <c r="B99" s="152" t="s">
        <v>225</v>
      </c>
      <c r="C99" s="119" t="s">
        <v>226</v>
      </c>
      <c r="D99" s="134"/>
      <c r="E99" s="135"/>
      <c r="F99" s="136"/>
      <c r="G99" s="136"/>
      <c r="H99" s="137"/>
      <c r="I99" s="137"/>
      <c r="J99" s="138"/>
      <c r="K99" s="139"/>
      <c r="L99" s="136"/>
      <c r="M99" s="136"/>
      <c r="N99" s="137"/>
      <c r="O99" s="137"/>
      <c r="P99" s="138"/>
      <c r="Q99" s="138"/>
      <c r="R99" s="137"/>
      <c r="S99" s="137"/>
      <c r="T99" s="140"/>
      <c r="U99" s="134"/>
      <c r="V99" s="135"/>
      <c r="W99" s="136"/>
      <c r="X99" s="136"/>
      <c r="Y99" s="137"/>
      <c r="Z99" s="137"/>
      <c r="AA99" s="138"/>
      <c r="AB99" s="139"/>
      <c r="AC99" s="136"/>
      <c r="AD99" s="136"/>
      <c r="AE99" s="137"/>
      <c r="AF99" s="137"/>
      <c r="AG99" s="138"/>
      <c r="AH99" s="138"/>
      <c r="AI99" s="137"/>
      <c r="AJ99" s="137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127"/>
      <c r="BB99" s="127"/>
      <c r="BC99" s="127"/>
      <c r="BD99" s="127"/>
      <c r="BE99" s="127"/>
      <c r="BF99" s="128"/>
      <c r="BG99" s="129"/>
      <c r="BH99" s="46"/>
      <c r="BI99" s="141">
        <f>SUMIF($D$7:$BG$7,"1",$D99:$BG99)</f>
        <v>9</v>
      </c>
      <c r="BJ99" s="142">
        <f>SUMIFS($D$9:$BG$9,$D$7:$BG$7,"1",$D99:$BG99,"&gt;"&amp;-1)</f>
        <v>10</v>
      </c>
      <c r="BK99" s="143">
        <f t="shared" si="0"/>
        <v>90</v>
      </c>
      <c r="BL99" s="144">
        <f>SUMIF($D$7:$BG$7,"2",$D99:$BG99)</f>
        <v>22</v>
      </c>
      <c r="BM99" s="142">
        <f>SUMIFS($D$9:$BG$9,$D$7:$BG$7,"2",$D99:$BG99,"&gt;"&amp;-1)</f>
        <v>28</v>
      </c>
      <c r="BN99" s="143">
        <f t="shared" si="1"/>
        <v>78.58</v>
      </c>
      <c r="BO99" s="144">
        <f>SUMIF($D$7:$BG$7,"3",$D99:$BG99)</f>
        <v>24</v>
      </c>
      <c r="BP99" s="142">
        <f>SUMIFS($D$9:$BG$9,$D$7:$BG$7,"3",$D99:$BG99,"&gt;"&amp;-1)</f>
        <v>30</v>
      </c>
      <c r="BQ99" s="143">
        <f t="shared" si="2"/>
        <v>80</v>
      </c>
      <c r="BR99" s="144">
        <f>SUMIF($D$7:$BG$7,"4",$D99:$BG99)</f>
        <v>14</v>
      </c>
      <c r="BS99" s="142">
        <f>SUMIFS($D$9:$BG$9,$D$7:$BG$7,"4",$D99:$BG99,"&gt;"&amp;-1)</f>
        <v>15</v>
      </c>
      <c r="BT99" s="143">
        <f t="shared" si="3"/>
        <v>93.34</v>
      </c>
      <c r="BU99" s="144">
        <f>SUMIF($D$7:$BG$7,"5",$D99:$BG99)</f>
        <v>11</v>
      </c>
      <c r="BV99" s="142">
        <f>SUMIFS($D$9:$BG$9,$D$7:$BG$7,"5",$D99:$BG99,"&gt;"&amp;-1)</f>
        <v>15</v>
      </c>
      <c r="BW99" s="143">
        <f t="shared" si="4"/>
        <v>73.34</v>
      </c>
      <c r="BX99" s="144">
        <f>SUMIF($D$7:$BG$7,"6",$D99:$BG99)</f>
        <v>0</v>
      </c>
      <c r="BY99" s="142">
        <f>SUMIFS($D$9:$BG$9,$D$7:$BG$7,"6",$D99:$BG99,"&gt;"&amp;-1)</f>
        <v>0</v>
      </c>
      <c r="BZ99" s="143">
        <f t="shared" si="5"/>
        <v>0</v>
      </c>
    </row>
    <row r="100" ht="15.75" customHeight="1" spans="1:78" x14ac:dyDescent="0.25">
      <c r="A100" s="152">
        <v>88</v>
      </c>
      <c r="B100" s="152" t="s">
        <v>227</v>
      </c>
      <c r="C100" s="119" t="s">
        <v>228</v>
      </c>
      <c r="D100" s="134"/>
      <c r="E100" s="135"/>
      <c r="F100" s="136"/>
      <c r="G100" s="136"/>
      <c r="H100" s="137"/>
      <c r="I100" s="137"/>
      <c r="J100" s="138"/>
      <c r="K100" s="139"/>
      <c r="L100" s="136"/>
      <c r="M100" s="136"/>
      <c r="N100" s="137"/>
      <c r="O100" s="137"/>
      <c r="P100" s="138"/>
      <c r="Q100" s="138"/>
      <c r="R100" s="137"/>
      <c r="S100" s="137"/>
      <c r="T100" s="140"/>
      <c r="U100" s="134"/>
      <c r="V100" s="135"/>
      <c r="W100" s="136"/>
      <c r="X100" s="136"/>
      <c r="Y100" s="137"/>
      <c r="Z100" s="137"/>
      <c r="AA100" s="138"/>
      <c r="AB100" s="139"/>
      <c r="AC100" s="136"/>
      <c r="AD100" s="136"/>
      <c r="AE100" s="137"/>
      <c r="AF100" s="137"/>
      <c r="AG100" s="138"/>
      <c r="AH100" s="138"/>
      <c r="AI100" s="137"/>
      <c r="AJ100" s="137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127"/>
      <c r="BB100" s="127"/>
      <c r="BC100" s="127"/>
      <c r="BD100" s="127"/>
      <c r="BE100" s="127"/>
      <c r="BF100" s="128"/>
      <c r="BG100" s="129"/>
      <c r="BH100" s="46"/>
      <c r="BI100" s="141">
        <f>SUMIF($D$7:$BG$7,"1",$D100:$BG100)</f>
        <v>9</v>
      </c>
      <c r="BJ100" s="142">
        <f>SUMIFS($D$9:$BG$9,$D$7:$BG$7,"1",$D100:$BG100,"&gt;"&amp;-1)</f>
        <v>10</v>
      </c>
      <c r="BK100" s="143">
        <f t="shared" si="0"/>
        <v>90</v>
      </c>
      <c r="BL100" s="144">
        <f>SUMIF($D$7:$BG$7,"2",$D100:$BG100)</f>
        <v>14</v>
      </c>
      <c r="BM100" s="142">
        <f>SUMIFS($D$9:$BG$9,$D$7:$BG$7,"2",$D100:$BG100,"&gt;"&amp;-1)</f>
        <v>15</v>
      </c>
      <c r="BN100" s="143">
        <f t="shared" si="1"/>
        <v>93.34</v>
      </c>
      <c r="BO100" s="144">
        <f>SUMIF($D$7:$BG$7,"3",$D100:$BG100)</f>
        <v>24</v>
      </c>
      <c r="BP100" s="142">
        <f>SUMIFS($D$9:$BG$9,$D$7:$BG$7,"3",$D100:$BG100,"&gt;"&amp;-1)</f>
        <v>25</v>
      </c>
      <c r="BQ100" s="143">
        <f t="shared" si="2"/>
        <v>96</v>
      </c>
      <c r="BR100" s="144">
        <f>SUMIF($D$7:$BG$7,"4",$D100:$BG100)</f>
        <v>14</v>
      </c>
      <c r="BS100" s="142">
        <f>SUMIFS($D$9:$BG$9,$D$7:$BG$7,"4",$D100:$BG100,"&gt;"&amp;-1)</f>
        <v>15</v>
      </c>
      <c r="BT100" s="143">
        <f t="shared" si="3"/>
        <v>93.34</v>
      </c>
      <c r="BU100" s="144">
        <f>SUMIF($D$7:$BG$7,"5",$D100:$BG100)</f>
        <v>9</v>
      </c>
      <c r="BV100" s="142">
        <f>SUMIFS($D$9:$BG$9,$D$7:$BG$7,"5",$D100:$BG100,"&gt;"&amp;-1)</f>
        <v>10</v>
      </c>
      <c r="BW100" s="143">
        <f t="shared" si="4"/>
        <v>90</v>
      </c>
      <c r="BX100" s="144">
        <f>SUMIF($D$7:$BG$7,"6",$D100:$BG100)</f>
        <v>0</v>
      </c>
      <c r="BY100" s="142">
        <f>SUMIFS($D$9:$BG$9,$D$7:$BG$7,"6",$D100:$BG100,"&gt;"&amp;-1)</f>
        <v>0</v>
      </c>
      <c r="BZ100" s="143">
        <f t="shared" si="5"/>
        <v>0</v>
      </c>
    </row>
    <row r="101" ht="15.75" customHeight="1" spans="1:78" x14ac:dyDescent="0.25">
      <c r="A101" s="152">
        <v>89</v>
      </c>
      <c r="B101" s="152" t="s">
        <v>229</v>
      </c>
      <c r="C101" s="119" t="s">
        <v>230</v>
      </c>
      <c r="D101" s="134"/>
      <c r="E101" s="135"/>
      <c r="F101" s="136"/>
      <c r="G101" s="136"/>
      <c r="H101" s="137"/>
      <c r="I101" s="137"/>
      <c r="J101" s="138"/>
      <c r="K101" s="139"/>
      <c r="L101" s="136"/>
      <c r="M101" s="136"/>
      <c r="N101" s="137"/>
      <c r="O101" s="137"/>
      <c r="P101" s="138"/>
      <c r="Q101" s="138"/>
      <c r="R101" s="137"/>
      <c r="S101" s="137"/>
      <c r="T101" s="140"/>
      <c r="U101" s="134"/>
      <c r="V101" s="135"/>
      <c r="W101" s="136"/>
      <c r="X101" s="136"/>
      <c r="Y101" s="137"/>
      <c r="Z101" s="137"/>
      <c r="AA101" s="138"/>
      <c r="AB101" s="139"/>
      <c r="AC101" s="136"/>
      <c r="AD101" s="136"/>
      <c r="AE101" s="137"/>
      <c r="AF101" s="137"/>
      <c r="AG101" s="138"/>
      <c r="AH101" s="138"/>
      <c r="AI101" s="137"/>
      <c r="AJ101" s="137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127"/>
      <c r="BB101" s="127"/>
      <c r="BC101" s="127"/>
      <c r="BD101" s="127"/>
      <c r="BE101" s="127"/>
      <c r="BF101" s="128"/>
      <c r="BG101" s="129"/>
      <c r="BH101" s="46"/>
      <c r="BI101" s="141">
        <f>SUMIF($D$7:$BG$7,"1",$D101:$BG101)</f>
        <v>10</v>
      </c>
      <c r="BJ101" s="142">
        <f>SUMIFS($D$9:$BG$9,$D$7:$BG$7,"1",$D101:$BG101,"&gt;"&amp;-1)</f>
        <v>10</v>
      </c>
      <c r="BK101" s="143">
        <f t="shared" si="0"/>
        <v>100</v>
      </c>
      <c r="BL101" s="144">
        <f>SUMIF($D$7:$BG$7,"2",$D101:$BG101)</f>
        <v>30</v>
      </c>
      <c r="BM101" s="142">
        <f>SUMIFS($D$9:$BG$9,$D$7:$BG$7,"2",$D101:$BG101,"&gt;"&amp;-1)</f>
        <v>30</v>
      </c>
      <c r="BN101" s="143">
        <f t="shared" si="1"/>
        <v>100</v>
      </c>
      <c r="BO101" s="144">
        <f>SUMIF($D$7:$BG$7,"3",$D101:$BG101)</f>
        <v>34</v>
      </c>
      <c r="BP101" s="142">
        <f>SUMIFS($D$9:$BG$9,$D$7:$BG$7,"3",$D101:$BG101,"&gt;"&amp;-1)</f>
        <v>35</v>
      </c>
      <c r="BQ101" s="143">
        <f t="shared" si="2"/>
        <v>97.15</v>
      </c>
      <c r="BR101" s="144">
        <f>SUMIF($D$7:$BG$7,"4",$D101:$BG101)</f>
        <v>15</v>
      </c>
      <c r="BS101" s="142">
        <f>SUMIFS($D$9:$BG$9,$D$7:$BG$7,"4",$D101:$BG101,"&gt;"&amp;-1)</f>
        <v>15</v>
      </c>
      <c r="BT101" s="143">
        <f t="shared" si="3"/>
        <v>100</v>
      </c>
      <c r="BU101" s="144">
        <f>SUMIF($D$7:$BG$7,"5",$D101:$BG101)</f>
        <v>15</v>
      </c>
      <c r="BV101" s="142">
        <f>SUMIFS($D$9:$BG$9,$D$7:$BG$7,"5",$D101:$BG101,"&gt;"&amp;-1)</f>
        <v>20</v>
      </c>
      <c r="BW101" s="143">
        <f t="shared" si="4"/>
        <v>75</v>
      </c>
      <c r="BX101" s="144">
        <f>SUMIF($D$7:$BG$7,"6",$D101:$BG101)</f>
        <v>0</v>
      </c>
      <c r="BY101" s="142">
        <f>SUMIFS($D$9:$BG$9,$D$7:$BG$7,"6",$D101:$BG101,"&gt;"&amp;-1)</f>
        <v>0</v>
      </c>
      <c r="BZ101" s="143">
        <f t="shared" si="5"/>
        <v>0</v>
      </c>
    </row>
    <row r="102" ht="15.75" customHeight="1" spans="1:78" x14ac:dyDescent="0.25">
      <c r="A102" s="152">
        <v>90</v>
      </c>
      <c r="B102" s="152" t="s">
        <v>231</v>
      </c>
      <c r="C102" s="119" t="s">
        <v>232</v>
      </c>
      <c r="D102" s="134"/>
      <c r="E102" s="135"/>
      <c r="F102" s="136"/>
      <c r="G102" s="136"/>
      <c r="H102" s="137"/>
      <c r="I102" s="137"/>
      <c r="J102" s="138"/>
      <c r="K102" s="139"/>
      <c r="L102" s="136"/>
      <c r="M102" s="136"/>
      <c r="N102" s="137"/>
      <c r="O102" s="137"/>
      <c r="P102" s="138"/>
      <c r="Q102" s="138"/>
      <c r="R102" s="137"/>
      <c r="S102" s="137"/>
      <c r="T102" s="140"/>
      <c r="U102" s="134"/>
      <c r="V102" s="135"/>
      <c r="W102" s="136"/>
      <c r="X102" s="136"/>
      <c r="Y102" s="137"/>
      <c r="Z102" s="137"/>
      <c r="AA102" s="138"/>
      <c r="AB102" s="139"/>
      <c r="AC102" s="136"/>
      <c r="AD102" s="136"/>
      <c r="AE102" s="137"/>
      <c r="AF102" s="137"/>
      <c r="AG102" s="138"/>
      <c r="AH102" s="138"/>
      <c r="AI102" s="137"/>
      <c r="AJ102" s="137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127"/>
      <c r="BB102" s="127"/>
      <c r="BC102" s="127"/>
      <c r="BD102" s="127"/>
      <c r="BE102" s="127"/>
      <c r="BF102" s="128"/>
      <c r="BG102" s="129"/>
      <c r="BH102" s="46"/>
      <c r="BI102" s="141">
        <f>SUMIF($D$7:$BG$7,"1",$D102:$BG102)</f>
        <v>9</v>
      </c>
      <c r="BJ102" s="142">
        <f>SUMIFS($D$9:$BG$9,$D$7:$BG$7,"1",$D102:$BG102,"&gt;"&amp;-1)</f>
        <v>10</v>
      </c>
      <c r="BK102" s="143">
        <f t="shared" si="0"/>
        <v>90</v>
      </c>
      <c r="BL102" s="144">
        <f>SUMIF($D$7:$BG$7,"2",$D102:$BG102)</f>
        <v>21</v>
      </c>
      <c r="BM102" s="142">
        <f>SUMIFS($D$9:$BG$9,$D$7:$BG$7,"2",$D102:$BG102,"&gt;"&amp;-1)</f>
        <v>23</v>
      </c>
      <c r="BN102" s="143">
        <f t="shared" si="1"/>
        <v>91.31</v>
      </c>
      <c r="BO102" s="144">
        <f>SUMIF($D$7:$BG$7,"3",$D102:$BG102)</f>
        <v>25</v>
      </c>
      <c r="BP102" s="142">
        <f>SUMIFS($D$9:$BG$9,$D$7:$BG$7,"3",$D102:$BG102,"&gt;"&amp;-1)</f>
        <v>30</v>
      </c>
      <c r="BQ102" s="143">
        <f t="shared" si="2"/>
        <v>83.34</v>
      </c>
      <c r="BR102" s="144">
        <f>SUMIF($D$7:$BG$7,"4",$D102:$BG102)</f>
        <v>14</v>
      </c>
      <c r="BS102" s="142">
        <f>SUMIFS($D$9:$BG$9,$D$7:$BG$7,"4",$D102:$BG102,"&gt;"&amp;-1)</f>
        <v>15</v>
      </c>
      <c r="BT102" s="143">
        <f t="shared" si="3"/>
        <v>93.34</v>
      </c>
      <c r="BU102" s="144">
        <f>SUMIF($D$7:$BG$7,"5",$D102:$BG102)</f>
        <v>11</v>
      </c>
      <c r="BV102" s="142">
        <f>SUMIFS($D$9:$BG$9,$D$7:$BG$7,"5",$D102:$BG102,"&gt;"&amp;-1)</f>
        <v>15</v>
      </c>
      <c r="BW102" s="143">
        <f t="shared" si="4"/>
        <v>73.34</v>
      </c>
      <c r="BX102" s="144">
        <f>SUMIF($D$7:$BG$7,"6",$D102:$BG102)</f>
        <v>0</v>
      </c>
      <c r="BY102" s="142">
        <f>SUMIFS($D$9:$BG$9,$D$7:$BG$7,"6",$D102:$BG102,"&gt;"&amp;-1)</f>
        <v>0</v>
      </c>
      <c r="BZ102" s="143">
        <f t="shared" si="5"/>
        <v>0</v>
      </c>
    </row>
    <row r="103" ht="15.75" customHeight="1" spans="1:78" x14ac:dyDescent="0.25">
      <c r="A103" s="152">
        <v>91</v>
      </c>
      <c r="B103" s="152" t="s">
        <v>233</v>
      </c>
      <c r="C103" s="119" t="s">
        <v>234</v>
      </c>
      <c r="D103" s="134"/>
      <c r="E103" s="135"/>
      <c r="F103" s="136"/>
      <c r="G103" s="136"/>
      <c r="H103" s="137"/>
      <c r="I103" s="137"/>
      <c r="J103" s="138"/>
      <c r="K103" s="139"/>
      <c r="L103" s="136"/>
      <c r="M103" s="136"/>
      <c r="N103" s="137"/>
      <c r="O103" s="137"/>
      <c r="P103" s="138"/>
      <c r="Q103" s="138"/>
      <c r="R103" s="137"/>
      <c r="S103" s="137"/>
      <c r="T103" s="140"/>
      <c r="U103" s="134"/>
      <c r="V103" s="135"/>
      <c r="W103" s="136"/>
      <c r="X103" s="136"/>
      <c r="Y103" s="137"/>
      <c r="Z103" s="137"/>
      <c r="AA103" s="138"/>
      <c r="AB103" s="139"/>
      <c r="AC103" s="136"/>
      <c r="AD103" s="136"/>
      <c r="AE103" s="137"/>
      <c r="AF103" s="137"/>
      <c r="AG103" s="138"/>
      <c r="AH103" s="138"/>
      <c r="AI103" s="137"/>
      <c r="AJ103" s="137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127"/>
      <c r="BB103" s="127"/>
      <c r="BC103" s="127"/>
      <c r="BD103" s="127"/>
      <c r="BE103" s="127"/>
      <c r="BF103" s="128"/>
      <c r="BG103" s="129"/>
      <c r="BH103" s="46"/>
      <c r="BI103" s="141">
        <f>SUMIF($D$7:$BG$7,"1",$D103:$BG103)</f>
        <v>7.5</v>
      </c>
      <c r="BJ103" s="142">
        <f>SUMIFS($D$9:$BG$9,$D$7:$BG$7,"1",$D103:$BG103,"&gt;"&amp;-1)</f>
        <v>10</v>
      </c>
      <c r="BK103" s="143">
        <f t="shared" si="0"/>
        <v>75</v>
      </c>
      <c r="BL103" s="144">
        <f>SUMIF($D$7:$BG$7,"2",$D103:$BG103)</f>
        <v>8.5</v>
      </c>
      <c r="BM103" s="142">
        <f>SUMIFS($D$9:$BG$9,$D$7:$BG$7,"2",$D103:$BG103,"&gt;"&amp;-1)</f>
        <v>12</v>
      </c>
      <c r="BN103" s="143">
        <f t="shared" si="1"/>
        <v>70.84</v>
      </c>
      <c r="BO103" s="144">
        <f>SUMIF($D$7:$BG$7,"3",$D103:$BG103)</f>
        <v>14.5</v>
      </c>
      <c r="BP103" s="142">
        <f>SUMIFS($D$9:$BG$9,$D$7:$BG$7,"3",$D103:$BG103,"&gt;"&amp;-1)</f>
        <v>20</v>
      </c>
      <c r="BQ103" s="143">
        <f t="shared" si="2"/>
        <v>72.5</v>
      </c>
      <c r="BR103" s="144">
        <f>SUMIF($D$7:$BG$7,"4",$D103:$BG103)</f>
        <v>11.5</v>
      </c>
      <c r="BS103" s="142">
        <f>SUMIFS($D$9:$BG$9,$D$7:$BG$7,"4",$D103:$BG103,"&gt;"&amp;-1)</f>
        <v>15</v>
      </c>
      <c r="BT103" s="143">
        <f t="shared" si="3"/>
        <v>76.67</v>
      </c>
      <c r="BU103" s="144">
        <f>SUMIF($D$7:$BG$7,"5",$D103:$BG103)</f>
        <v>7.5</v>
      </c>
      <c r="BV103" s="142">
        <f>SUMIFS($D$9:$BG$9,$D$7:$BG$7,"5",$D103:$BG103,"&gt;"&amp;-1)</f>
        <v>10</v>
      </c>
      <c r="BW103" s="143">
        <f t="shared" si="4"/>
        <v>75</v>
      </c>
      <c r="BX103" s="144">
        <f>SUMIF($D$7:$BG$7,"6",$D103:$BG103)</f>
        <v>0</v>
      </c>
      <c r="BY103" s="142">
        <f>SUMIFS($D$9:$BG$9,$D$7:$BG$7,"6",$D103:$BG103,"&gt;"&amp;-1)</f>
        <v>0</v>
      </c>
      <c r="BZ103" s="143">
        <f t="shared" si="5"/>
        <v>0</v>
      </c>
    </row>
    <row r="104" ht="15.75" customHeight="1" spans="1:78" x14ac:dyDescent="0.25">
      <c r="A104" s="152">
        <v>92</v>
      </c>
      <c r="B104" s="152" t="s">
        <v>235</v>
      </c>
      <c r="C104" s="119" t="s">
        <v>236</v>
      </c>
      <c r="D104" s="134"/>
      <c r="E104" s="135"/>
      <c r="F104" s="136"/>
      <c r="G104" s="136"/>
      <c r="H104" s="137"/>
      <c r="I104" s="137"/>
      <c r="J104" s="138"/>
      <c r="K104" s="139"/>
      <c r="L104" s="136"/>
      <c r="M104" s="136"/>
      <c r="N104" s="137"/>
      <c r="O104" s="137"/>
      <c r="P104" s="138"/>
      <c r="Q104" s="138"/>
      <c r="R104" s="137"/>
      <c r="S104" s="137"/>
      <c r="T104" s="140"/>
      <c r="U104" s="134"/>
      <c r="V104" s="135"/>
      <c r="W104" s="136"/>
      <c r="X104" s="136"/>
      <c r="Y104" s="137"/>
      <c r="Z104" s="137"/>
      <c r="AA104" s="138"/>
      <c r="AB104" s="139"/>
      <c r="AC104" s="136"/>
      <c r="AD104" s="136"/>
      <c r="AE104" s="137"/>
      <c r="AF104" s="137"/>
      <c r="AG104" s="138"/>
      <c r="AH104" s="138"/>
      <c r="AI104" s="137"/>
      <c r="AJ104" s="137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127"/>
      <c r="BB104" s="127"/>
      <c r="BC104" s="127"/>
      <c r="BD104" s="127"/>
      <c r="BE104" s="127"/>
      <c r="BF104" s="128"/>
      <c r="BG104" s="129"/>
      <c r="BH104" s="46"/>
      <c r="BI104" s="141">
        <f>SUMIF($D$7:$BG$7,"1",$D104:$BG104)</f>
        <v>9</v>
      </c>
      <c r="BJ104" s="142">
        <f>SUMIFS($D$9:$BG$9,$D$7:$BG$7,"1",$D104:$BG104,"&gt;"&amp;-1)</f>
        <v>15</v>
      </c>
      <c r="BK104" s="143">
        <f t="shared" si="0"/>
        <v>60</v>
      </c>
      <c r="BL104" s="144">
        <f>SUMIF($D$7:$BG$7,"2",$D104:$BG104)</f>
        <v>10</v>
      </c>
      <c r="BM104" s="142">
        <f>SUMIFS($D$9:$BG$9,$D$7:$BG$7,"2",$D104:$BG104,"&gt;"&amp;-1)</f>
        <v>15</v>
      </c>
      <c r="BN104" s="143">
        <f t="shared" si="1"/>
        <v>66.67</v>
      </c>
      <c r="BO104" s="144">
        <f>SUMIF($D$7:$BG$7,"3",$D104:$BG104)</f>
        <v>20</v>
      </c>
      <c r="BP104" s="142">
        <f>SUMIFS($D$9:$BG$9,$D$7:$BG$7,"3",$D104:$BG104,"&gt;"&amp;-1)</f>
        <v>25</v>
      </c>
      <c r="BQ104" s="143">
        <f t="shared" si="2"/>
        <v>80</v>
      </c>
      <c r="BR104" s="144">
        <f>SUMIF($D$7:$BG$7,"4",$D104:$BG104)</f>
        <v>9</v>
      </c>
      <c r="BS104" s="142">
        <f>SUMIFS($D$9:$BG$9,$D$7:$BG$7,"4",$D104:$BG104,"&gt;"&amp;-1)</f>
        <v>15</v>
      </c>
      <c r="BT104" s="143">
        <f t="shared" si="3"/>
        <v>60</v>
      </c>
      <c r="BU104" s="144">
        <f>SUMIF($D$7:$BG$7,"5",$D104:$BG104)</f>
        <v>5</v>
      </c>
      <c r="BV104" s="142">
        <f>SUMIFS($D$9:$BG$9,$D$7:$BG$7,"5",$D104:$BG104,"&gt;"&amp;-1)</f>
        <v>10</v>
      </c>
      <c r="BW104" s="143">
        <f t="shared" si="4"/>
        <v>50</v>
      </c>
      <c r="BX104" s="144">
        <f>SUMIF($D$7:$BG$7,"6",$D104:$BG104)</f>
        <v>0</v>
      </c>
      <c r="BY104" s="142">
        <f>SUMIFS($D$9:$BG$9,$D$7:$BG$7,"6",$D104:$BG104,"&gt;"&amp;-1)</f>
        <v>0</v>
      </c>
      <c r="BZ104" s="143">
        <f t="shared" si="5"/>
        <v>0</v>
      </c>
    </row>
    <row r="105" ht="15.75" customHeight="1" spans="1:78" x14ac:dyDescent="0.25">
      <c r="A105" s="152">
        <v>93</v>
      </c>
      <c r="B105" s="152" t="s">
        <v>237</v>
      </c>
      <c r="C105" s="119" t="s">
        <v>238</v>
      </c>
      <c r="D105" s="134"/>
      <c r="E105" s="135"/>
      <c r="F105" s="136"/>
      <c r="G105" s="136"/>
      <c r="H105" s="137"/>
      <c r="I105" s="137"/>
      <c r="J105" s="138"/>
      <c r="K105" s="139"/>
      <c r="L105" s="136"/>
      <c r="M105" s="136"/>
      <c r="N105" s="137"/>
      <c r="O105" s="137"/>
      <c r="P105" s="138"/>
      <c r="Q105" s="138"/>
      <c r="R105" s="137"/>
      <c r="S105" s="137"/>
      <c r="T105" s="140"/>
      <c r="U105" s="134"/>
      <c r="V105" s="135"/>
      <c r="W105" s="136"/>
      <c r="X105" s="136"/>
      <c r="Y105" s="137"/>
      <c r="Z105" s="137"/>
      <c r="AA105" s="138"/>
      <c r="AB105" s="139"/>
      <c r="AC105" s="136"/>
      <c r="AD105" s="136"/>
      <c r="AE105" s="137"/>
      <c r="AF105" s="137"/>
      <c r="AG105" s="138"/>
      <c r="AH105" s="138"/>
      <c r="AI105" s="137"/>
      <c r="AJ105" s="137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127"/>
      <c r="BB105" s="127"/>
      <c r="BC105" s="127"/>
      <c r="BD105" s="127"/>
      <c r="BE105" s="127"/>
      <c r="BF105" s="128"/>
      <c r="BG105" s="129"/>
      <c r="BH105" s="46"/>
      <c r="BI105" s="141">
        <f>SUMIF($D$7:$BG$7,"1",$D105:$BG105)</f>
        <v>6.5</v>
      </c>
      <c r="BJ105" s="142">
        <f>SUMIFS($D$9:$BG$9,$D$7:$BG$7,"1",$D105:$BG105,"&gt;"&amp;-1)</f>
        <v>15</v>
      </c>
      <c r="BK105" s="143">
        <f t="shared" si="0"/>
        <v>43.339999999999996</v>
      </c>
      <c r="BL105" s="144">
        <f>SUMIF($D$7:$BG$7,"2",$D105:$BG105)</f>
        <v>4.5</v>
      </c>
      <c r="BM105" s="142">
        <f>SUMIFS($D$9:$BG$9,$D$7:$BG$7,"2",$D105:$BG105,"&gt;"&amp;-1)</f>
        <v>17</v>
      </c>
      <c r="BN105" s="143">
        <f t="shared" si="1"/>
        <v>26.48</v>
      </c>
      <c r="BO105" s="144">
        <f>SUMIF($D$7:$BG$7,"3",$D105:$BG105)</f>
        <v>2.5</v>
      </c>
      <c r="BP105" s="142">
        <f>SUMIFS($D$9:$BG$9,$D$7:$BG$7,"3",$D105:$BG105,"&gt;"&amp;-1)</f>
        <v>10</v>
      </c>
      <c r="BQ105" s="143">
        <f t="shared" si="2"/>
        <v>25</v>
      </c>
      <c r="BR105" s="144">
        <f>SUMIF($D$7:$BG$7,"4",$D105:$BG105)</f>
        <v>2.5</v>
      </c>
      <c r="BS105" s="142">
        <f>SUMIFS($D$9:$BG$9,$D$7:$BG$7,"4",$D105:$BG105,"&gt;"&amp;-1)</f>
        <v>10</v>
      </c>
      <c r="BT105" s="143">
        <f t="shared" si="3"/>
        <v>25</v>
      </c>
      <c r="BU105" s="144">
        <f>SUMIF($D$7:$BG$7,"5",$D105:$BG105)</f>
        <v>3.5</v>
      </c>
      <c r="BV105" s="142">
        <f>SUMIFS($D$9:$BG$9,$D$7:$BG$7,"5",$D105:$BG105,"&gt;"&amp;-1)</f>
        <v>15</v>
      </c>
      <c r="BW105" s="143">
        <f t="shared" si="4"/>
        <v>23.34</v>
      </c>
      <c r="BX105" s="144">
        <f>SUMIF($D$7:$BG$7,"6",$D105:$BG105)</f>
        <v>0</v>
      </c>
      <c r="BY105" s="142">
        <f>SUMIFS($D$9:$BG$9,$D$7:$BG$7,"6",$D105:$BG105,"&gt;"&amp;-1)</f>
        <v>0</v>
      </c>
      <c r="BZ105" s="143">
        <f t="shared" si="5"/>
        <v>0</v>
      </c>
    </row>
    <row r="106" ht="15.75" customHeight="1" spans="1:78" x14ac:dyDescent="0.25">
      <c r="A106" s="152">
        <v>94</v>
      </c>
      <c r="B106" s="152" t="s">
        <v>239</v>
      </c>
      <c r="C106" s="119" t="s">
        <v>240</v>
      </c>
      <c r="D106" s="134"/>
      <c r="E106" s="135"/>
      <c r="F106" s="136"/>
      <c r="G106" s="136"/>
      <c r="H106" s="137"/>
      <c r="I106" s="137"/>
      <c r="J106" s="138"/>
      <c r="K106" s="139"/>
      <c r="L106" s="136"/>
      <c r="M106" s="136"/>
      <c r="N106" s="137"/>
      <c r="O106" s="137"/>
      <c r="P106" s="138"/>
      <c r="Q106" s="138"/>
      <c r="R106" s="137"/>
      <c r="S106" s="137"/>
      <c r="T106" s="140"/>
      <c r="U106" s="134"/>
      <c r="V106" s="135"/>
      <c r="W106" s="136"/>
      <c r="X106" s="136"/>
      <c r="Y106" s="137"/>
      <c r="Z106" s="137"/>
      <c r="AA106" s="138"/>
      <c r="AB106" s="139"/>
      <c r="AC106" s="136"/>
      <c r="AD106" s="136"/>
      <c r="AE106" s="137"/>
      <c r="AF106" s="137"/>
      <c r="AG106" s="138"/>
      <c r="AH106" s="138"/>
      <c r="AI106" s="137"/>
      <c r="AJ106" s="137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127"/>
      <c r="BB106" s="127"/>
      <c r="BC106" s="127"/>
      <c r="BD106" s="127"/>
      <c r="BE106" s="127"/>
      <c r="BF106" s="128"/>
      <c r="BG106" s="129"/>
      <c r="BH106" s="46"/>
      <c r="BI106" s="141">
        <f>SUMIF($D$7:$BG$7,"1",$D106:$BG106)</f>
        <v>7.5</v>
      </c>
      <c r="BJ106" s="142">
        <f>SUMIFS($D$9:$BG$9,$D$7:$BG$7,"1",$D106:$BG106,"&gt;"&amp;-1)</f>
        <v>10</v>
      </c>
      <c r="BK106" s="143">
        <f t="shared" si="0"/>
        <v>75</v>
      </c>
      <c r="BL106" s="144">
        <f>SUMIF($D$7:$BG$7,"2",$D106:$BG106)</f>
        <v>7.5</v>
      </c>
      <c r="BM106" s="142">
        <f>SUMIFS($D$9:$BG$9,$D$7:$BG$7,"2",$D106:$BG106,"&gt;"&amp;-1)</f>
        <v>10</v>
      </c>
      <c r="BN106" s="143">
        <f t="shared" si="1"/>
        <v>75</v>
      </c>
      <c r="BO106" s="144">
        <f>SUMIF($D$7:$BG$7,"3",$D106:$BG106)</f>
        <v>9.5</v>
      </c>
      <c r="BP106" s="142">
        <f>SUMIFS($D$9:$BG$9,$D$7:$BG$7,"3",$D106:$BG106,"&gt;"&amp;-1)</f>
        <v>15</v>
      </c>
      <c r="BQ106" s="143">
        <f t="shared" si="2"/>
        <v>63.339999999999996</v>
      </c>
      <c r="BR106" s="144">
        <f>SUMIF($D$7:$BG$7,"4",$D106:$BG106)</f>
        <v>8.5</v>
      </c>
      <c r="BS106" s="142">
        <f>SUMIFS($D$9:$BG$9,$D$7:$BG$7,"4",$D106:$BG106,"&gt;"&amp;-1)</f>
        <v>15</v>
      </c>
      <c r="BT106" s="143">
        <f t="shared" si="3"/>
        <v>56.669999999999995</v>
      </c>
      <c r="BU106" s="144">
        <f>SUMIF($D$7:$BG$7,"5",$D106:$BG106)</f>
        <v>7.5</v>
      </c>
      <c r="BV106" s="142">
        <f>SUMIFS($D$9:$BG$9,$D$7:$BG$7,"5",$D106:$BG106,"&gt;"&amp;-1)</f>
        <v>10</v>
      </c>
      <c r="BW106" s="143">
        <f t="shared" si="4"/>
        <v>75</v>
      </c>
      <c r="BX106" s="144">
        <f>SUMIF($D$7:$BG$7,"6",$D106:$BG106)</f>
        <v>0</v>
      </c>
      <c r="BY106" s="142">
        <f>SUMIFS($D$9:$BG$9,$D$7:$BG$7,"6",$D106:$BG106,"&gt;"&amp;-1)</f>
        <v>0</v>
      </c>
      <c r="BZ106" s="143">
        <f t="shared" si="5"/>
        <v>0</v>
      </c>
    </row>
    <row r="107" ht="15.75" customHeight="1" spans="1:78" x14ac:dyDescent="0.25">
      <c r="A107" s="152">
        <v>95</v>
      </c>
      <c r="B107" s="152" t="s">
        <v>241</v>
      </c>
      <c r="C107" s="119" t="s">
        <v>242</v>
      </c>
      <c r="D107" s="134"/>
      <c r="E107" s="135"/>
      <c r="F107" s="136"/>
      <c r="G107" s="136"/>
      <c r="H107" s="137"/>
      <c r="I107" s="137"/>
      <c r="J107" s="138"/>
      <c r="K107" s="139"/>
      <c r="L107" s="136"/>
      <c r="M107" s="136"/>
      <c r="N107" s="137"/>
      <c r="O107" s="137"/>
      <c r="P107" s="138"/>
      <c r="Q107" s="138"/>
      <c r="R107" s="137"/>
      <c r="S107" s="137"/>
      <c r="T107" s="140"/>
      <c r="U107" s="134"/>
      <c r="V107" s="135"/>
      <c r="W107" s="136"/>
      <c r="X107" s="136"/>
      <c r="Y107" s="137"/>
      <c r="Z107" s="137"/>
      <c r="AA107" s="138"/>
      <c r="AB107" s="139"/>
      <c r="AC107" s="136"/>
      <c r="AD107" s="136"/>
      <c r="AE107" s="137"/>
      <c r="AF107" s="137"/>
      <c r="AG107" s="138"/>
      <c r="AH107" s="138"/>
      <c r="AI107" s="137"/>
      <c r="AJ107" s="137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127"/>
      <c r="BB107" s="127"/>
      <c r="BC107" s="127"/>
      <c r="BD107" s="127"/>
      <c r="BE107" s="127"/>
      <c r="BF107" s="128"/>
      <c r="BG107" s="129"/>
      <c r="BH107" s="46"/>
      <c r="BI107" s="141">
        <f>SUMIF($D$7:$BG$7,"1",$D107:$BG107)</f>
        <v>15</v>
      </c>
      <c r="BJ107" s="142">
        <f>SUMIFS($D$9:$BG$9,$D$7:$BG$7,"1",$D107:$BG107,"&gt;"&amp;-1)</f>
        <v>15</v>
      </c>
      <c r="BK107" s="143">
        <f t="shared" si="0"/>
        <v>100</v>
      </c>
      <c r="BL107" s="144">
        <f>SUMIF($D$7:$BG$7,"2",$D107:$BG107)</f>
        <v>25</v>
      </c>
      <c r="BM107" s="142">
        <f>SUMIFS($D$9:$BG$9,$D$7:$BG$7,"2",$D107:$BG107,"&gt;"&amp;-1)</f>
        <v>25</v>
      </c>
      <c r="BN107" s="143">
        <f t="shared" si="1"/>
        <v>100</v>
      </c>
      <c r="BO107" s="144">
        <f>SUMIF($D$7:$BG$7,"3",$D107:$BG107)</f>
        <v>29</v>
      </c>
      <c r="BP107" s="142">
        <f>SUMIFS($D$9:$BG$9,$D$7:$BG$7,"3",$D107:$BG107,"&gt;"&amp;-1)</f>
        <v>30</v>
      </c>
      <c r="BQ107" s="143">
        <f t="shared" si="2"/>
        <v>96.67</v>
      </c>
      <c r="BR107" s="144">
        <f>SUMIF($D$7:$BG$7,"4",$D107:$BG107)</f>
        <v>15</v>
      </c>
      <c r="BS107" s="142">
        <f>SUMIFS($D$9:$BG$9,$D$7:$BG$7,"4",$D107:$BG107,"&gt;"&amp;-1)</f>
        <v>15</v>
      </c>
      <c r="BT107" s="143">
        <f t="shared" si="3"/>
        <v>100</v>
      </c>
      <c r="BU107" s="144">
        <f>SUMIF($D$7:$BG$7,"5",$D107:$BG107)</f>
        <v>15</v>
      </c>
      <c r="BV107" s="142">
        <f>SUMIFS($D$9:$BG$9,$D$7:$BG$7,"5",$D107:$BG107,"&gt;"&amp;-1)</f>
        <v>20</v>
      </c>
      <c r="BW107" s="143">
        <f t="shared" si="4"/>
        <v>75</v>
      </c>
      <c r="BX107" s="144">
        <f>SUMIF($D$7:$BG$7,"6",$D107:$BG107)</f>
        <v>0</v>
      </c>
      <c r="BY107" s="142">
        <f>SUMIFS($D$9:$BG$9,$D$7:$BG$7,"6",$D107:$BG107,"&gt;"&amp;-1)</f>
        <v>0</v>
      </c>
      <c r="BZ107" s="143">
        <f t="shared" si="5"/>
        <v>0</v>
      </c>
    </row>
    <row r="108" ht="15.75" customHeight="1" spans="1:78" x14ac:dyDescent="0.25">
      <c r="A108" s="152">
        <v>96</v>
      </c>
      <c r="B108" s="152" t="s">
        <v>243</v>
      </c>
      <c r="C108" s="119" t="s">
        <v>244</v>
      </c>
      <c r="D108" s="134"/>
      <c r="E108" s="135"/>
      <c r="F108" s="136"/>
      <c r="G108" s="136"/>
      <c r="H108" s="137"/>
      <c r="I108" s="137"/>
      <c r="J108" s="138"/>
      <c r="K108" s="139"/>
      <c r="L108" s="136"/>
      <c r="M108" s="136"/>
      <c r="N108" s="137"/>
      <c r="O108" s="137"/>
      <c r="P108" s="138"/>
      <c r="Q108" s="138"/>
      <c r="R108" s="137"/>
      <c r="S108" s="137"/>
      <c r="T108" s="140"/>
      <c r="U108" s="134"/>
      <c r="V108" s="135"/>
      <c r="W108" s="136"/>
      <c r="X108" s="136"/>
      <c r="Y108" s="137"/>
      <c r="Z108" s="137"/>
      <c r="AA108" s="138"/>
      <c r="AB108" s="139"/>
      <c r="AC108" s="136"/>
      <c r="AD108" s="136"/>
      <c r="AE108" s="137"/>
      <c r="AF108" s="137"/>
      <c r="AG108" s="138"/>
      <c r="AH108" s="138"/>
      <c r="AI108" s="137"/>
      <c r="AJ108" s="137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127"/>
      <c r="BB108" s="127"/>
      <c r="BC108" s="127"/>
      <c r="BD108" s="127"/>
      <c r="BE108" s="127"/>
      <c r="BF108" s="128"/>
      <c r="BG108" s="129"/>
      <c r="BH108" s="46"/>
      <c r="BI108" s="141">
        <f>SUMIF($D$7:$BG$7,"1",$D108:$BG108)</f>
        <v>6.5</v>
      </c>
      <c r="BJ108" s="142">
        <f>SUMIFS($D$9:$BG$9,$D$7:$BG$7,"1",$D108:$BG108,"&gt;"&amp;-1)</f>
        <v>10</v>
      </c>
      <c r="BK108" s="143">
        <f t="shared" si="0"/>
        <v>65</v>
      </c>
      <c r="BL108" s="144">
        <f>SUMIF($D$7:$BG$7,"2",$D108:$BG108)</f>
        <v>8.5</v>
      </c>
      <c r="BM108" s="142">
        <f>SUMIFS($D$9:$BG$9,$D$7:$BG$7,"2",$D108:$BG108,"&gt;"&amp;-1)</f>
        <v>12</v>
      </c>
      <c r="BN108" s="143">
        <f t="shared" si="1"/>
        <v>70.84</v>
      </c>
      <c r="BO108" s="144">
        <f>SUMIF($D$7:$BG$7,"3",$D108:$BG108)</f>
        <v>8.5</v>
      </c>
      <c r="BP108" s="142">
        <f>SUMIFS($D$9:$BG$9,$D$7:$BG$7,"3",$D108:$BG108,"&gt;"&amp;-1)</f>
        <v>15</v>
      </c>
      <c r="BQ108" s="143">
        <f t="shared" si="2"/>
        <v>56.669999999999995</v>
      </c>
      <c r="BR108" s="144">
        <f>SUMIF($D$7:$BG$7,"4",$D108:$BG108)</f>
        <v>6.5</v>
      </c>
      <c r="BS108" s="142">
        <f>SUMIFS($D$9:$BG$9,$D$7:$BG$7,"4",$D108:$BG108,"&gt;"&amp;-1)</f>
        <v>10</v>
      </c>
      <c r="BT108" s="143">
        <f t="shared" si="3"/>
        <v>65</v>
      </c>
      <c r="BU108" s="144">
        <f>SUMIF($D$7:$BG$7,"5",$D108:$BG108)</f>
        <v>6.5</v>
      </c>
      <c r="BV108" s="142">
        <f>SUMIFS($D$9:$BG$9,$D$7:$BG$7,"5",$D108:$BG108,"&gt;"&amp;-1)</f>
        <v>10</v>
      </c>
      <c r="BW108" s="143">
        <f t="shared" si="4"/>
        <v>65</v>
      </c>
      <c r="BX108" s="144">
        <f>SUMIF($D$7:$BG$7,"6",$D108:$BG108)</f>
        <v>0</v>
      </c>
      <c r="BY108" s="142">
        <f>SUMIFS($D$9:$BG$9,$D$7:$BG$7,"6",$D108:$BG108,"&gt;"&amp;-1)</f>
        <v>0</v>
      </c>
      <c r="BZ108" s="143">
        <f t="shared" si="5"/>
        <v>0</v>
      </c>
    </row>
    <row r="109" ht="15.75" customHeight="1" spans="1:78" x14ac:dyDescent="0.25">
      <c r="A109" s="152">
        <v>97</v>
      </c>
      <c r="B109" s="152" t="s">
        <v>245</v>
      </c>
      <c r="C109" s="119" t="s">
        <v>246</v>
      </c>
      <c r="D109" s="134"/>
      <c r="E109" s="135"/>
      <c r="F109" s="136"/>
      <c r="G109" s="136"/>
      <c r="H109" s="137"/>
      <c r="I109" s="137"/>
      <c r="J109" s="138"/>
      <c r="K109" s="139"/>
      <c r="L109" s="136"/>
      <c r="M109" s="136"/>
      <c r="N109" s="137"/>
      <c r="O109" s="137"/>
      <c r="P109" s="138"/>
      <c r="Q109" s="138"/>
      <c r="R109" s="137"/>
      <c r="S109" s="137"/>
      <c r="T109" s="140"/>
      <c r="U109" s="134"/>
      <c r="V109" s="135"/>
      <c r="W109" s="136"/>
      <c r="X109" s="136"/>
      <c r="Y109" s="137"/>
      <c r="Z109" s="137"/>
      <c r="AA109" s="138"/>
      <c r="AB109" s="139"/>
      <c r="AC109" s="136"/>
      <c r="AD109" s="136"/>
      <c r="AE109" s="137"/>
      <c r="AF109" s="137"/>
      <c r="AG109" s="138"/>
      <c r="AH109" s="138"/>
      <c r="AI109" s="137"/>
      <c r="AJ109" s="137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127"/>
      <c r="BB109" s="127"/>
      <c r="BC109" s="127"/>
      <c r="BD109" s="127"/>
      <c r="BE109" s="127"/>
      <c r="BF109" s="128"/>
      <c r="BG109" s="129"/>
      <c r="BH109" s="46"/>
      <c r="BI109" s="141">
        <f>SUMIF($D$7:$BG$7,"1",$D109:$BG109)</f>
        <v>7</v>
      </c>
      <c r="BJ109" s="142">
        <f>SUMIFS($D$9:$BG$9,$D$7:$BG$7,"1",$D109:$BG109,"&gt;"&amp;-1)</f>
        <v>12.5</v>
      </c>
      <c r="BK109" s="143">
        <f t="shared" si="0"/>
        <v>56</v>
      </c>
      <c r="BL109" s="144">
        <f>SUMIF($D$7:$BG$7,"2",$D109:$BG109)</f>
        <v>14.5</v>
      </c>
      <c r="BM109" s="142">
        <f>SUMIFS($D$9:$BG$9,$D$7:$BG$7,"2",$D109:$BG109,"&gt;"&amp;-1)</f>
        <v>23</v>
      </c>
      <c r="BN109" s="143">
        <f t="shared" si="1"/>
        <v>63.05</v>
      </c>
      <c r="BO109" s="144">
        <f>SUMIF($D$7:$BG$7,"3",$D109:$BG109)</f>
        <v>8.5</v>
      </c>
      <c r="BP109" s="142">
        <f>SUMIFS($D$9:$BG$9,$D$7:$BG$7,"3",$D109:$BG109,"&gt;"&amp;-1)</f>
        <v>15</v>
      </c>
      <c r="BQ109" s="143">
        <f t="shared" si="2"/>
        <v>56.669999999999995</v>
      </c>
      <c r="BR109" s="144">
        <f>SUMIF($D$7:$BG$7,"4",$D109:$BG109)</f>
        <v>4.5</v>
      </c>
      <c r="BS109" s="142">
        <f>SUMIFS($D$9:$BG$9,$D$7:$BG$7,"4",$D109:$BG109,"&gt;"&amp;-1)</f>
        <v>10</v>
      </c>
      <c r="BT109" s="143">
        <f t="shared" si="3"/>
        <v>45</v>
      </c>
      <c r="BU109" s="144">
        <f>SUMIF($D$7:$BG$7,"5",$D109:$BG109)</f>
        <v>6.5</v>
      </c>
      <c r="BV109" s="142">
        <f>SUMIFS($D$9:$BG$9,$D$7:$BG$7,"5",$D109:$BG109,"&gt;"&amp;-1)</f>
        <v>15</v>
      </c>
      <c r="BW109" s="143">
        <f t="shared" si="4"/>
        <v>43.339999999999996</v>
      </c>
      <c r="BX109" s="144">
        <f>SUMIF($D$7:$BG$7,"6",$D109:$BG109)</f>
        <v>0</v>
      </c>
      <c r="BY109" s="142">
        <f>SUMIFS($D$9:$BG$9,$D$7:$BG$7,"6",$D109:$BG109,"&gt;"&amp;-1)</f>
        <v>0</v>
      </c>
      <c r="BZ109" s="143">
        <f t="shared" si="5"/>
        <v>0</v>
      </c>
    </row>
    <row r="110" ht="15.75" customHeight="1" spans="1:78" x14ac:dyDescent="0.25">
      <c r="A110" s="152">
        <v>98</v>
      </c>
      <c r="B110" s="152" t="s">
        <v>247</v>
      </c>
      <c r="C110" s="119" t="s">
        <v>248</v>
      </c>
      <c r="D110" s="134"/>
      <c r="E110" s="135"/>
      <c r="F110" s="136"/>
      <c r="G110" s="136"/>
      <c r="H110" s="137"/>
      <c r="I110" s="137"/>
      <c r="J110" s="138"/>
      <c r="K110" s="139"/>
      <c r="L110" s="136"/>
      <c r="M110" s="136"/>
      <c r="N110" s="137"/>
      <c r="O110" s="137"/>
      <c r="P110" s="138"/>
      <c r="Q110" s="138"/>
      <c r="R110" s="137"/>
      <c r="S110" s="137"/>
      <c r="T110" s="140"/>
      <c r="U110" s="134"/>
      <c r="V110" s="135"/>
      <c r="W110" s="136"/>
      <c r="X110" s="136"/>
      <c r="Y110" s="137"/>
      <c r="Z110" s="137"/>
      <c r="AA110" s="138"/>
      <c r="AB110" s="139"/>
      <c r="AC110" s="136"/>
      <c r="AD110" s="136"/>
      <c r="AE110" s="137"/>
      <c r="AF110" s="137"/>
      <c r="AG110" s="138"/>
      <c r="AH110" s="138"/>
      <c r="AI110" s="137"/>
      <c r="AJ110" s="137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127"/>
      <c r="BB110" s="127"/>
      <c r="BC110" s="127"/>
      <c r="BD110" s="127"/>
      <c r="BE110" s="127"/>
      <c r="BF110" s="128"/>
      <c r="BG110" s="129"/>
      <c r="BH110" s="46"/>
      <c r="BI110" s="141">
        <f>SUMIF($D$7:$BG$7,"1",$D110:$BG110)</f>
        <v>0</v>
      </c>
      <c r="BJ110" s="142">
        <f>SUMIFS($D$9:$BG$9,$D$7:$BG$7,"1",$D110:$BG110,"&gt;"&amp;-1)</f>
        <v>10</v>
      </c>
      <c r="BK110" s="143">
        <f t="shared" si="0"/>
        <v>0</v>
      </c>
      <c r="BL110" s="144">
        <f>SUMIF($D$7:$BG$7,"2",$D110:$BG110)</f>
        <v>5</v>
      </c>
      <c r="BM110" s="142">
        <f>SUMIFS($D$9:$BG$9,$D$7:$BG$7,"2",$D110:$BG110,"&gt;"&amp;-1)</f>
        <v>15</v>
      </c>
      <c r="BN110" s="143">
        <f t="shared" si="1"/>
        <v>33.339999999999996</v>
      </c>
      <c r="BO110" s="144">
        <f>SUMIF($D$7:$BG$7,"3",$D110:$BG110)</f>
        <v>9</v>
      </c>
      <c r="BP110" s="142">
        <f>SUMIFS($D$9:$BG$9,$D$7:$BG$7,"3",$D110:$BG110,"&gt;"&amp;-1)</f>
        <v>25</v>
      </c>
      <c r="BQ110" s="143">
        <f t="shared" si="2"/>
        <v>36</v>
      </c>
      <c r="BR110" s="144">
        <f>SUMIF($D$7:$BG$7,"4",$D110:$BG110)</f>
        <v>0</v>
      </c>
      <c r="BS110" s="142">
        <f>SUMIFS($D$9:$BG$9,$D$7:$BG$7,"4",$D110:$BG110,"&gt;"&amp;-1)</f>
        <v>10</v>
      </c>
      <c r="BT110" s="143">
        <f t="shared" si="3"/>
        <v>0</v>
      </c>
      <c r="BU110" s="144">
        <f>SUMIF($D$7:$BG$7,"5",$D110:$BG110)</f>
        <v>0</v>
      </c>
      <c r="BV110" s="142">
        <f>SUMIFS($D$9:$BG$9,$D$7:$BG$7,"5",$D110:$BG110,"&gt;"&amp;-1)</f>
        <v>10</v>
      </c>
      <c r="BW110" s="143">
        <f t="shared" si="4"/>
        <v>0</v>
      </c>
      <c r="BX110" s="144">
        <f>SUMIF($D$7:$BG$7,"6",$D110:$BG110)</f>
        <v>0</v>
      </c>
      <c r="BY110" s="142">
        <f>SUMIFS($D$9:$BG$9,$D$7:$BG$7,"6",$D110:$BG110,"&gt;"&amp;-1)</f>
        <v>0</v>
      </c>
      <c r="BZ110" s="143">
        <f t="shared" si="5"/>
        <v>0</v>
      </c>
    </row>
    <row r="111" ht="15.75" customHeight="1" spans="1:78" x14ac:dyDescent="0.25">
      <c r="A111" s="152">
        <v>99</v>
      </c>
      <c r="B111" s="152" t="s">
        <v>249</v>
      </c>
      <c r="C111" s="119" t="s">
        <v>250</v>
      </c>
      <c r="D111" s="134"/>
      <c r="E111" s="135"/>
      <c r="F111" s="136"/>
      <c r="G111" s="136"/>
      <c r="H111" s="137"/>
      <c r="I111" s="137"/>
      <c r="J111" s="138"/>
      <c r="K111" s="139"/>
      <c r="L111" s="136"/>
      <c r="M111" s="136"/>
      <c r="N111" s="137"/>
      <c r="O111" s="137"/>
      <c r="P111" s="138"/>
      <c r="Q111" s="138"/>
      <c r="R111" s="137"/>
      <c r="S111" s="137"/>
      <c r="T111" s="140"/>
      <c r="U111" s="134"/>
      <c r="V111" s="135"/>
      <c r="W111" s="136"/>
      <c r="X111" s="136"/>
      <c r="Y111" s="137"/>
      <c r="Z111" s="137"/>
      <c r="AA111" s="138"/>
      <c r="AB111" s="139"/>
      <c r="AC111" s="136"/>
      <c r="AD111" s="136"/>
      <c r="AE111" s="137"/>
      <c r="AF111" s="137"/>
      <c r="AG111" s="138"/>
      <c r="AH111" s="138"/>
      <c r="AI111" s="137"/>
      <c r="AJ111" s="137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127"/>
      <c r="BB111" s="127"/>
      <c r="BC111" s="127"/>
      <c r="BD111" s="127"/>
      <c r="BE111" s="127"/>
      <c r="BF111" s="128"/>
      <c r="BG111" s="129"/>
      <c r="BH111" s="46"/>
      <c r="BI111" s="141">
        <f>SUMIF($D$7:$BG$7,"1",$D111:$BG111)</f>
        <v>5</v>
      </c>
      <c r="BJ111" s="142">
        <f>SUMIFS($D$9:$BG$9,$D$7:$BG$7,"1",$D111:$BG111,"&gt;"&amp;-1)</f>
        <v>10</v>
      </c>
      <c r="BK111" s="143">
        <f t="shared" si="0"/>
        <v>50</v>
      </c>
      <c r="BL111" s="144">
        <f>SUMIF($D$7:$BG$7,"2",$D111:$BG111)</f>
        <v>19</v>
      </c>
      <c r="BM111" s="142">
        <f>SUMIFS($D$9:$BG$9,$D$7:$BG$7,"2",$D111:$BG111,"&gt;"&amp;-1)</f>
        <v>25</v>
      </c>
      <c r="BN111" s="143">
        <f t="shared" si="1"/>
        <v>76</v>
      </c>
      <c r="BO111" s="144">
        <f>SUMIF($D$7:$BG$7,"3",$D111:$BG111)</f>
        <v>8</v>
      </c>
      <c r="BP111" s="142">
        <f>SUMIFS($D$9:$BG$9,$D$7:$BG$7,"3",$D111:$BG111,"&gt;"&amp;-1)</f>
        <v>20</v>
      </c>
      <c r="BQ111" s="143">
        <f t="shared" si="2"/>
        <v>40</v>
      </c>
      <c r="BR111" s="144">
        <f>SUMIF($D$7:$BG$7,"4",$D111:$BG111)</f>
        <v>7</v>
      </c>
      <c r="BS111" s="142">
        <f>SUMIFS($D$9:$BG$9,$D$7:$BG$7,"4",$D111:$BG111,"&gt;"&amp;-1)</f>
        <v>15</v>
      </c>
      <c r="BT111" s="143">
        <f t="shared" si="3"/>
        <v>46.669999999999995</v>
      </c>
      <c r="BU111" s="144">
        <f>SUMIF($D$7:$BG$7,"5",$D111:$BG111)</f>
        <v>9</v>
      </c>
      <c r="BV111" s="142">
        <f>SUMIFS($D$9:$BG$9,$D$7:$BG$7,"5",$D111:$BG111,"&gt;"&amp;-1)</f>
        <v>20</v>
      </c>
      <c r="BW111" s="143">
        <f t="shared" si="4"/>
        <v>45</v>
      </c>
      <c r="BX111" s="144">
        <f>SUMIF($D$7:$BG$7,"6",$D111:$BG111)</f>
        <v>0</v>
      </c>
      <c r="BY111" s="142">
        <f>SUMIFS($D$9:$BG$9,$D$7:$BG$7,"6",$D111:$BG111,"&gt;"&amp;-1)</f>
        <v>0</v>
      </c>
      <c r="BZ111" s="143">
        <f t="shared" si="5"/>
        <v>0</v>
      </c>
    </row>
    <row r="112" ht="15.75" customHeight="1" spans="1:78" x14ac:dyDescent="0.25">
      <c r="A112" s="152">
        <v>100</v>
      </c>
      <c r="B112" s="152" t="s">
        <v>251</v>
      </c>
      <c r="C112" s="119" t="s">
        <v>252</v>
      </c>
      <c r="D112" s="134"/>
      <c r="E112" s="135"/>
      <c r="F112" s="136"/>
      <c r="G112" s="136"/>
      <c r="H112" s="137"/>
      <c r="I112" s="137"/>
      <c r="J112" s="138"/>
      <c r="K112" s="139"/>
      <c r="L112" s="136"/>
      <c r="M112" s="136"/>
      <c r="N112" s="137"/>
      <c r="O112" s="137"/>
      <c r="P112" s="138"/>
      <c r="Q112" s="138"/>
      <c r="R112" s="137"/>
      <c r="S112" s="137"/>
      <c r="T112" s="140"/>
      <c r="U112" s="134"/>
      <c r="V112" s="135"/>
      <c r="W112" s="136"/>
      <c r="X112" s="136"/>
      <c r="Y112" s="137"/>
      <c r="Z112" s="137"/>
      <c r="AA112" s="138"/>
      <c r="AB112" s="139"/>
      <c r="AC112" s="136"/>
      <c r="AD112" s="136"/>
      <c r="AE112" s="137"/>
      <c r="AF112" s="137"/>
      <c r="AG112" s="138"/>
      <c r="AH112" s="138"/>
      <c r="AI112" s="137"/>
      <c r="AJ112" s="137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127"/>
      <c r="BB112" s="127"/>
      <c r="BC112" s="127"/>
      <c r="BD112" s="127"/>
      <c r="BE112" s="127"/>
      <c r="BF112" s="128"/>
      <c r="BG112" s="129"/>
      <c r="BH112" s="46"/>
      <c r="BI112" s="141">
        <f>SUMIF($D$7:$BG$7,"1",$D112:$BG112)</f>
        <v>5</v>
      </c>
      <c r="BJ112" s="142">
        <f>SUMIFS($D$9:$BG$9,$D$7:$BG$7,"1",$D112:$BG112,"&gt;"&amp;-1)</f>
        <v>10</v>
      </c>
      <c r="BK112" s="143">
        <f t="shared" si="0"/>
        <v>50</v>
      </c>
      <c r="BL112" s="144">
        <f>SUMIF($D$7:$BG$7,"2",$D112:$BG112)</f>
        <v>14</v>
      </c>
      <c r="BM112" s="142">
        <f>SUMIFS($D$9:$BG$9,$D$7:$BG$7,"2",$D112:$BG112,"&gt;"&amp;-1)</f>
        <v>22</v>
      </c>
      <c r="BN112" s="143">
        <f t="shared" si="1"/>
        <v>63.64</v>
      </c>
      <c r="BO112" s="144">
        <f>SUMIF($D$7:$BG$7,"3",$D112:$BG112)</f>
        <v>15</v>
      </c>
      <c r="BP112" s="142">
        <f>SUMIFS($D$9:$BG$9,$D$7:$BG$7,"3",$D112:$BG112,"&gt;"&amp;-1)</f>
        <v>25</v>
      </c>
      <c r="BQ112" s="143">
        <f t="shared" si="2"/>
        <v>60</v>
      </c>
      <c r="BR112" s="144">
        <f>SUMIF($D$7:$BG$7,"4",$D112:$BG112)</f>
        <v>7</v>
      </c>
      <c r="BS112" s="142">
        <f>SUMIFS($D$9:$BG$9,$D$7:$BG$7,"4",$D112:$BG112,"&gt;"&amp;-1)</f>
        <v>15</v>
      </c>
      <c r="BT112" s="143">
        <f t="shared" si="3"/>
        <v>46.669999999999995</v>
      </c>
      <c r="BU112" s="144">
        <f>SUMIF($D$7:$BG$7,"5",$D112:$BG112)</f>
        <v>6</v>
      </c>
      <c r="BV112" s="142">
        <f>SUMIFS($D$9:$BG$9,$D$7:$BG$7,"5",$D112:$BG112,"&gt;"&amp;-1)</f>
        <v>15</v>
      </c>
      <c r="BW112" s="143">
        <f t="shared" si="4"/>
        <v>40</v>
      </c>
      <c r="BX112" s="144">
        <f>SUMIF($D$7:$BG$7,"6",$D112:$BG112)</f>
        <v>0</v>
      </c>
      <c r="BY112" s="142">
        <f>SUMIFS($D$9:$BG$9,$D$7:$BG$7,"6",$D112:$BG112,"&gt;"&amp;-1)</f>
        <v>0</v>
      </c>
      <c r="BZ112" s="143">
        <f t="shared" si="5"/>
        <v>0</v>
      </c>
    </row>
    <row r="113" ht="15.75" customHeight="1" spans="1:78" x14ac:dyDescent="0.25">
      <c r="A113" s="152">
        <v>101</v>
      </c>
      <c r="B113" s="152" t="s">
        <v>253</v>
      </c>
      <c r="C113" s="119" t="s">
        <v>254</v>
      </c>
      <c r="D113" s="134"/>
      <c r="E113" s="135"/>
      <c r="F113" s="136"/>
      <c r="G113" s="136"/>
      <c r="H113" s="137"/>
      <c r="I113" s="137"/>
      <c r="J113" s="138"/>
      <c r="K113" s="139"/>
      <c r="L113" s="136"/>
      <c r="M113" s="136"/>
      <c r="N113" s="137"/>
      <c r="O113" s="137"/>
      <c r="P113" s="138"/>
      <c r="Q113" s="138"/>
      <c r="R113" s="137"/>
      <c r="S113" s="137"/>
      <c r="T113" s="140"/>
      <c r="U113" s="134"/>
      <c r="V113" s="135"/>
      <c r="W113" s="136"/>
      <c r="X113" s="136"/>
      <c r="Y113" s="137"/>
      <c r="Z113" s="137"/>
      <c r="AA113" s="138"/>
      <c r="AB113" s="139"/>
      <c r="AC113" s="136"/>
      <c r="AD113" s="136"/>
      <c r="AE113" s="137"/>
      <c r="AF113" s="137"/>
      <c r="AG113" s="138"/>
      <c r="AH113" s="138"/>
      <c r="AI113" s="137"/>
      <c r="AJ113" s="137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127"/>
      <c r="BB113" s="127"/>
      <c r="BC113" s="127"/>
      <c r="BD113" s="127"/>
      <c r="BE113" s="127"/>
      <c r="BF113" s="128"/>
      <c r="BG113" s="129"/>
      <c r="BH113" s="46"/>
      <c r="BI113" s="141">
        <f>SUMIF($D$7:$BG$7,"1",$D113:$BG113)</f>
        <v>8</v>
      </c>
      <c r="BJ113" s="142">
        <f>SUMIFS($D$9:$BG$9,$D$7:$BG$7,"1",$D113:$BG113,"&gt;"&amp;-1)</f>
        <v>10</v>
      </c>
      <c r="BK113" s="143">
        <f t="shared" si="0"/>
        <v>80</v>
      </c>
      <c r="BL113" s="144">
        <f>SUMIF($D$7:$BG$7,"2",$D113:$BG113)</f>
        <v>11</v>
      </c>
      <c r="BM113" s="142">
        <f>SUMIFS($D$9:$BG$9,$D$7:$BG$7,"2",$D113:$BG113,"&gt;"&amp;-1)</f>
        <v>15</v>
      </c>
      <c r="BN113" s="143">
        <f t="shared" si="1"/>
        <v>73.34</v>
      </c>
      <c r="BO113" s="144">
        <f>SUMIF($D$7:$BG$7,"3",$D113:$BG113)</f>
        <v>10</v>
      </c>
      <c r="BP113" s="142">
        <f>SUMIFS($D$9:$BG$9,$D$7:$BG$7,"3",$D113:$BG113,"&gt;"&amp;-1)</f>
        <v>15</v>
      </c>
      <c r="BQ113" s="143">
        <f t="shared" si="2"/>
        <v>66.67</v>
      </c>
      <c r="BR113" s="144">
        <f>SUMIF($D$7:$BG$7,"4",$D113:$BG113)</f>
        <v>8</v>
      </c>
      <c r="BS113" s="142">
        <f>SUMIFS($D$9:$BG$9,$D$7:$BG$7,"4",$D113:$BG113,"&gt;"&amp;-1)</f>
        <v>10</v>
      </c>
      <c r="BT113" s="143">
        <f t="shared" si="3"/>
        <v>80</v>
      </c>
      <c r="BU113" s="144">
        <f>SUMIF($D$7:$BG$7,"5",$D113:$BG113)</f>
        <v>8</v>
      </c>
      <c r="BV113" s="142">
        <f>SUMIFS($D$9:$BG$9,$D$7:$BG$7,"5",$D113:$BG113,"&gt;"&amp;-1)</f>
        <v>10</v>
      </c>
      <c r="BW113" s="143">
        <f t="shared" si="4"/>
        <v>80</v>
      </c>
      <c r="BX113" s="144">
        <f>SUMIF($D$7:$BG$7,"6",$D113:$BG113)</f>
        <v>0</v>
      </c>
      <c r="BY113" s="142">
        <f>SUMIFS($D$9:$BG$9,$D$7:$BG$7,"6",$D113:$BG113,"&gt;"&amp;-1)</f>
        <v>0</v>
      </c>
      <c r="BZ113" s="143">
        <f t="shared" si="5"/>
        <v>0</v>
      </c>
    </row>
    <row r="114" ht="15.75" customHeight="1" spans="1:78" x14ac:dyDescent="0.25">
      <c r="A114" s="152">
        <v>102</v>
      </c>
      <c r="B114" s="152" t="s">
        <v>255</v>
      </c>
      <c r="C114" s="119" t="s">
        <v>256</v>
      </c>
      <c r="D114" s="134"/>
      <c r="E114" s="135"/>
      <c r="F114" s="136"/>
      <c r="G114" s="136"/>
      <c r="H114" s="137"/>
      <c r="I114" s="137"/>
      <c r="J114" s="138"/>
      <c r="K114" s="139"/>
      <c r="L114" s="136"/>
      <c r="M114" s="136"/>
      <c r="N114" s="137"/>
      <c r="O114" s="137"/>
      <c r="P114" s="138"/>
      <c r="Q114" s="138"/>
      <c r="R114" s="137"/>
      <c r="S114" s="137"/>
      <c r="T114" s="140"/>
      <c r="U114" s="134"/>
      <c r="V114" s="135"/>
      <c r="W114" s="136"/>
      <c r="X114" s="136"/>
      <c r="Y114" s="137"/>
      <c r="Z114" s="137"/>
      <c r="AA114" s="138"/>
      <c r="AB114" s="139"/>
      <c r="AC114" s="136"/>
      <c r="AD114" s="136"/>
      <c r="AE114" s="137"/>
      <c r="AF114" s="137"/>
      <c r="AG114" s="138"/>
      <c r="AH114" s="138"/>
      <c r="AI114" s="137"/>
      <c r="AJ114" s="137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127"/>
      <c r="BB114" s="127"/>
      <c r="BC114" s="127"/>
      <c r="BD114" s="127"/>
      <c r="BE114" s="127"/>
      <c r="BF114" s="128"/>
      <c r="BG114" s="129"/>
      <c r="BH114" s="46"/>
      <c r="BI114" s="141">
        <f>SUMIF($D$7:$BG$7,"1",$D114:$BG114)</f>
        <v>8</v>
      </c>
      <c r="BJ114" s="142">
        <f>SUMIFS($D$9:$BG$9,$D$7:$BG$7,"1",$D114:$BG114,"&gt;"&amp;-1)</f>
        <v>15</v>
      </c>
      <c r="BK114" s="143">
        <f t="shared" si="0"/>
        <v>53.339999999999996</v>
      </c>
      <c r="BL114" s="144">
        <f>SUMIF($D$7:$BG$7,"2",$D114:$BG114)</f>
        <v>20</v>
      </c>
      <c r="BM114" s="142">
        <f>SUMIFS($D$9:$BG$9,$D$7:$BG$7,"2",$D114:$BG114,"&gt;"&amp;-1)</f>
        <v>25</v>
      </c>
      <c r="BN114" s="143">
        <f t="shared" si="1"/>
        <v>80</v>
      </c>
      <c r="BO114" s="144">
        <f>SUMIF($D$7:$BG$7,"3",$D114:$BG114)</f>
        <v>9</v>
      </c>
      <c r="BP114" s="142">
        <f>SUMIFS($D$9:$BG$9,$D$7:$BG$7,"3",$D114:$BG114,"&gt;"&amp;-1)</f>
        <v>20</v>
      </c>
      <c r="BQ114" s="143">
        <f t="shared" si="2"/>
        <v>45</v>
      </c>
      <c r="BR114" s="144">
        <f>SUMIF($D$7:$BG$7,"4",$D114:$BG114)</f>
        <v>5</v>
      </c>
      <c r="BS114" s="142">
        <f>SUMIFS($D$9:$BG$9,$D$7:$BG$7,"4",$D114:$BG114,"&gt;"&amp;-1)</f>
        <v>10</v>
      </c>
      <c r="BT114" s="143">
        <f t="shared" si="3"/>
        <v>50</v>
      </c>
      <c r="BU114" s="144">
        <f>SUMIF($D$7:$BG$7,"5",$D114:$BG114)</f>
        <v>5</v>
      </c>
      <c r="BV114" s="142">
        <f>SUMIFS($D$9:$BG$9,$D$7:$BG$7,"5",$D114:$BG114,"&gt;"&amp;-1)</f>
        <v>10</v>
      </c>
      <c r="BW114" s="143">
        <f t="shared" si="4"/>
        <v>50</v>
      </c>
      <c r="BX114" s="144">
        <f>SUMIF($D$7:$BG$7,"6",$D114:$BG114)</f>
        <v>0</v>
      </c>
      <c r="BY114" s="142">
        <f>SUMIFS($D$9:$BG$9,$D$7:$BG$7,"6",$D114:$BG114,"&gt;"&amp;-1)</f>
        <v>0</v>
      </c>
      <c r="BZ114" s="143">
        <f t="shared" si="5"/>
        <v>0</v>
      </c>
    </row>
    <row r="115" ht="15.75" customHeight="1" spans="1:78" x14ac:dyDescent="0.25">
      <c r="A115" s="152">
        <v>103</v>
      </c>
      <c r="B115" s="152" t="s">
        <v>257</v>
      </c>
      <c r="C115" s="119" t="s">
        <v>258</v>
      </c>
      <c r="D115" s="134"/>
      <c r="E115" s="135"/>
      <c r="F115" s="136"/>
      <c r="G115" s="136"/>
      <c r="H115" s="137"/>
      <c r="I115" s="137"/>
      <c r="J115" s="138"/>
      <c r="K115" s="139"/>
      <c r="L115" s="136"/>
      <c r="M115" s="136"/>
      <c r="N115" s="137"/>
      <c r="O115" s="137"/>
      <c r="P115" s="138"/>
      <c r="Q115" s="138"/>
      <c r="R115" s="137"/>
      <c r="S115" s="137"/>
      <c r="T115" s="140"/>
      <c r="U115" s="134"/>
      <c r="V115" s="135"/>
      <c r="W115" s="136"/>
      <c r="X115" s="136"/>
      <c r="Y115" s="137"/>
      <c r="Z115" s="137"/>
      <c r="AA115" s="138"/>
      <c r="AB115" s="139"/>
      <c r="AC115" s="136"/>
      <c r="AD115" s="136"/>
      <c r="AE115" s="137"/>
      <c r="AF115" s="137"/>
      <c r="AG115" s="138"/>
      <c r="AH115" s="138"/>
      <c r="AI115" s="137"/>
      <c r="AJ115" s="137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127"/>
      <c r="BB115" s="127"/>
      <c r="BC115" s="127"/>
      <c r="BD115" s="127"/>
      <c r="BE115" s="127"/>
      <c r="BF115" s="128"/>
      <c r="BG115" s="129"/>
      <c r="BH115" s="46"/>
      <c r="BI115" s="141">
        <f>SUMIF($D$7:$BG$7,"1",$D115:$BG115)</f>
        <v>14</v>
      </c>
      <c r="BJ115" s="142">
        <f>SUMIFS($D$9:$BG$9,$D$7:$BG$7,"1",$D115:$BG115,"&gt;"&amp;-1)</f>
        <v>15</v>
      </c>
      <c r="BK115" s="143">
        <f t="shared" si="0"/>
        <v>93.34</v>
      </c>
      <c r="BL115" s="144">
        <f>SUMIF($D$7:$BG$7,"2",$D115:$BG115)</f>
        <v>27</v>
      </c>
      <c r="BM115" s="142">
        <f>SUMIFS($D$9:$BG$9,$D$7:$BG$7,"2",$D115:$BG115,"&gt;"&amp;-1)</f>
        <v>30</v>
      </c>
      <c r="BN115" s="143">
        <f t="shared" si="1"/>
        <v>90</v>
      </c>
      <c r="BO115" s="144">
        <f>SUMIF($D$7:$BG$7,"3",$D115:$BG115)</f>
        <v>20</v>
      </c>
      <c r="BP115" s="142">
        <f>SUMIFS($D$9:$BG$9,$D$7:$BG$7,"3",$D115:$BG115,"&gt;"&amp;-1)</f>
        <v>20</v>
      </c>
      <c r="BQ115" s="143">
        <f t="shared" si="2"/>
        <v>100</v>
      </c>
      <c r="BR115" s="144">
        <f>SUMIF($D$7:$BG$7,"4",$D115:$BG115)</f>
        <v>14</v>
      </c>
      <c r="BS115" s="142">
        <f>SUMIFS($D$9:$BG$9,$D$7:$BG$7,"4",$D115:$BG115,"&gt;"&amp;-1)</f>
        <v>15</v>
      </c>
      <c r="BT115" s="143">
        <f t="shared" si="3"/>
        <v>93.34</v>
      </c>
      <c r="BU115" s="144">
        <f>SUMIF($D$7:$BG$7,"5",$D115:$BG115)</f>
        <v>14</v>
      </c>
      <c r="BV115" s="142">
        <f>SUMIFS($D$9:$BG$9,$D$7:$BG$7,"5",$D115:$BG115,"&gt;"&amp;-1)</f>
        <v>20</v>
      </c>
      <c r="BW115" s="143">
        <f t="shared" si="4"/>
        <v>70</v>
      </c>
      <c r="BX115" s="144">
        <f>SUMIF($D$7:$BG$7,"6",$D115:$BG115)</f>
        <v>0</v>
      </c>
      <c r="BY115" s="142">
        <f>SUMIFS($D$9:$BG$9,$D$7:$BG$7,"6",$D115:$BG115,"&gt;"&amp;-1)</f>
        <v>0</v>
      </c>
      <c r="BZ115" s="143">
        <f t="shared" si="5"/>
        <v>0</v>
      </c>
    </row>
    <row r="116" ht="15.75" customHeight="1" spans="1:78" x14ac:dyDescent="0.25">
      <c r="A116" s="152">
        <v>104</v>
      </c>
      <c r="B116" s="152" t="s">
        <v>259</v>
      </c>
      <c r="C116" s="119" t="s">
        <v>260</v>
      </c>
      <c r="D116" s="134"/>
      <c r="E116" s="135"/>
      <c r="F116" s="136"/>
      <c r="G116" s="136"/>
      <c r="H116" s="137"/>
      <c r="I116" s="137"/>
      <c r="J116" s="138"/>
      <c r="K116" s="139"/>
      <c r="L116" s="136"/>
      <c r="M116" s="136"/>
      <c r="N116" s="137"/>
      <c r="O116" s="137"/>
      <c r="P116" s="138"/>
      <c r="Q116" s="138"/>
      <c r="R116" s="137"/>
      <c r="S116" s="137"/>
      <c r="T116" s="140"/>
      <c r="U116" s="134"/>
      <c r="V116" s="135"/>
      <c r="W116" s="136"/>
      <c r="X116" s="136"/>
      <c r="Y116" s="137"/>
      <c r="Z116" s="137"/>
      <c r="AA116" s="138"/>
      <c r="AB116" s="139"/>
      <c r="AC116" s="136"/>
      <c r="AD116" s="136"/>
      <c r="AE116" s="137"/>
      <c r="AF116" s="137"/>
      <c r="AG116" s="138"/>
      <c r="AH116" s="138"/>
      <c r="AI116" s="137"/>
      <c r="AJ116" s="137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127"/>
      <c r="BB116" s="127"/>
      <c r="BC116" s="127"/>
      <c r="BD116" s="127"/>
      <c r="BE116" s="127"/>
      <c r="BF116" s="128"/>
      <c r="BG116" s="129"/>
      <c r="BH116" s="46"/>
      <c r="BI116" s="141">
        <f>SUMIF($D$7:$BG$7,"1",$D116:$BG116)</f>
        <v>14</v>
      </c>
      <c r="BJ116" s="142">
        <f>SUMIFS($D$9:$BG$9,$D$7:$BG$7,"1",$D116:$BG116,"&gt;"&amp;-1)</f>
        <v>15</v>
      </c>
      <c r="BK116" s="143">
        <f t="shared" si="0"/>
        <v>93.34</v>
      </c>
      <c r="BL116" s="144">
        <f>SUMIF($D$7:$BG$7,"2",$D116:$BG116)</f>
        <v>27</v>
      </c>
      <c r="BM116" s="142">
        <f>SUMIFS($D$9:$BG$9,$D$7:$BG$7,"2",$D116:$BG116,"&gt;"&amp;-1)</f>
        <v>27</v>
      </c>
      <c r="BN116" s="143">
        <f t="shared" si="1"/>
        <v>100</v>
      </c>
      <c r="BO116" s="144">
        <f>SUMIF($D$7:$BG$7,"3",$D116:$BG116)</f>
        <v>19</v>
      </c>
      <c r="BP116" s="142">
        <f>SUMIFS($D$9:$BG$9,$D$7:$BG$7,"3",$D116:$BG116,"&gt;"&amp;-1)</f>
        <v>25</v>
      </c>
      <c r="BQ116" s="143">
        <f t="shared" si="2"/>
        <v>76</v>
      </c>
      <c r="BR116" s="144">
        <f>SUMIF($D$7:$BG$7,"4",$D116:$BG116)</f>
        <v>13</v>
      </c>
      <c r="BS116" s="142">
        <f>SUMIFS($D$9:$BG$9,$D$7:$BG$7,"4",$D116:$BG116,"&gt;"&amp;-1)</f>
        <v>15</v>
      </c>
      <c r="BT116" s="143">
        <f t="shared" si="3"/>
        <v>86.67</v>
      </c>
      <c r="BU116" s="144">
        <f>SUMIF($D$7:$BG$7,"5",$D116:$BG116)</f>
        <v>12</v>
      </c>
      <c r="BV116" s="142">
        <f>SUMIFS($D$9:$BG$9,$D$7:$BG$7,"5",$D116:$BG116,"&gt;"&amp;-1)</f>
        <v>15</v>
      </c>
      <c r="BW116" s="143">
        <f t="shared" si="4"/>
        <v>80</v>
      </c>
      <c r="BX116" s="144">
        <f>SUMIF($D$7:$BG$7,"6",$D116:$BG116)</f>
        <v>0</v>
      </c>
      <c r="BY116" s="142">
        <f>SUMIFS($D$9:$BG$9,$D$7:$BG$7,"6",$D116:$BG116,"&gt;"&amp;-1)</f>
        <v>0</v>
      </c>
      <c r="BZ116" s="143">
        <f t="shared" si="5"/>
        <v>0</v>
      </c>
    </row>
    <row r="117" ht="15.75" customHeight="1" spans="1:78" x14ac:dyDescent="0.25">
      <c r="A117" s="152">
        <v>105</v>
      </c>
      <c r="B117" s="152" t="s">
        <v>261</v>
      </c>
      <c r="C117" s="119" t="s">
        <v>262</v>
      </c>
      <c r="D117" s="134"/>
      <c r="E117" s="135"/>
      <c r="F117" s="136"/>
      <c r="G117" s="136"/>
      <c r="H117" s="137"/>
      <c r="I117" s="137"/>
      <c r="J117" s="138"/>
      <c r="K117" s="139"/>
      <c r="L117" s="136"/>
      <c r="M117" s="136"/>
      <c r="N117" s="137"/>
      <c r="O117" s="137"/>
      <c r="P117" s="138"/>
      <c r="Q117" s="138"/>
      <c r="R117" s="137"/>
      <c r="S117" s="137"/>
      <c r="T117" s="140"/>
      <c r="U117" s="134"/>
      <c r="V117" s="135"/>
      <c r="W117" s="136"/>
      <c r="X117" s="136"/>
      <c r="Y117" s="137"/>
      <c r="Z117" s="137"/>
      <c r="AA117" s="138"/>
      <c r="AB117" s="139"/>
      <c r="AC117" s="136"/>
      <c r="AD117" s="136"/>
      <c r="AE117" s="137"/>
      <c r="AF117" s="137"/>
      <c r="AG117" s="138"/>
      <c r="AH117" s="138"/>
      <c r="AI117" s="137"/>
      <c r="AJ117" s="137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127"/>
      <c r="BB117" s="127"/>
      <c r="BC117" s="127"/>
      <c r="BD117" s="127"/>
      <c r="BE117" s="127"/>
      <c r="BF117" s="128"/>
      <c r="BG117" s="129"/>
      <c r="BH117" s="46"/>
      <c r="BI117" s="141">
        <f>SUMIF($D$7:$BG$7,"1",$D117:$BG117)</f>
        <v>14</v>
      </c>
      <c r="BJ117" s="142">
        <f>SUMIFS($D$9:$BG$9,$D$7:$BG$7,"1",$D117:$BG117,"&gt;"&amp;-1)</f>
        <v>15</v>
      </c>
      <c r="BK117" s="143">
        <f t="shared" si="0"/>
        <v>93.34</v>
      </c>
      <c r="BL117" s="144">
        <f>SUMIF($D$7:$BG$7,"2",$D117:$BG117)</f>
        <v>26</v>
      </c>
      <c r="BM117" s="142">
        <f>SUMIFS($D$9:$BG$9,$D$7:$BG$7,"2",$D117:$BG117,"&gt;"&amp;-1)</f>
        <v>27</v>
      </c>
      <c r="BN117" s="143">
        <f t="shared" si="1"/>
        <v>96.30000000000001</v>
      </c>
      <c r="BO117" s="144">
        <f>SUMIF($D$7:$BG$7,"3",$D117:$BG117)</f>
        <v>13</v>
      </c>
      <c r="BP117" s="142">
        <f>SUMIFS($D$9:$BG$9,$D$7:$BG$7,"3",$D117:$BG117,"&gt;"&amp;-1)</f>
        <v>20</v>
      </c>
      <c r="BQ117" s="143">
        <f t="shared" si="2"/>
        <v>65</v>
      </c>
      <c r="BR117" s="144">
        <f>SUMIF($D$7:$BG$7,"4",$D117:$BG117)</f>
        <v>10</v>
      </c>
      <c r="BS117" s="142">
        <f>SUMIFS($D$9:$BG$9,$D$7:$BG$7,"4",$D117:$BG117,"&gt;"&amp;-1)</f>
        <v>10</v>
      </c>
      <c r="BT117" s="143">
        <f t="shared" si="3"/>
        <v>100</v>
      </c>
      <c r="BU117" s="144">
        <f>SUMIF($D$7:$BG$7,"5",$D117:$BG117)</f>
        <v>13</v>
      </c>
      <c r="BV117" s="142">
        <f>SUMIFS($D$9:$BG$9,$D$7:$BG$7,"5",$D117:$BG117,"&gt;"&amp;-1)</f>
        <v>15</v>
      </c>
      <c r="BW117" s="143">
        <f t="shared" si="4"/>
        <v>86.67</v>
      </c>
      <c r="BX117" s="144">
        <f>SUMIF($D$7:$BG$7,"6",$D117:$BG117)</f>
        <v>0</v>
      </c>
      <c r="BY117" s="142">
        <f>SUMIFS($D$9:$BG$9,$D$7:$BG$7,"6",$D117:$BG117,"&gt;"&amp;-1)</f>
        <v>0</v>
      </c>
      <c r="BZ117" s="143">
        <f t="shared" si="5"/>
        <v>0</v>
      </c>
    </row>
    <row r="118" ht="15.75" customHeight="1" spans="1:78" x14ac:dyDescent="0.25">
      <c r="A118" s="152">
        <v>106</v>
      </c>
      <c r="B118" s="152" t="s">
        <v>263</v>
      </c>
      <c r="C118" s="119" t="s">
        <v>264</v>
      </c>
      <c r="D118" s="134"/>
      <c r="E118" s="135"/>
      <c r="F118" s="136"/>
      <c r="G118" s="136"/>
      <c r="H118" s="137"/>
      <c r="I118" s="137"/>
      <c r="J118" s="138"/>
      <c r="K118" s="139"/>
      <c r="L118" s="136"/>
      <c r="M118" s="136"/>
      <c r="N118" s="137"/>
      <c r="O118" s="137"/>
      <c r="P118" s="138"/>
      <c r="Q118" s="138"/>
      <c r="R118" s="137"/>
      <c r="S118" s="137"/>
      <c r="T118" s="140"/>
      <c r="U118" s="134"/>
      <c r="V118" s="135"/>
      <c r="W118" s="136"/>
      <c r="X118" s="136"/>
      <c r="Y118" s="137"/>
      <c r="Z118" s="137"/>
      <c r="AA118" s="138"/>
      <c r="AB118" s="139"/>
      <c r="AC118" s="136"/>
      <c r="AD118" s="136"/>
      <c r="AE118" s="137"/>
      <c r="AF118" s="137"/>
      <c r="AG118" s="138"/>
      <c r="AH118" s="138"/>
      <c r="AI118" s="137"/>
      <c r="AJ118" s="137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127"/>
      <c r="BB118" s="127"/>
      <c r="BC118" s="127"/>
      <c r="BD118" s="127"/>
      <c r="BE118" s="127"/>
      <c r="BF118" s="128"/>
      <c r="BG118" s="129"/>
      <c r="BH118" s="46"/>
      <c r="BI118" s="141">
        <f>SUMIF($D$7:$BG$7,"1",$D118:$BG118)</f>
        <v>9.5</v>
      </c>
      <c r="BJ118" s="142">
        <f>SUMIFS($D$9:$BG$9,$D$7:$BG$7,"1",$D118:$BG118,"&gt;"&amp;-1)</f>
        <v>10</v>
      </c>
      <c r="BK118" s="143">
        <f t="shared" si="0"/>
        <v>95</v>
      </c>
      <c r="BL118" s="144">
        <f>SUMIF($D$7:$BG$7,"2",$D118:$BG118)</f>
        <v>22.5</v>
      </c>
      <c r="BM118" s="142">
        <f>SUMIFS($D$9:$BG$9,$D$7:$BG$7,"2",$D118:$BG118,"&gt;"&amp;-1)</f>
        <v>22</v>
      </c>
      <c r="BN118" s="143">
        <f t="shared" si="1"/>
        <v>102.28</v>
      </c>
      <c r="BO118" s="144">
        <f>SUMIF($D$7:$BG$7,"3",$D118:$BG118)</f>
        <v>12.5</v>
      </c>
      <c r="BP118" s="142">
        <f>SUMIFS($D$9:$BG$9,$D$7:$BG$7,"3",$D118:$BG118,"&gt;"&amp;-1)</f>
        <v>15</v>
      </c>
      <c r="BQ118" s="143">
        <f t="shared" si="2"/>
        <v>83.34</v>
      </c>
      <c r="BR118" s="144">
        <f>SUMIF($D$7:$BG$7,"4",$D118:$BG118)</f>
        <v>9.5</v>
      </c>
      <c r="BS118" s="142">
        <f>SUMIFS($D$9:$BG$9,$D$7:$BG$7,"4",$D118:$BG118,"&gt;"&amp;-1)</f>
        <v>15</v>
      </c>
      <c r="BT118" s="143">
        <f t="shared" si="3"/>
        <v>63.339999999999996</v>
      </c>
      <c r="BU118" s="144">
        <f>SUMIF($D$7:$BG$7,"5",$D118:$BG118)</f>
        <v>12.5</v>
      </c>
      <c r="BV118" s="142">
        <f>SUMIFS($D$9:$BG$9,$D$7:$BG$7,"5",$D118:$BG118,"&gt;"&amp;-1)</f>
        <v>15</v>
      </c>
      <c r="BW118" s="143">
        <f t="shared" si="4"/>
        <v>83.34</v>
      </c>
      <c r="BX118" s="144">
        <f>SUMIF($D$7:$BG$7,"6",$D118:$BG118)</f>
        <v>0</v>
      </c>
      <c r="BY118" s="142">
        <f>SUMIFS($D$9:$BG$9,$D$7:$BG$7,"6",$D118:$BG118,"&gt;"&amp;-1)</f>
        <v>0</v>
      </c>
      <c r="BZ118" s="143">
        <f t="shared" si="5"/>
        <v>0</v>
      </c>
    </row>
    <row r="119" ht="15.75" customHeight="1" spans="1:78" x14ac:dyDescent="0.25">
      <c r="A119" s="152">
        <v>107</v>
      </c>
      <c r="B119" s="152" t="s">
        <v>265</v>
      </c>
      <c r="C119" s="119" t="s">
        <v>266</v>
      </c>
      <c r="D119" s="134"/>
      <c r="E119" s="135"/>
      <c r="F119" s="136"/>
      <c r="G119" s="136"/>
      <c r="H119" s="137"/>
      <c r="I119" s="137"/>
      <c r="J119" s="138"/>
      <c r="K119" s="139"/>
      <c r="L119" s="136"/>
      <c r="M119" s="136"/>
      <c r="N119" s="137"/>
      <c r="O119" s="137"/>
      <c r="P119" s="138"/>
      <c r="Q119" s="138"/>
      <c r="R119" s="137"/>
      <c r="S119" s="137"/>
      <c r="T119" s="140"/>
      <c r="U119" s="134"/>
      <c r="V119" s="135"/>
      <c r="W119" s="136"/>
      <c r="X119" s="136"/>
      <c r="Y119" s="137"/>
      <c r="Z119" s="137"/>
      <c r="AA119" s="138"/>
      <c r="AB119" s="139"/>
      <c r="AC119" s="136"/>
      <c r="AD119" s="136"/>
      <c r="AE119" s="137"/>
      <c r="AF119" s="137"/>
      <c r="AG119" s="138"/>
      <c r="AH119" s="138"/>
      <c r="AI119" s="137"/>
      <c r="AJ119" s="137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127"/>
      <c r="BB119" s="127"/>
      <c r="BC119" s="127"/>
      <c r="BD119" s="127"/>
      <c r="BE119" s="127"/>
      <c r="BF119" s="128"/>
      <c r="BG119" s="129"/>
      <c r="BH119" s="46"/>
      <c r="BI119" s="141">
        <f>SUMIF($D$7:$BG$7,"1",$D119:$BG119)</f>
        <v>10</v>
      </c>
      <c r="BJ119" s="142">
        <f>SUMIFS($D$9:$BG$9,$D$7:$BG$7,"1",$D119:$BG119,"&gt;"&amp;-1)</f>
        <v>10</v>
      </c>
      <c r="BK119" s="143">
        <f t="shared" si="0"/>
        <v>100</v>
      </c>
      <c r="BL119" s="144">
        <f>SUMIF($D$7:$BG$7,"2",$D119:$BG119)</f>
        <v>25</v>
      </c>
      <c r="BM119" s="142">
        <f>SUMIFS($D$9:$BG$9,$D$7:$BG$7,"2",$D119:$BG119,"&gt;"&amp;-1)</f>
        <v>25</v>
      </c>
      <c r="BN119" s="143">
        <f t="shared" si="1"/>
        <v>100</v>
      </c>
      <c r="BO119" s="144">
        <f>SUMIF($D$7:$BG$7,"3",$D119:$BG119)</f>
        <v>27</v>
      </c>
      <c r="BP119" s="142">
        <f>SUMIFS($D$9:$BG$9,$D$7:$BG$7,"3",$D119:$BG119,"&gt;"&amp;-1)</f>
        <v>30</v>
      </c>
      <c r="BQ119" s="143">
        <f t="shared" si="2"/>
        <v>90</v>
      </c>
      <c r="BR119" s="144">
        <f>SUMIF($D$7:$BG$7,"4",$D119:$BG119)</f>
        <v>15</v>
      </c>
      <c r="BS119" s="142">
        <f>SUMIFS($D$9:$BG$9,$D$7:$BG$7,"4",$D119:$BG119,"&gt;"&amp;-1)</f>
        <v>15</v>
      </c>
      <c r="BT119" s="143">
        <f t="shared" si="3"/>
        <v>100</v>
      </c>
      <c r="BU119" s="144">
        <f>SUMIF($D$7:$BG$7,"5",$D119:$BG119)</f>
        <v>15</v>
      </c>
      <c r="BV119" s="142">
        <f>SUMIFS($D$9:$BG$9,$D$7:$BG$7,"5",$D119:$BG119,"&gt;"&amp;-1)</f>
        <v>20</v>
      </c>
      <c r="BW119" s="143">
        <f t="shared" si="4"/>
        <v>75</v>
      </c>
      <c r="BX119" s="144">
        <f>SUMIF($D$7:$BG$7,"6",$D119:$BG119)</f>
        <v>0</v>
      </c>
      <c r="BY119" s="142">
        <f>SUMIFS($D$9:$BG$9,$D$7:$BG$7,"6",$D119:$BG119,"&gt;"&amp;-1)</f>
        <v>0</v>
      </c>
      <c r="BZ119" s="143">
        <f t="shared" si="5"/>
        <v>0</v>
      </c>
    </row>
    <row r="120" ht="15.75" customHeight="1" spans="1:78" x14ac:dyDescent="0.25">
      <c r="A120" s="152">
        <v>108</v>
      </c>
      <c r="B120" s="152" t="s">
        <v>267</v>
      </c>
      <c r="C120" s="119" t="s">
        <v>268</v>
      </c>
      <c r="D120" s="134"/>
      <c r="E120" s="135"/>
      <c r="F120" s="136"/>
      <c r="G120" s="136"/>
      <c r="H120" s="137"/>
      <c r="I120" s="137"/>
      <c r="J120" s="138"/>
      <c r="K120" s="139"/>
      <c r="L120" s="136"/>
      <c r="M120" s="136"/>
      <c r="N120" s="137"/>
      <c r="O120" s="137"/>
      <c r="P120" s="138"/>
      <c r="Q120" s="138"/>
      <c r="R120" s="137"/>
      <c r="S120" s="137"/>
      <c r="T120" s="140"/>
      <c r="U120" s="134"/>
      <c r="V120" s="135"/>
      <c r="W120" s="136"/>
      <c r="X120" s="136"/>
      <c r="Y120" s="137"/>
      <c r="Z120" s="137"/>
      <c r="AA120" s="138"/>
      <c r="AB120" s="139"/>
      <c r="AC120" s="136"/>
      <c r="AD120" s="136"/>
      <c r="AE120" s="137"/>
      <c r="AF120" s="137"/>
      <c r="AG120" s="138"/>
      <c r="AH120" s="138"/>
      <c r="AI120" s="137"/>
      <c r="AJ120" s="137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127"/>
      <c r="BB120" s="127"/>
      <c r="BC120" s="127"/>
      <c r="BD120" s="127"/>
      <c r="BE120" s="127"/>
      <c r="BF120" s="128"/>
      <c r="BG120" s="129"/>
      <c r="BH120" s="46"/>
      <c r="BI120" s="141">
        <f>SUMIF($D$7:$BG$7,"1",$D120:$BG120)</f>
        <v>11</v>
      </c>
      <c r="BJ120" s="142">
        <f>SUMIFS($D$9:$BG$9,$D$7:$BG$7,"1",$D120:$BG120,"&gt;"&amp;-1)</f>
        <v>12.5</v>
      </c>
      <c r="BK120" s="143">
        <f t="shared" si="0"/>
        <v>88</v>
      </c>
      <c r="BL120" s="144">
        <f>SUMIF($D$7:$BG$7,"2",$D120:$BG120)</f>
        <v>29</v>
      </c>
      <c r="BM120" s="142">
        <f>SUMIFS($D$9:$BG$9,$D$7:$BG$7,"2",$D120:$BG120,"&gt;"&amp;-1)</f>
        <v>30</v>
      </c>
      <c r="BN120" s="143">
        <f t="shared" si="1"/>
        <v>96.67</v>
      </c>
      <c r="BO120" s="144">
        <f>SUMIF($D$7:$BG$7,"3",$D120:$BG120)</f>
        <v>20</v>
      </c>
      <c r="BP120" s="142">
        <f>SUMIFS($D$9:$BG$9,$D$7:$BG$7,"3",$D120:$BG120,"&gt;"&amp;-1)</f>
        <v>30</v>
      </c>
      <c r="BQ120" s="143">
        <f t="shared" si="2"/>
        <v>66.67</v>
      </c>
      <c r="BR120" s="144">
        <f>SUMIF($D$7:$BG$7,"4",$D120:$BG120)</f>
        <v>14</v>
      </c>
      <c r="BS120" s="142">
        <f>SUMIFS($D$9:$BG$9,$D$7:$BG$7,"4",$D120:$BG120,"&gt;"&amp;-1)</f>
        <v>15</v>
      </c>
      <c r="BT120" s="143">
        <f t="shared" si="3"/>
        <v>93.34</v>
      </c>
      <c r="BU120" s="144">
        <f>SUMIF($D$7:$BG$7,"5",$D120:$BG120)</f>
        <v>14</v>
      </c>
      <c r="BV120" s="142">
        <f>SUMIFS($D$9:$BG$9,$D$7:$BG$7,"5",$D120:$BG120,"&gt;"&amp;-1)</f>
        <v>20</v>
      </c>
      <c r="BW120" s="143">
        <f t="shared" si="4"/>
        <v>70</v>
      </c>
      <c r="BX120" s="144">
        <f>SUMIF($D$7:$BG$7,"6",$D120:$BG120)</f>
        <v>0</v>
      </c>
      <c r="BY120" s="142">
        <f>SUMIFS($D$9:$BG$9,$D$7:$BG$7,"6",$D120:$BG120,"&gt;"&amp;-1)</f>
        <v>0</v>
      </c>
      <c r="BZ120" s="143">
        <f t="shared" si="5"/>
        <v>0</v>
      </c>
    </row>
    <row r="121" ht="15.75" customHeight="1" spans="1:78" x14ac:dyDescent="0.25">
      <c r="A121" s="151">
        <v>109</v>
      </c>
      <c r="B121" s="149" t="s">
        <v>269</v>
      </c>
      <c r="C121" s="119" t="s">
        <v>270</v>
      </c>
      <c r="D121" s="134"/>
      <c r="E121" s="135"/>
      <c r="F121" s="136"/>
      <c r="G121" s="136"/>
      <c r="H121" s="137"/>
      <c r="I121" s="137"/>
      <c r="J121" s="138"/>
      <c r="K121" s="139"/>
      <c r="L121" s="136"/>
      <c r="M121" s="136"/>
      <c r="N121" s="137"/>
      <c r="O121" s="137"/>
      <c r="P121" s="138"/>
      <c r="Q121" s="138"/>
      <c r="R121" s="137"/>
      <c r="S121" s="137"/>
      <c r="T121" s="140"/>
      <c r="U121" s="134"/>
      <c r="V121" s="135"/>
      <c r="W121" s="136"/>
      <c r="X121" s="136"/>
      <c r="Y121" s="137"/>
      <c r="Z121" s="137"/>
      <c r="AA121" s="138"/>
      <c r="AB121" s="139"/>
      <c r="AC121" s="136"/>
      <c r="AD121" s="136"/>
      <c r="AE121" s="137"/>
      <c r="AF121" s="137"/>
      <c r="AG121" s="138"/>
      <c r="AH121" s="138"/>
      <c r="AI121" s="137"/>
      <c r="AJ121" s="137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127"/>
      <c r="BB121" s="127"/>
      <c r="BC121" s="127"/>
      <c r="BD121" s="127"/>
      <c r="BE121" s="127"/>
      <c r="BF121" s="128"/>
      <c r="BG121" s="129"/>
      <c r="BH121" s="46"/>
      <c r="BI121" s="141">
        <f>SUMIF($D$7:$BG$7,"1",$D121:$BG121)</f>
        <v>10</v>
      </c>
      <c r="BJ121" s="142">
        <f>SUMIFS($D$9:$BG$9,$D$7:$BG$7,"1",$D121:$BG121,"&gt;"&amp;-1)</f>
        <v>10</v>
      </c>
      <c r="BK121" s="143">
        <f t="shared" si="0"/>
        <v>100</v>
      </c>
      <c r="BL121" s="144">
        <f>SUMIF($D$7:$BG$7,"2",$D121:$BG121)</f>
        <v>21</v>
      </c>
      <c r="BM121" s="142">
        <f>SUMIFS($D$9:$BG$9,$D$7:$BG$7,"2",$D121:$BG121,"&gt;"&amp;-1)</f>
        <v>22</v>
      </c>
      <c r="BN121" s="143">
        <f t="shared" si="1"/>
        <v>95.46000000000001</v>
      </c>
      <c r="BO121" s="144">
        <f>SUMIF($D$7:$BG$7,"3",$D121:$BG121)</f>
        <v>23</v>
      </c>
      <c r="BP121" s="142">
        <f>SUMIFS($D$9:$BG$9,$D$7:$BG$7,"3",$D121:$BG121,"&gt;"&amp;-1)</f>
        <v>30</v>
      </c>
      <c r="BQ121" s="143">
        <f t="shared" si="2"/>
        <v>76.67</v>
      </c>
      <c r="BR121" s="144">
        <f>SUMIF($D$7:$BG$7,"4",$D121:$BG121)</f>
        <v>15</v>
      </c>
      <c r="BS121" s="142">
        <f>SUMIFS($D$9:$BG$9,$D$7:$BG$7,"4",$D121:$BG121,"&gt;"&amp;-1)</f>
        <v>15</v>
      </c>
      <c r="BT121" s="143">
        <f t="shared" si="3"/>
        <v>100</v>
      </c>
      <c r="BU121" s="144">
        <f>SUMIF($D$7:$BG$7,"5",$D121:$BG121)</f>
        <v>11</v>
      </c>
      <c r="BV121" s="142">
        <f>SUMIFS($D$9:$BG$9,$D$7:$BG$7,"5",$D121:$BG121,"&gt;"&amp;-1)</f>
        <v>15</v>
      </c>
      <c r="BW121" s="143">
        <f t="shared" si="4"/>
        <v>73.34</v>
      </c>
      <c r="BX121" s="144">
        <f>SUMIF($D$7:$BG$7,"6",$D121:$BG121)</f>
        <v>0</v>
      </c>
      <c r="BY121" s="142">
        <f>SUMIFS($D$9:$BG$9,$D$7:$BG$7,"6",$D121:$BG121,"&gt;"&amp;-1)</f>
        <v>0</v>
      </c>
      <c r="BZ121" s="143">
        <f t="shared" si="5"/>
        <v>0</v>
      </c>
    </row>
    <row r="122" ht="15.75" customHeight="1" spans="1:78" x14ac:dyDescent="0.25">
      <c r="A122" s="151">
        <v>110</v>
      </c>
      <c r="B122" s="149" t="s">
        <v>271</v>
      </c>
      <c r="C122" s="119" t="s">
        <v>272</v>
      </c>
      <c r="D122" s="134"/>
      <c r="E122" s="135"/>
      <c r="F122" s="136"/>
      <c r="G122" s="136"/>
      <c r="H122" s="137"/>
      <c r="I122" s="137"/>
      <c r="J122" s="138"/>
      <c r="K122" s="139"/>
      <c r="L122" s="136"/>
      <c r="M122" s="136"/>
      <c r="N122" s="137"/>
      <c r="O122" s="137"/>
      <c r="P122" s="138"/>
      <c r="Q122" s="138"/>
      <c r="R122" s="137"/>
      <c r="S122" s="137"/>
      <c r="T122" s="140"/>
      <c r="U122" s="134"/>
      <c r="V122" s="135"/>
      <c r="W122" s="136"/>
      <c r="X122" s="136"/>
      <c r="Y122" s="137"/>
      <c r="Z122" s="137"/>
      <c r="AA122" s="138"/>
      <c r="AB122" s="139"/>
      <c r="AC122" s="136"/>
      <c r="AD122" s="136"/>
      <c r="AE122" s="137"/>
      <c r="AF122" s="137"/>
      <c r="AG122" s="138"/>
      <c r="AH122" s="138"/>
      <c r="AI122" s="137"/>
      <c r="AJ122" s="137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127"/>
      <c r="BB122" s="127"/>
      <c r="BC122" s="127"/>
      <c r="BD122" s="127"/>
      <c r="BE122" s="127"/>
      <c r="BF122" s="128"/>
      <c r="BG122" s="129"/>
      <c r="BH122" s="46"/>
      <c r="BI122" s="141">
        <f>SUMIF($D$7:$BG$7,"1",$D122:$BG122)</f>
        <v>10</v>
      </c>
      <c r="BJ122" s="142">
        <f>SUMIFS($D$9:$BG$9,$D$7:$BG$7,"1",$D122:$BG122,"&gt;"&amp;-1)</f>
        <v>10</v>
      </c>
      <c r="BK122" s="143">
        <f t="shared" si="0"/>
        <v>100</v>
      </c>
      <c r="BL122" s="144">
        <f>SUMIF($D$7:$BG$7,"2",$D122:$BG122)</f>
        <v>20</v>
      </c>
      <c r="BM122" s="142">
        <f>SUMIFS($D$9:$BG$9,$D$7:$BG$7,"2",$D122:$BG122,"&gt;"&amp;-1)</f>
        <v>20</v>
      </c>
      <c r="BN122" s="143">
        <f t="shared" si="1"/>
        <v>100</v>
      </c>
      <c r="BO122" s="144">
        <f>SUMIF($D$7:$BG$7,"3",$D122:$BG122)</f>
        <v>26</v>
      </c>
      <c r="BP122" s="142">
        <f>SUMIFS($D$9:$BG$9,$D$7:$BG$7,"3",$D122:$BG122,"&gt;"&amp;-1)</f>
        <v>30</v>
      </c>
      <c r="BQ122" s="143">
        <f t="shared" si="2"/>
        <v>86.67</v>
      </c>
      <c r="BR122" s="144">
        <f>SUMIF($D$7:$BG$7,"4",$D122:$BG122)</f>
        <v>15</v>
      </c>
      <c r="BS122" s="142">
        <f>SUMIFS($D$9:$BG$9,$D$7:$BG$7,"4",$D122:$BG122,"&gt;"&amp;-1)</f>
        <v>15</v>
      </c>
      <c r="BT122" s="143">
        <f t="shared" si="3"/>
        <v>100</v>
      </c>
      <c r="BU122" s="144">
        <f>SUMIF($D$7:$BG$7,"5",$D122:$BG122)</f>
        <v>15</v>
      </c>
      <c r="BV122" s="142">
        <f>SUMIFS($D$9:$BG$9,$D$7:$BG$7,"5",$D122:$BG122,"&gt;"&amp;-1)</f>
        <v>20</v>
      </c>
      <c r="BW122" s="143">
        <f t="shared" si="4"/>
        <v>75</v>
      </c>
      <c r="BX122" s="144">
        <f>SUMIF($D$7:$BG$7,"6",$D122:$BG122)</f>
        <v>0</v>
      </c>
      <c r="BY122" s="142">
        <f>SUMIFS($D$9:$BG$9,$D$7:$BG$7,"6",$D122:$BG122,"&gt;"&amp;-1)</f>
        <v>0</v>
      </c>
      <c r="BZ122" s="143">
        <f t="shared" si="5"/>
        <v>0</v>
      </c>
    </row>
    <row r="123" ht="15.75" customHeight="1" spans="1:78" x14ac:dyDescent="0.25">
      <c r="A123" s="153">
        <v>111</v>
      </c>
      <c r="B123" s="154" t="s">
        <v>273</v>
      </c>
      <c r="C123" s="119" t="s">
        <v>274</v>
      </c>
      <c r="D123" s="134"/>
      <c r="E123" s="135"/>
      <c r="F123" s="136"/>
      <c r="G123" s="136"/>
      <c r="H123" s="137"/>
      <c r="I123" s="137"/>
      <c r="J123" s="138"/>
      <c r="K123" s="139"/>
      <c r="L123" s="136"/>
      <c r="M123" s="136"/>
      <c r="N123" s="137"/>
      <c r="O123" s="137"/>
      <c r="P123" s="138"/>
      <c r="Q123" s="138"/>
      <c r="R123" s="137"/>
      <c r="S123" s="137"/>
      <c r="T123" s="140"/>
      <c r="U123" s="134"/>
      <c r="V123" s="135"/>
      <c r="W123" s="136"/>
      <c r="X123" s="136"/>
      <c r="Y123" s="137"/>
      <c r="Z123" s="137"/>
      <c r="AA123" s="138"/>
      <c r="AB123" s="139"/>
      <c r="AC123" s="136"/>
      <c r="AD123" s="136"/>
      <c r="AE123" s="137"/>
      <c r="AF123" s="137"/>
      <c r="AG123" s="138"/>
      <c r="AH123" s="138"/>
      <c r="AI123" s="137"/>
      <c r="AJ123" s="137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127"/>
      <c r="BB123" s="127"/>
      <c r="BC123" s="127"/>
      <c r="BD123" s="127"/>
      <c r="BE123" s="127"/>
      <c r="BF123" s="128"/>
      <c r="BG123" s="129"/>
      <c r="BH123" s="46"/>
      <c r="BI123" s="141">
        <f>SUMIF($D$7:$BG$7,"1",$D123:$BG123)</f>
        <v>13</v>
      </c>
      <c r="BJ123" s="142">
        <f>SUMIFS($D$9:$BG$9,$D$7:$BG$7,"1",$D123:$BG123,"&gt;"&amp;-1)</f>
        <v>15</v>
      </c>
      <c r="BK123" s="143">
        <f t="shared" si="0"/>
        <v>86.67</v>
      </c>
      <c r="BL123" s="144">
        <f>SUMIF($D$7:$BG$7,"2",$D123:$BG123)</f>
        <v>21</v>
      </c>
      <c r="BM123" s="142">
        <f>SUMIFS($D$9:$BG$9,$D$7:$BG$7,"2",$D123:$BG123,"&gt;"&amp;-1)</f>
        <v>22</v>
      </c>
      <c r="BN123" s="143">
        <f t="shared" si="1"/>
        <v>95.46000000000001</v>
      </c>
      <c r="BO123" s="144">
        <f>SUMIF($D$7:$BG$7,"3",$D123:$BG123)</f>
        <v>17</v>
      </c>
      <c r="BP123" s="142">
        <f>SUMIFS($D$9:$BG$9,$D$7:$BG$7,"3",$D123:$BG123,"&gt;"&amp;-1)</f>
        <v>20</v>
      </c>
      <c r="BQ123" s="143">
        <f t="shared" si="2"/>
        <v>85</v>
      </c>
      <c r="BR123" s="144">
        <f>SUMIF($D$7:$BG$7,"4",$D123:$BG123)</f>
        <v>8</v>
      </c>
      <c r="BS123" s="142">
        <f>SUMIFS($D$9:$BG$9,$D$7:$BG$7,"4",$D123:$BG123,"&gt;"&amp;-1)</f>
        <v>10</v>
      </c>
      <c r="BT123" s="143">
        <f t="shared" si="3"/>
        <v>80</v>
      </c>
      <c r="BU123" s="144">
        <f>SUMIF($D$7:$BG$7,"5",$D123:$BG123)</f>
        <v>11</v>
      </c>
      <c r="BV123" s="142">
        <f>SUMIFS($D$9:$BG$9,$D$7:$BG$7,"5",$D123:$BG123,"&gt;"&amp;-1)</f>
        <v>15</v>
      </c>
      <c r="BW123" s="143">
        <f t="shared" si="4"/>
        <v>73.34</v>
      </c>
      <c r="BX123" s="144">
        <f>SUMIF($D$7:$BG$7,"6",$D123:$BG123)</f>
        <v>0</v>
      </c>
      <c r="BY123" s="142">
        <f>SUMIFS($D$9:$BG$9,$D$7:$BG$7,"6",$D123:$BG123,"&gt;"&amp;-1)</f>
        <v>0</v>
      </c>
      <c r="BZ123" s="143">
        <f t="shared" si="5"/>
        <v>0</v>
      </c>
    </row>
    <row r="124" ht="15.75" customHeight="1" spans="1:78" x14ac:dyDescent="0.25">
      <c r="A124" s="153">
        <v>112</v>
      </c>
      <c r="B124" s="154" t="s">
        <v>275</v>
      </c>
      <c r="C124" s="119" t="s">
        <v>276</v>
      </c>
      <c r="D124" s="134"/>
      <c r="E124" s="135"/>
      <c r="F124" s="136"/>
      <c r="G124" s="136"/>
      <c r="H124" s="137"/>
      <c r="I124" s="137"/>
      <c r="J124" s="138"/>
      <c r="K124" s="139"/>
      <c r="L124" s="136"/>
      <c r="M124" s="136"/>
      <c r="N124" s="137"/>
      <c r="O124" s="137"/>
      <c r="P124" s="138"/>
      <c r="Q124" s="138"/>
      <c r="R124" s="137"/>
      <c r="S124" s="137"/>
      <c r="T124" s="140"/>
      <c r="U124" s="134"/>
      <c r="V124" s="135"/>
      <c r="W124" s="136"/>
      <c r="X124" s="136"/>
      <c r="Y124" s="137"/>
      <c r="Z124" s="137"/>
      <c r="AA124" s="138"/>
      <c r="AB124" s="139"/>
      <c r="AC124" s="136"/>
      <c r="AD124" s="136"/>
      <c r="AE124" s="137"/>
      <c r="AF124" s="137"/>
      <c r="AG124" s="138"/>
      <c r="AH124" s="138"/>
      <c r="AI124" s="137"/>
      <c r="AJ124" s="137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127"/>
      <c r="BB124" s="127"/>
      <c r="BC124" s="127"/>
      <c r="BD124" s="127"/>
      <c r="BE124" s="127"/>
      <c r="BF124" s="128"/>
      <c r="BG124" s="129"/>
      <c r="BH124" s="46"/>
      <c r="BI124" s="141">
        <f>SUMIF($D$7:$BG$7,"1",$D124:$BG124)</f>
        <v>4.5</v>
      </c>
      <c r="BJ124" s="142">
        <f>SUMIFS($D$9:$BG$9,$D$7:$BG$7,"1",$D124:$BG124,"&gt;"&amp;-1)</f>
        <v>12.5</v>
      </c>
      <c r="BK124" s="143">
        <f t="shared" si="0"/>
        <v>36</v>
      </c>
      <c r="BL124" s="144">
        <f>SUMIF($D$7:$BG$7,"2",$D124:$BG124)</f>
        <v>12.5</v>
      </c>
      <c r="BM124" s="142">
        <f>SUMIFS($D$9:$BG$9,$D$7:$BG$7,"2",$D124:$BG124,"&gt;"&amp;-1)</f>
        <v>20</v>
      </c>
      <c r="BN124" s="143">
        <f t="shared" si="1"/>
        <v>62.5</v>
      </c>
      <c r="BO124" s="144">
        <f>SUMIF($D$7:$BG$7,"3",$D124:$BG124)</f>
        <v>12.5</v>
      </c>
      <c r="BP124" s="142">
        <f>SUMIFS($D$9:$BG$9,$D$7:$BG$7,"3",$D124:$BG124,"&gt;"&amp;-1)</f>
        <v>25</v>
      </c>
      <c r="BQ124" s="143">
        <f t="shared" si="2"/>
        <v>50</v>
      </c>
      <c r="BR124" s="144">
        <f>SUMIF($D$7:$BG$7,"4",$D124:$BG124)</f>
        <v>5.5</v>
      </c>
      <c r="BS124" s="142">
        <f>SUMIFS($D$9:$BG$9,$D$7:$BG$7,"4",$D124:$BG124,"&gt;"&amp;-1)</f>
        <v>15</v>
      </c>
      <c r="BT124" s="143">
        <f t="shared" si="3"/>
        <v>36.669999999999995</v>
      </c>
      <c r="BU124" s="144">
        <f>SUMIF($D$7:$BG$7,"5",$D124:$BG124)</f>
        <v>2.5</v>
      </c>
      <c r="BV124" s="142">
        <f>SUMIFS($D$9:$BG$9,$D$7:$BG$7,"5",$D124:$BG124,"&gt;"&amp;-1)</f>
        <v>10</v>
      </c>
      <c r="BW124" s="143">
        <f t="shared" si="4"/>
        <v>25</v>
      </c>
      <c r="BX124" s="144">
        <f>SUMIF($D$7:$BG$7,"6",$D124:$BG124)</f>
        <v>0</v>
      </c>
      <c r="BY124" s="142">
        <f>SUMIFS($D$9:$BG$9,$D$7:$BG$7,"6",$D124:$BG124,"&gt;"&amp;-1)</f>
        <v>0</v>
      </c>
      <c r="BZ124" s="143">
        <f t="shared" si="5"/>
        <v>0</v>
      </c>
    </row>
    <row r="125" ht="15.75" customHeight="1" spans="1:78" x14ac:dyDescent="0.25">
      <c r="A125" s="153">
        <v>113</v>
      </c>
      <c r="B125" s="154" t="s">
        <v>277</v>
      </c>
      <c r="C125" s="119" t="s">
        <v>278</v>
      </c>
      <c r="D125" s="134"/>
      <c r="E125" s="135"/>
      <c r="F125" s="136"/>
      <c r="G125" s="136"/>
      <c r="H125" s="137"/>
      <c r="I125" s="137"/>
      <c r="J125" s="138"/>
      <c r="K125" s="139"/>
      <c r="L125" s="136"/>
      <c r="M125" s="136"/>
      <c r="N125" s="137"/>
      <c r="O125" s="137"/>
      <c r="P125" s="138"/>
      <c r="Q125" s="138"/>
      <c r="R125" s="137"/>
      <c r="S125" s="137"/>
      <c r="T125" s="140"/>
      <c r="U125" s="134"/>
      <c r="V125" s="135"/>
      <c r="W125" s="136"/>
      <c r="X125" s="136"/>
      <c r="Y125" s="137"/>
      <c r="Z125" s="137"/>
      <c r="AA125" s="138"/>
      <c r="AB125" s="139"/>
      <c r="AC125" s="136"/>
      <c r="AD125" s="136"/>
      <c r="AE125" s="137"/>
      <c r="AF125" s="137"/>
      <c r="AG125" s="138"/>
      <c r="AH125" s="138"/>
      <c r="AI125" s="137"/>
      <c r="AJ125" s="137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127"/>
      <c r="BB125" s="127"/>
      <c r="BC125" s="127"/>
      <c r="BD125" s="127"/>
      <c r="BE125" s="127"/>
      <c r="BF125" s="128"/>
      <c r="BG125" s="129"/>
      <c r="BH125" s="46"/>
      <c r="BI125" s="141">
        <f>SUMIF($D$7:$BG$7,"1",$D125:$BG125)</f>
        <v>7</v>
      </c>
      <c r="BJ125" s="142">
        <f>SUMIFS($D$9:$BG$9,$D$7:$BG$7,"1",$D125:$BG125,"&gt;"&amp;-1)</f>
        <v>10</v>
      </c>
      <c r="BK125" s="143">
        <f t="shared" si="0"/>
        <v>70</v>
      </c>
      <c r="BL125" s="144">
        <f>SUMIF($D$7:$BG$7,"2",$D125:$BG125)</f>
        <v>17</v>
      </c>
      <c r="BM125" s="142">
        <f>SUMIFS($D$9:$BG$9,$D$7:$BG$7,"2",$D125:$BG125,"&gt;"&amp;-1)</f>
        <v>20</v>
      </c>
      <c r="BN125" s="143">
        <f t="shared" si="1"/>
        <v>85</v>
      </c>
      <c r="BO125" s="144">
        <f>SUMIF($D$7:$BG$7,"3",$D125:$BG125)</f>
        <v>16</v>
      </c>
      <c r="BP125" s="142">
        <f>SUMIFS($D$9:$BG$9,$D$7:$BG$7,"3",$D125:$BG125,"&gt;"&amp;-1)</f>
        <v>30</v>
      </c>
      <c r="BQ125" s="143">
        <f t="shared" si="2"/>
        <v>53.339999999999996</v>
      </c>
      <c r="BR125" s="144">
        <f>SUMIF($D$7:$BG$7,"4",$D125:$BG125)</f>
        <v>7</v>
      </c>
      <c r="BS125" s="142">
        <f>SUMIFS($D$9:$BG$9,$D$7:$BG$7,"4",$D125:$BG125,"&gt;"&amp;-1)</f>
        <v>10</v>
      </c>
      <c r="BT125" s="143">
        <f t="shared" si="3"/>
        <v>70</v>
      </c>
      <c r="BU125" s="144">
        <f>SUMIF($D$7:$BG$7,"5",$D125:$BG125)</f>
        <v>7</v>
      </c>
      <c r="BV125" s="142">
        <f>SUMIFS($D$9:$BG$9,$D$7:$BG$7,"5",$D125:$BG125,"&gt;"&amp;-1)</f>
        <v>10</v>
      </c>
      <c r="BW125" s="143">
        <f t="shared" si="4"/>
        <v>70</v>
      </c>
      <c r="BX125" s="144">
        <f>SUMIF($D$7:$BG$7,"6",$D125:$BG125)</f>
        <v>0</v>
      </c>
      <c r="BY125" s="142">
        <f>SUMIFS($D$9:$BG$9,$D$7:$BG$7,"6",$D125:$BG125,"&gt;"&amp;-1)</f>
        <v>0</v>
      </c>
      <c r="BZ125" s="143">
        <f t="shared" si="5"/>
        <v>0</v>
      </c>
    </row>
    <row r="126" ht="15.75" customHeight="1" spans="1:78" x14ac:dyDescent="0.25">
      <c r="A126" s="153">
        <v>114</v>
      </c>
      <c r="B126" s="154" t="s">
        <v>279</v>
      </c>
      <c r="C126" s="119" t="s">
        <v>280</v>
      </c>
      <c r="D126" s="134"/>
      <c r="E126" s="135"/>
      <c r="F126" s="136"/>
      <c r="G126" s="136"/>
      <c r="H126" s="137"/>
      <c r="I126" s="137"/>
      <c r="J126" s="138"/>
      <c r="K126" s="139"/>
      <c r="L126" s="136"/>
      <c r="M126" s="136"/>
      <c r="N126" s="137"/>
      <c r="O126" s="137"/>
      <c r="P126" s="138"/>
      <c r="Q126" s="138"/>
      <c r="R126" s="137"/>
      <c r="S126" s="137"/>
      <c r="T126" s="140"/>
      <c r="U126" s="134"/>
      <c r="V126" s="135"/>
      <c r="W126" s="136"/>
      <c r="X126" s="136"/>
      <c r="Y126" s="137"/>
      <c r="Z126" s="137"/>
      <c r="AA126" s="138"/>
      <c r="AB126" s="139"/>
      <c r="AC126" s="136"/>
      <c r="AD126" s="136"/>
      <c r="AE126" s="137"/>
      <c r="AF126" s="137"/>
      <c r="AG126" s="138"/>
      <c r="AH126" s="138"/>
      <c r="AI126" s="137"/>
      <c r="AJ126" s="137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127"/>
      <c r="BB126" s="127"/>
      <c r="BC126" s="127"/>
      <c r="BD126" s="127"/>
      <c r="BE126" s="127"/>
      <c r="BF126" s="128"/>
      <c r="BG126" s="129"/>
      <c r="BH126" s="46"/>
      <c r="BI126" s="141">
        <f>SUMIF($D$7:$BG$7,"1",$D126:$BG126)</f>
        <v>10</v>
      </c>
      <c r="BJ126" s="142">
        <f>SUMIFS($D$9:$BG$9,$D$7:$BG$7,"1",$D126:$BG126,"&gt;"&amp;-1)</f>
        <v>10</v>
      </c>
      <c r="BK126" s="143">
        <f t="shared" si="0"/>
        <v>100</v>
      </c>
      <c r="BL126" s="144">
        <f>SUMIF($D$7:$BG$7,"2",$D126:$BG126)</f>
        <v>21</v>
      </c>
      <c r="BM126" s="142">
        <f>SUMIFS($D$9:$BG$9,$D$7:$BG$7,"2",$D126:$BG126,"&gt;"&amp;-1)</f>
        <v>23</v>
      </c>
      <c r="BN126" s="143">
        <f t="shared" si="1"/>
        <v>91.31</v>
      </c>
      <c r="BO126" s="144">
        <f>SUMIF($D$7:$BG$7,"3",$D126:$BG126)</f>
        <v>20</v>
      </c>
      <c r="BP126" s="142">
        <f>SUMIFS($D$9:$BG$9,$D$7:$BG$7,"3",$D126:$BG126,"&gt;"&amp;-1)</f>
        <v>20</v>
      </c>
      <c r="BQ126" s="143">
        <f t="shared" si="2"/>
        <v>100</v>
      </c>
      <c r="BR126" s="144">
        <f>SUMIF($D$7:$BG$7,"4",$D126:$BG126)</f>
        <v>10</v>
      </c>
      <c r="BS126" s="142">
        <f>SUMIFS($D$9:$BG$9,$D$7:$BG$7,"4",$D126:$BG126,"&gt;"&amp;-1)</f>
        <v>10</v>
      </c>
      <c r="BT126" s="143">
        <f t="shared" si="3"/>
        <v>100</v>
      </c>
      <c r="BU126" s="144">
        <f>SUMIF($D$7:$BG$7,"5",$D126:$BG126)</f>
        <v>11</v>
      </c>
      <c r="BV126" s="142">
        <f>SUMIFS($D$9:$BG$9,$D$7:$BG$7,"5",$D126:$BG126,"&gt;"&amp;-1)</f>
        <v>15</v>
      </c>
      <c r="BW126" s="143">
        <f t="shared" si="4"/>
        <v>73.34</v>
      </c>
      <c r="BX126" s="144">
        <f>SUMIF($D$7:$BG$7,"6",$D126:$BG126)</f>
        <v>0</v>
      </c>
      <c r="BY126" s="142">
        <f>SUMIFS($D$9:$BG$9,$D$7:$BG$7,"6",$D126:$BG126,"&gt;"&amp;-1)</f>
        <v>0</v>
      </c>
      <c r="BZ126" s="143">
        <f t="shared" si="5"/>
        <v>0</v>
      </c>
    </row>
    <row r="127" ht="15.75" customHeight="1" spans="1:78" x14ac:dyDescent="0.25">
      <c r="A127" s="153">
        <v>115</v>
      </c>
      <c r="B127" s="154" t="s">
        <v>281</v>
      </c>
      <c r="C127" s="119" t="s">
        <v>282</v>
      </c>
      <c r="D127" s="134"/>
      <c r="E127" s="135"/>
      <c r="F127" s="136"/>
      <c r="G127" s="136"/>
      <c r="H127" s="137"/>
      <c r="I127" s="137"/>
      <c r="J127" s="138"/>
      <c r="K127" s="139"/>
      <c r="L127" s="136"/>
      <c r="M127" s="136"/>
      <c r="N127" s="137"/>
      <c r="O127" s="137"/>
      <c r="P127" s="138"/>
      <c r="Q127" s="138"/>
      <c r="R127" s="137"/>
      <c r="S127" s="137"/>
      <c r="T127" s="140"/>
      <c r="U127" s="134"/>
      <c r="V127" s="135"/>
      <c r="W127" s="136"/>
      <c r="X127" s="136"/>
      <c r="Y127" s="137"/>
      <c r="Z127" s="137"/>
      <c r="AA127" s="138"/>
      <c r="AB127" s="139"/>
      <c r="AC127" s="136"/>
      <c r="AD127" s="136"/>
      <c r="AE127" s="137"/>
      <c r="AF127" s="137"/>
      <c r="AG127" s="138"/>
      <c r="AH127" s="138"/>
      <c r="AI127" s="137"/>
      <c r="AJ127" s="137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127"/>
      <c r="BB127" s="127"/>
      <c r="BC127" s="127"/>
      <c r="BD127" s="127"/>
      <c r="BE127" s="127"/>
      <c r="BF127" s="128"/>
      <c r="BG127" s="129"/>
      <c r="BH127" s="46"/>
      <c r="BI127" s="141">
        <f>SUMIF($D$7:$BG$7,"1",$D127:$BG127)</f>
        <v>3</v>
      </c>
      <c r="BJ127" s="142">
        <f>SUMIFS($D$9:$BG$9,$D$7:$BG$7,"1",$D127:$BG127,"&gt;"&amp;-1)</f>
        <v>10</v>
      </c>
      <c r="BK127" s="143">
        <f t="shared" si="0"/>
        <v>30</v>
      </c>
      <c r="BL127" s="144">
        <f>SUMIF($D$7:$BG$7,"2",$D127:$BG127)</f>
        <v>11</v>
      </c>
      <c r="BM127" s="142">
        <f>SUMIFS($D$9:$BG$9,$D$7:$BG$7,"2",$D127:$BG127,"&gt;"&amp;-1)</f>
        <v>20</v>
      </c>
      <c r="BN127" s="143">
        <f t="shared" si="1"/>
        <v>55</v>
      </c>
      <c r="BO127" s="144">
        <f>SUMIF($D$7:$BG$7,"3",$D127:$BG127)</f>
        <v>9</v>
      </c>
      <c r="BP127" s="142">
        <f>SUMIFS($D$9:$BG$9,$D$7:$BG$7,"3",$D127:$BG127,"&gt;"&amp;-1)</f>
        <v>20</v>
      </c>
      <c r="BQ127" s="143">
        <f t="shared" si="2"/>
        <v>45</v>
      </c>
      <c r="BR127" s="144">
        <f>SUMIF($D$7:$BG$7,"4",$D127:$BG127)</f>
        <v>3</v>
      </c>
      <c r="BS127" s="142">
        <f>SUMIFS($D$9:$BG$9,$D$7:$BG$7,"4",$D127:$BG127,"&gt;"&amp;-1)</f>
        <v>10</v>
      </c>
      <c r="BT127" s="143">
        <f t="shared" si="3"/>
        <v>30</v>
      </c>
      <c r="BU127" s="144">
        <f>SUMIF($D$7:$BG$7,"5",$D127:$BG127)</f>
        <v>3</v>
      </c>
      <c r="BV127" s="142">
        <f>SUMIFS($D$9:$BG$9,$D$7:$BG$7,"5",$D127:$BG127,"&gt;"&amp;-1)</f>
        <v>10</v>
      </c>
      <c r="BW127" s="143">
        <f t="shared" si="4"/>
        <v>30</v>
      </c>
      <c r="BX127" s="144">
        <f>SUMIF($D$7:$BG$7,"6",$D127:$BG127)</f>
        <v>0</v>
      </c>
      <c r="BY127" s="142">
        <f>SUMIFS($D$9:$BG$9,$D$7:$BG$7,"6",$D127:$BG127,"&gt;"&amp;-1)</f>
        <v>0</v>
      </c>
      <c r="BZ127" s="143">
        <f t="shared" si="5"/>
        <v>0</v>
      </c>
    </row>
    <row r="128" ht="15.75" customHeight="1" spans="1:78" x14ac:dyDescent="0.25">
      <c r="A128" s="153">
        <v>116</v>
      </c>
      <c r="B128" s="154" t="s">
        <v>283</v>
      </c>
      <c r="C128" s="119" t="s">
        <v>284</v>
      </c>
      <c r="D128" s="134"/>
      <c r="E128" s="135"/>
      <c r="F128" s="136"/>
      <c r="G128" s="136"/>
      <c r="H128" s="137"/>
      <c r="I128" s="137"/>
      <c r="J128" s="138"/>
      <c r="K128" s="139"/>
      <c r="L128" s="136"/>
      <c r="M128" s="136"/>
      <c r="N128" s="137"/>
      <c r="O128" s="137"/>
      <c r="P128" s="138"/>
      <c r="Q128" s="138"/>
      <c r="R128" s="137"/>
      <c r="S128" s="137"/>
      <c r="T128" s="140"/>
      <c r="U128" s="134"/>
      <c r="V128" s="135"/>
      <c r="W128" s="136"/>
      <c r="X128" s="136"/>
      <c r="Y128" s="137"/>
      <c r="Z128" s="137"/>
      <c r="AA128" s="138"/>
      <c r="AB128" s="139"/>
      <c r="AC128" s="136"/>
      <c r="AD128" s="136"/>
      <c r="AE128" s="137"/>
      <c r="AF128" s="137"/>
      <c r="AG128" s="138"/>
      <c r="AH128" s="138"/>
      <c r="AI128" s="137"/>
      <c r="AJ128" s="137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127"/>
      <c r="BB128" s="127"/>
      <c r="BC128" s="127"/>
      <c r="BD128" s="127"/>
      <c r="BE128" s="127"/>
      <c r="BF128" s="128"/>
      <c r="BG128" s="129"/>
      <c r="BH128" s="46"/>
      <c r="BI128" s="141">
        <f>SUMIF($D$7:$BG$7,"1",$D128:$BG128)</f>
        <v>4.5</v>
      </c>
      <c r="BJ128" s="142">
        <f>SUMIFS($D$9:$BG$9,$D$7:$BG$7,"1",$D128:$BG128,"&gt;"&amp;-1)</f>
        <v>10</v>
      </c>
      <c r="BK128" s="143">
        <f t="shared" si="0"/>
        <v>45</v>
      </c>
      <c r="BL128" s="144">
        <f>SUMIF($D$7:$BG$7,"2",$D128:$BG128)</f>
        <v>9.5</v>
      </c>
      <c r="BM128" s="142">
        <f>SUMIFS($D$9:$BG$9,$D$7:$BG$7,"2",$D128:$BG128,"&gt;"&amp;-1)</f>
        <v>15</v>
      </c>
      <c r="BN128" s="143">
        <f t="shared" si="1"/>
        <v>63.339999999999996</v>
      </c>
      <c r="BO128" s="144">
        <f>SUMIF($D$7:$BG$7,"3",$D128:$BG128)</f>
        <v>13.5</v>
      </c>
      <c r="BP128" s="142">
        <f>SUMIFS($D$9:$BG$9,$D$7:$BG$7,"3",$D128:$BG128,"&gt;"&amp;-1)</f>
        <v>25</v>
      </c>
      <c r="BQ128" s="143">
        <f t="shared" si="2"/>
        <v>54</v>
      </c>
      <c r="BR128" s="144">
        <f>SUMIF($D$7:$BG$7,"4",$D128:$BG128)</f>
        <v>4.5</v>
      </c>
      <c r="BS128" s="142">
        <f>SUMIFS($D$9:$BG$9,$D$7:$BG$7,"4",$D128:$BG128,"&gt;"&amp;-1)</f>
        <v>10</v>
      </c>
      <c r="BT128" s="143">
        <f t="shared" si="3"/>
        <v>45</v>
      </c>
      <c r="BU128" s="144">
        <f>SUMIF($D$7:$BG$7,"5",$D128:$BG128)</f>
        <v>4.5</v>
      </c>
      <c r="BV128" s="142">
        <f>SUMIFS($D$9:$BG$9,$D$7:$BG$7,"5",$D128:$BG128,"&gt;"&amp;-1)</f>
        <v>10</v>
      </c>
      <c r="BW128" s="143">
        <f t="shared" si="4"/>
        <v>45</v>
      </c>
      <c r="BX128" s="144">
        <f>SUMIF($D$7:$BG$7,"6",$D128:$BG128)</f>
        <v>0</v>
      </c>
      <c r="BY128" s="142">
        <f>SUMIFS($D$9:$BG$9,$D$7:$BG$7,"6",$D128:$BG128,"&gt;"&amp;-1)</f>
        <v>0</v>
      </c>
      <c r="BZ128" s="143">
        <f t="shared" si="5"/>
        <v>0</v>
      </c>
    </row>
    <row r="129" ht="15.75" customHeight="1" spans="1:78" x14ac:dyDescent="0.25">
      <c r="A129" s="153">
        <v>117</v>
      </c>
      <c r="B129" s="154" t="s">
        <v>285</v>
      </c>
      <c r="C129" s="119" t="s">
        <v>286</v>
      </c>
      <c r="D129" s="134"/>
      <c r="E129" s="135"/>
      <c r="F129" s="136"/>
      <c r="G129" s="136"/>
      <c r="H129" s="137"/>
      <c r="I129" s="137"/>
      <c r="J129" s="138"/>
      <c r="K129" s="139"/>
      <c r="L129" s="136"/>
      <c r="M129" s="136"/>
      <c r="N129" s="137"/>
      <c r="O129" s="137"/>
      <c r="P129" s="138"/>
      <c r="Q129" s="138"/>
      <c r="R129" s="137"/>
      <c r="S129" s="137"/>
      <c r="T129" s="140"/>
      <c r="U129" s="134"/>
      <c r="V129" s="135"/>
      <c r="W129" s="136"/>
      <c r="X129" s="136"/>
      <c r="Y129" s="137"/>
      <c r="Z129" s="137"/>
      <c r="AA129" s="138"/>
      <c r="AB129" s="139"/>
      <c r="AC129" s="136"/>
      <c r="AD129" s="136"/>
      <c r="AE129" s="137"/>
      <c r="AF129" s="137"/>
      <c r="AG129" s="138"/>
      <c r="AH129" s="138"/>
      <c r="AI129" s="137"/>
      <c r="AJ129" s="137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127"/>
      <c r="BB129" s="127"/>
      <c r="BC129" s="127"/>
      <c r="BD129" s="127"/>
      <c r="BE129" s="127"/>
      <c r="BF129" s="128"/>
      <c r="BG129" s="129"/>
      <c r="BH129" s="46"/>
      <c r="BI129" s="141">
        <f>SUMIF($D$7:$BG$7,"1",$D129:$BG129)</f>
        <v>5</v>
      </c>
      <c r="BJ129" s="142">
        <f>SUMIFS($D$9:$BG$9,$D$7:$BG$7,"1",$D129:$BG129,"&gt;"&amp;-1)</f>
        <v>10</v>
      </c>
      <c r="BK129" s="143">
        <f t="shared" si="0"/>
        <v>50</v>
      </c>
      <c r="BL129" s="144">
        <f>SUMIF($D$7:$BG$7,"2",$D129:$BG129)</f>
        <v>15</v>
      </c>
      <c r="BM129" s="142">
        <f>SUMIFS($D$9:$BG$9,$D$7:$BG$7,"2",$D129:$BG129,"&gt;"&amp;-1)</f>
        <v>20</v>
      </c>
      <c r="BN129" s="143">
        <f t="shared" si="1"/>
        <v>75</v>
      </c>
      <c r="BO129" s="144">
        <f>SUMIF($D$7:$BG$7,"3",$D129:$BG129)</f>
        <v>13</v>
      </c>
      <c r="BP129" s="142">
        <f>SUMIFS($D$9:$BG$9,$D$7:$BG$7,"3",$D129:$BG129,"&gt;"&amp;-1)</f>
        <v>20</v>
      </c>
      <c r="BQ129" s="143">
        <f t="shared" si="2"/>
        <v>65</v>
      </c>
      <c r="BR129" s="144">
        <f>SUMIF($D$7:$BG$7,"4",$D129:$BG129)</f>
        <v>7</v>
      </c>
      <c r="BS129" s="142">
        <f>SUMIFS($D$9:$BG$9,$D$7:$BG$7,"4",$D129:$BG129,"&gt;"&amp;-1)</f>
        <v>15</v>
      </c>
      <c r="BT129" s="143">
        <f t="shared" si="3"/>
        <v>46.669999999999995</v>
      </c>
      <c r="BU129" s="144">
        <f>SUMIF($D$7:$BG$7,"5",$D129:$BG129)</f>
        <v>5</v>
      </c>
      <c r="BV129" s="142">
        <f>SUMIFS($D$9:$BG$9,$D$7:$BG$7,"5",$D129:$BG129,"&gt;"&amp;-1)</f>
        <v>10</v>
      </c>
      <c r="BW129" s="143">
        <f t="shared" si="4"/>
        <v>50</v>
      </c>
      <c r="BX129" s="144">
        <f>SUMIF($D$7:$BG$7,"6",$D129:$BG129)</f>
        <v>0</v>
      </c>
      <c r="BY129" s="142">
        <f>SUMIFS($D$9:$BG$9,$D$7:$BG$7,"6",$D129:$BG129,"&gt;"&amp;-1)</f>
        <v>0</v>
      </c>
      <c r="BZ129" s="143">
        <f t="shared" si="5"/>
        <v>0</v>
      </c>
    </row>
    <row r="130" ht="15.75" customHeight="1" spans="1:78" x14ac:dyDescent="0.25">
      <c r="A130" s="153">
        <v>118</v>
      </c>
      <c r="B130" s="154" t="s">
        <v>287</v>
      </c>
      <c r="C130" s="119" t="s">
        <v>288</v>
      </c>
      <c r="D130" s="134"/>
      <c r="E130" s="135"/>
      <c r="F130" s="136"/>
      <c r="G130" s="136"/>
      <c r="H130" s="137"/>
      <c r="I130" s="137"/>
      <c r="J130" s="138"/>
      <c r="K130" s="139"/>
      <c r="L130" s="136"/>
      <c r="M130" s="136"/>
      <c r="N130" s="137"/>
      <c r="O130" s="137"/>
      <c r="P130" s="138"/>
      <c r="Q130" s="138"/>
      <c r="R130" s="137"/>
      <c r="S130" s="137"/>
      <c r="T130" s="140"/>
      <c r="U130" s="134"/>
      <c r="V130" s="135"/>
      <c r="W130" s="136"/>
      <c r="X130" s="136"/>
      <c r="Y130" s="137"/>
      <c r="Z130" s="137"/>
      <c r="AA130" s="138"/>
      <c r="AB130" s="139"/>
      <c r="AC130" s="136"/>
      <c r="AD130" s="136"/>
      <c r="AE130" s="137"/>
      <c r="AF130" s="137"/>
      <c r="AG130" s="138"/>
      <c r="AH130" s="138"/>
      <c r="AI130" s="137"/>
      <c r="AJ130" s="137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127"/>
      <c r="BB130" s="127"/>
      <c r="BC130" s="127"/>
      <c r="BD130" s="127"/>
      <c r="BE130" s="127"/>
      <c r="BF130" s="128"/>
      <c r="BG130" s="129"/>
      <c r="BH130" s="46"/>
      <c r="BI130" s="141">
        <f>SUMIF($D$7:$BG$7,"1",$D130:$BG130)</f>
        <v>2.5</v>
      </c>
      <c r="BJ130" s="142">
        <f>SUMIFS($D$9:$BG$9,$D$7:$BG$7,"1",$D130:$BG130,"&gt;"&amp;-1)</f>
        <v>10</v>
      </c>
      <c r="BK130" s="143">
        <f t="shared" si="0"/>
        <v>25</v>
      </c>
      <c r="BL130" s="144">
        <f>SUMIF($D$7:$BG$7,"2",$D130:$BG130)</f>
        <v>8.5</v>
      </c>
      <c r="BM130" s="142">
        <f>SUMIFS($D$9:$BG$9,$D$7:$BG$7,"2",$D130:$BG130,"&gt;"&amp;-1)</f>
        <v>21</v>
      </c>
      <c r="BN130" s="143">
        <f t="shared" si="1"/>
        <v>40.48</v>
      </c>
      <c r="BO130" s="144">
        <f>SUMIF($D$7:$BG$7,"3",$D130:$BG130)</f>
        <v>6.5</v>
      </c>
      <c r="BP130" s="142">
        <f>SUMIFS($D$9:$BG$9,$D$7:$BG$7,"3",$D130:$BG130,"&gt;"&amp;-1)</f>
        <v>20</v>
      </c>
      <c r="BQ130" s="143">
        <f t="shared" si="2"/>
        <v>32.5</v>
      </c>
      <c r="BR130" s="144">
        <f>SUMIF($D$7:$BG$7,"4",$D130:$BG130)</f>
        <v>4.5</v>
      </c>
      <c r="BS130" s="142">
        <f>SUMIFS($D$9:$BG$9,$D$7:$BG$7,"4",$D130:$BG130,"&gt;"&amp;-1)</f>
        <v>15</v>
      </c>
      <c r="BT130" s="143">
        <f t="shared" si="3"/>
        <v>30</v>
      </c>
      <c r="BU130" s="144">
        <f>SUMIF($D$7:$BG$7,"5",$D130:$BG130)</f>
        <v>3.5</v>
      </c>
      <c r="BV130" s="142">
        <f>SUMIFS($D$9:$BG$9,$D$7:$BG$7,"5",$D130:$BG130,"&gt;"&amp;-1)</f>
        <v>15</v>
      </c>
      <c r="BW130" s="143">
        <f t="shared" si="4"/>
        <v>23.34</v>
      </c>
      <c r="BX130" s="144">
        <f>SUMIF($D$7:$BG$7,"6",$D130:$BG130)</f>
        <v>0</v>
      </c>
      <c r="BY130" s="142">
        <f>SUMIFS($D$9:$BG$9,$D$7:$BG$7,"6",$D130:$BG130,"&gt;"&amp;-1)</f>
        <v>0</v>
      </c>
      <c r="BZ130" s="143">
        <f t="shared" si="5"/>
        <v>0</v>
      </c>
    </row>
    <row r="131" ht="15.75" customHeight="1" spans="1:78" x14ac:dyDescent="0.25">
      <c r="A131" s="153">
        <v>119</v>
      </c>
      <c r="B131" s="154" t="s">
        <v>289</v>
      </c>
      <c r="C131" s="119" t="s">
        <v>290</v>
      </c>
      <c r="D131" s="134"/>
      <c r="E131" s="135"/>
      <c r="F131" s="136"/>
      <c r="G131" s="136"/>
      <c r="H131" s="137"/>
      <c r="I131" s="137"/>
      <c r="J131" s="138"/>
      <c r="K131" s="139"/>
      <c r="L131" s="136"/>
      <c r="M131" s="136"/>
      <c r="N131" s="137"/>
      <c r="O131" s="137"/>
      <c r="P131" s="138"/>
      <c r="Q131" s="138"/>
      <c r="R131" s="137"/>
      <c r="S131" s="137"/>
      <c r="T131" s="140"/>
      <c r="U131" s="134"/>
      <c r="V131" s="135"/>
      <c r="W131" s="136"/>
      <c r="X131" s="136"/>
      <c r="Y131" s="137"/>
      <c r="Z131" s="137"/>
      <c r="AA131" s="138"/>
      <c r="AB131" s="139"/>
      <c r="AC131" s="136"/>
      <c r="AD131" s="136"/>
      <c r="AE131" s="137"/>
      <c r="AF131" s="137"/>
      <c r="AG131" s="138"/>
      <c r="AH131" s="138"/>
      <c r="AI131" s="137"/>
      <c r="AJ131" s="137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127"/>
      <c r="BB131" s="127"/>
      <c r="BC131" s="127"/>
      <c r="BD131" s="127"/>
      <c r="BE131" s="127"/>
      <c r="BF131" s="128"/>
      <c r="BG131" s="129"/>
      <c r="BH131" s="46"/>
      <c r="BI131" s="155">
        <f>SUMIF($D$7:$BG$7,"1",$D131:$BG131)</f>
        <v>2.5</v>
      </c>
      <c r="BJ131" s="142">
        <f>SUMIFS($D$9:$BG$9,$D$7:$BG$7,"1",$D131:$BG131,"&gt;"&amp;-1)</f>
        <v>10</v>
      </c>
      <c r="BK131" s="143">
        <f t="shared" si="0"/>
        <v>25</v>
      </c>
      <c r="BL131" s="144">
        <f>SUMIF($D$7:$BG$7,"2",$D131:$BG131)</f>
        <v>4.5</v>
      </c>
      <c r="BM131" s="142">
        <f>SUMIFS($D$9:$BG$9,$D$7:$BG$7,"2",$D131:$BG131,"&gt;"&amp;-1)</f>
        <v>13</v>
      </c>
      <c r="BN131" s="143">
        <f t="shared" si="1"/>
        <v>34.62</v>
      </c>
      <c r="BO131" s="144">
        <f>SUMIF($D$7:$BG$7,"3",$D131:$BG131)</f>
        <v>11.5</v>
      </c>
      <c r="BP131" s="142">
        <f>SUMIFS($D$9:$BG$9,$D$7:$BG$7,"3",$D131:$BG131,"&gt;"&amp;-1)</f>
        <v>20</v>
      </c>
      <c r="BQ131" s="143">
        <f t="shared" si="2"/>
        <v>57.5</v>
      </c>
      <c r="BR131" s="144">
        <f>SUMIF($D$7:$BG$7,"4",$D131:$BG131)</f>
        <v>2.5</v>
      </c>
      <c r="BS131" s="142">
        <f>SUMIFS($D$9:$BG$9,$D$7:$BG$7,"4",$D131:$BG131,"&gt;"&amp;-1)</f>
        <v>10</v>
      </c>
      <c r="BT131" s="143">
        <f t="shared" si="3"/>
        <v>25</v>
      </c>
      <c r="BU131" s="144">
        <f>SUMIF($D$7:$BG$7,"5",$D131:$BG131)</f>
        <v>2.5</v>
      </c>
      <c r="BV131" s="142">
        <f>SUMIFS($D$9:$BG$9,$D$7:$BG$7,"5",$D131:$BG131,"&gt;"&amp;-1)</f>
        <v>10</v>
      </c>
      <c r="BW131" s="143">
        <f t="shared" si="4"/>
        <v>25</v>
      </c>
      <c r="BX131" s="144">
        <f>SUMIF($D$7:$BG$7,"6",$D131:$BG131)</f>
        <v>0</v>
      </c>
      <c r="BY131" s="142">
        <f>SUMIFS($D$9:$BG$9,$D$7:$BG$7,"6",$D131:$BG131,"&gt;"&amp;-1)</f>
        <v>0</v>
      </c>
      <c r="BZ131" s="143">
        <f t="shared" si="5"/>
        <v>0</v>
      </c>
    </row>
    <row r="132" ht="15.75" customHeight="1" spans="1:78" x14ac:dyDescent="0.25">
      <c r="A132" s="153">
        <v>120</v>
      </c>
      <c r="B132" s="154" t="s">
        <v>291</v>
      </c>
      <c r="C132" s="119" t="s">
        <v>292</v>
      </c>
      <c r="D132" s="134"/>
      <c r="E132" s="135"/>
      <c r="F132" s="136"/>
      <c r="G132" s="136"/>
      <c r="H132" s="137"/>
      <c r="I132" s="137"/>
      <c r="J132" s="138"/>
      <c r="K132" s="139"/>
      <c r="L132" s="136"/>
      <c r="M132" s="136"/>
      <c r="N132" s="137"/>
      <c r="O132" s="137"/>
      <c r="P132" s="138"/>
      <c r="Q132" s="138"/>
      <c r="R132" s="137"/>
      <c r="S132" s="137"/>
      <c r="T132" s="140"/>
      <c r="U132" s="134"/>
      <c r="V132" s="135"/>
      <c r="W132" s="136"/>
      <c r="X132" s="136"/>
      <c r="Y132" s="137"/>
      <c r="Z132" s="137"/>
      <c r="AA132" s="138"/>
      <c r="AB132" s="139"/>
      <c r="AC132" s="136"/>
      <c r="AD132" s="136"/>
      <c r="AE132" s="137"/>
      <c r="AF132" s="137"/>
      <c r="AG132" s="138"/>
      <c r="AH132" s="138"/>
      <c r="AI132" s="137"/>
      <c r="AJ132" s="137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127"/>
      <c r="BB132" s="127"/>
      <c r="BC132" s="127"/>
      <c r="BD132" s="127"/>
      <c r="BE132" s="127"/>
      <c r="BF132" s="128"/>
      <c r="BG132" s="129"/>
      <c r="BH132" s="46"/>
      <c r="BI132" s="155">
        <f>SUMIF($D$7:$BG$7,"1",$D132:$BG132)</f>
        <v>2.5</v>
      </c>
      <c r="BJ132" s="142">
        <f>SUMIFS($D$9:$BG$9,$D$7:$BG$7,"1",$D132:$BG132,"&gt;"&amp;-1)</f>
        <v>10</v>
      </c>
      <c r="BK132" s="143">
        <f t="shared" si="0"/>
        <v>25</v>
      </c>
      <c r="BL132" s="144">
        <f>SUMIF($D$7:$BG$7,"2",$D132:$BG132)</f>
        <v>5.5</v>
      </c>
      <c r="BM132" s="142">
        <f>SUMIFS($D$9:$BG$9,$D$7:$BG$7,"2",$D132:$BG132,"&gt;"&amp;-1)</f>
        <v>15</v>
      </c>
      <c r="BN132" s="143">
        <f t="shared" si="1"/>
        <v>36.669999999999995</v>
      </c>
      <c r="BO132" s="144">
        <f>SUMIF($D$7:$BG$7,"3",$D132:$BG132)</f>
        <v>6.5</v>
      </c>
      <c r="BP132" s="142">
        <f>SUMIFS($D$9:$BG$9,$D$7:$BG$7,"3",$D132:$BG132,"&gt;"&amp;-1)</f>
        <v>15</v>
      </c>
      <c r="BQ132" s="143">
        <f t="shared" si="2"/>
        <v>43.339999999999996</v>
      </c>
      <c r="BR132" s="144">
        <f>SUMIF($D$7:$BG$7,"4",$D132:$BG132)</f>
        <v>6.5</v>
      </c>
      <c r="BS132" s="142">
        <f>SUMIFS($D$9:$BG$9,$D$7:$BG$7,"4",$D132:$BG132,"&gt;"&amp;-1)</f>
        <v>15</v>
      </c>
      <c r="BT132" s="143">
        <f t="shared" si="3"/>
        <v>43.339999999999996</v>
      </c>
      <c r="BU132" s="144">
        <f>SUMIF($D$7:$BG$7,"5",$D132:$BG132)</f>
        <v>2.5</v>
      </c>
      <c r="BV132" s="142">
        <f>SUMIFS($D$9:$BG$9,$D$7:$BG$7,"5",$D132:$BG132,"&gt;"&amp;-1)</f>
        <v>10</v>
      </c>
      <c r="BW132" s="143">
        <f t="shared" si="4"/>
        <v>25</v>
      </c>
      <c r="BX132" s="144">
        <f>SUMIF($D$7:$BG$7,"6",$D132:$BG132)</f>
        <v>0</v>
      </c>
      <c r="BY132" s="142">
        <f>SUMIFS($D$9:$BG$9,$D$7:$BG$7,"6",$D132:$BG132,"&gt;"&amp;-1)</f>
        <v>0</v>
      </c>
      <c r="BZ132" s="143">
        <f t="shared" si="5"/>
        <v>0</v>
      </c>
    </row>
    <row r="133" ht="15.75" customHeight="1" spans="1:78" x14ac:dyDescent="0.25">
      <c r="A133" s="153">
        <v>121</v>
      </c>
      <c r="B133" s="154" t="s">
        <v>293</v>
      </c>
      <c r="C133" s="119" t="s">
        <v>294</v>
      </c>
      <c r="D133" s="134"/>
      <c r="E133" s="135"/>
      <c r="F133" s="136"/>
      <c r="G133" s="136"/>
      <c r="H133" s="137"/>
      <c r="I133" s="137"/>
      <c r="J133" s="138"/>
      <c r="K133" s="139"/>
      <c r="L133" s="136"/>
      <c r="M133" s="136"/>
      <c r="N133" s="137"/>
      <c r="O133" s="137"/>
      <c r="P133" s="138"/>
      <c r="Q133" s="138"/>
      <c r="R133" s="137"/>
      <c r="S133" s="137"/>
      <c r="T133" s="140"/>
      <c r="U133" s="134"/>
      <c r="V133" s="135"/>
      <c r="W133" s="136"/>
      <c r="X133" s="136"/>
      <c r="Y133" s="137"/>
      <c r="Z133" s="137"/>
      <c r="AA133" s="138"/>
      <c r="AB133" s="139"/>
      <c r="AC133" s="136"/>
      <c r="AD133" s="136"/>
      <c r="AE133" s="137"/>
      <c r="AF133" s="137"/>
      <c r="AG133" s="138"/>
      <c r="AH133" s="138"/>
      <c r="AI133" s="137"/>
      <c r="AJ133" s="137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127"/>
      <c r="BB133" s="127"/>
      <c r="BC133" s="127"/>
      <c r="BD133" s="127"/>
      <c r="BE133" s="127"/>
      <c r="BF133" s="128"/>
      <c r="BG133" s="129"/>
      <c r="BH133" s="46"/>
      <c r="BI133" s="155">
        <f>SUMIF($D$7:$BG$7,"1",$D133:$BG133)</f>
        <v>11</v>
      </c>
      <c r="BJ133" s="142">
        <f>SUMIFS($D$9:$BG$9,$D$7:$BG$7,"1",$D133:$BG133,"&gt;"&amp;-1)</f>
        <v>12.5</v>
      </c>
      <c r="BK133" s="143">
        <f t="shared" si="0"/>
        <v>88</v>
      </c>
      <c r="BL133" s="144">
        <f>SUMIF($D$7:$BG$7,"2",$D133:$BG133)</f>
        <v>21</v>
      </c>
      <c r="BM133" s="142">
        <f>SUMIFS($D$9:$BG$9,$D$7:$BG$7,"2",$D133:$BG133,"&gt;"&amp;-1)</f>
        <v>22</v>
      </c>
      <c r="BN133" s="143">
        <f t="shared" si="1"/>
        <v>95.46000000000001</v>
      </c>
      <c r="BO133" s="144">
        <f>SUMIF($D$7:$BG$7,"3",$D133:$BG133)</f>
        <v>19</v>
      </c>
      <c r="BP133" s="142">
        <f>SUMIFS($D$9:$BG$9,$D$7:$BG$7,"3",$D133:$BG133,"&gt;"&amp;-1)</f>
        <v>25</v>
      </c>
      <c r="BQ133" s="143">
        <f t="shared" si="2"/>
        <v>76</v>
      </c>
      <c r="BR133" s="144">
        <f>SUMIF($D$7:$BG$7,"4",$D133:$BG133)</f>
        <v>12</v>
      </c>
      <c r="BS133" s="142">
        <f>SUMIFS($D$9:$BG$9,$D$7:$BG$7,"4",$D133:$BG133,"&gt;"&amp;-1)</f>
        <v>15</v>
      </c>
      <c r="BT133" s="143">
        <f t="shared" si="3"/>
        <v>80</v>
      </c>
      <c r="BU133" s="144">
        <f>SUMIF($D$7:$BG$7,"5",$D133:$BG133)</f>
        <v>11</v>
      </c>
      <c r="BV133" s="142">
        <f>SUMIFS($D$9:$BG$9,$D$7:$BG$7,"5",$D133:$BG133,"&gt;"&amp;-1)</f>
        <v>15</v>
      </c>
      <c r="BW133" s="143">
        <f t="shared" si="4"/>
        <v>73.34</v>
      </c>
      <c r="BX133" s="144">
        <f>SUMIF($D$7:$BG$7,"6",$D133:$BG133)</f>
        <v>0</v>
      </c>
      <c r="BY133" s="142">
        <f>SUMIFS($D$9:$BG$9,$D$7:$BG$7,"6",$D133:$BG133,"&gt;"&amp;-1)</f>
        <v>0</v>
      </c>
      <c r="BZ133" s="143">
        <f t="shared" si="5"/>
        <v>0</v>
      </c>
    </row>
    <row r="134" ht="15.75" customHeight="1" spans="1:78" x14ac:dyDescent="0.25">
      <c r="A134" s="153">
        <v>122</v>
      </c>
      <c r="B134" s="154" t="s">
        <v>295</v>
      </c>
      <c r="C134" s="119" t="s">
        <v>296</v>
      </c>
      <c r="D134" s="134"/>
      <c r="E134" s="135"/>
      <c r="F134" s="136"/>
      <c r="G134" s="136"/>
      <c r="H134" s="137"/>
      <c r="I134" s="137"/>
      <c r="J134" s="138"/>
      <c r="K134" s="139"/>
      <c r="L134" s="136"/>
      <c r="M134" s="136"/>
      <c r="N134" s="137"/>
      <c r="O134" s="137"/>
      <c r="P134" s="138"/>
      <c r="Q134" s="138"/>
      <c r="R134" s="137"/>
      <c r="S134" s="137"/>
      <c r="T134" s="140"/>
      <c r="U134" s="134"/>
      <c r="V134" s="135"/>
      <c r="W134" s="136"/>
      <c r="X134" s="136"/>
      <c r="Y134" s="137"/>
      <c r="Z134" s="137"/>
      <c r="AA134" s="138"/>
      <c r="AB134" s="139"/>
      <c r="AC134" s="136"/>
      <c r="AD134" s="136"/>
      <c r="AE134" s="137"/>
      <c r="AF134" s="137"/>
      <c r="AG134" s="138"/>
      <c r="AH134" s="138"/>
      <c r="AI134" s="137"/>
      <c r="AJ134" s="137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127"/>
      <c r="BB134" s="127"/>
      <c r="BC134" s="127"/>
      <c r="BD134" s="127"/>
      <c r="BE134" s="127"/>
      <c r="BF134" s="128"/>
      <c r="BG134" s="129"/>
      <c r="BH134" s="46"/>
      <c r="BI134" s="155">
        <f>SUMIF($D$7:$BG$7,"1",$D134:$BG134)</f>
        <v>0</v>
      </c>
      <c r="BJ134" s="142">
        <f>SUMIFS($D$9:$BG$9,$D$7:$BG$7,"1",$D134:$BG134,"&gt;"&amp;-1)</f>
        <v>0</v>
      </c>
      <c r="BK134" s="143">
        <f t="shared" si="0"/>
        <v>0</v>
      </c>
      <c r="BL134" s="144">
        <f>SUMIF($D$7:$BG$7,"2",$D134:$BG134)</f>
        <v>0</v>
      </c>
      <c r="BM134" s="142">
        <f>SUMIFS($D$9:$BG$9,$D$7:$BG$7,"2",$D134:$BG134,"&gt;"&amp;-1)</f>
        <v>0</v>
      </c>
      <c r="BN134" s="143">
        <f t="shared" si="1"/>
        <v>0</v>
      </c>
      <c r="BO134" s="144">
        <f>SUMIF($D$7:$BG$7,"3",$D134:$BG134)</f>
        <v>0</v>
      </c>
      <c r="BP134" s="142">
        <f>SUMIFS($D$9:$BG$9,$D$7:$BG$7,"3",$D134:$BG134,"&gt;"&amp;-1)</f>
        <v>0</v>
      </c>
      <c r="BQ134" s="143">
        <f t="shared" si="2"/>
        <v>0</v>
      </c>
      <c r="BR134" s="144">
        <f>SUMIF($D$7:$BG$7,"4",$D134:$BG134)</f>
        <v>0</v>
      </c>
      <c r="BS134" s="142">
        <f>SUMIFS($D$9:$BG$9,$D$7:$BG$7,"4",$D134:$BG134,"&gt;"&amp;-1)</f>
        <v>0</v>
      </c>
      <c r="BT134" s="143">
        <f t="shared" si="3"/>
        <v>0</v>
      </c>
      <c r="BU134" s="144">
        <f>SUMIF($D$7:$BG$7,"5",$D134:$BG134)</f>
        <v>0</v>
      </c>
      <c r="BV134" s="142">
        <f>SUMIFS($D$9:$BG$9,$D$7:$BG$7,"5",$D134:$BG134,"&gt;"&amp;-1)</f>
        <v>0</v>
      </c>
      <c r="BW134" s="143">
        <f t="shared" si="4"/>
        <v>0</v>
      </c>
      <c r="BX134" s="144">
        <f>SUMIF($D$7:$BG$7,"6",$D134:$BG134)</f>
        <v>0</v>
      </c>
      <c r="BY134" s="142">
        <f>SUMIFS($D$9:$BG$9,$D$7:$BG$7,"6",$D134:$BG134,"&gt;"&amp;-1)</f>
        <v>0</v>
      </c>
      <c r="BZ134" s="143">
        <f t="shared" si="5"/>
        <v>0</v>
      </c>
    </row>
    <row r="135" ht="15.75" customHeight="1" spans="1:78" x14ac:dyDescent="0.25">
      <c r="A135" s="153">
        <v>123</v>
      </c>
      <c r="B135" s="156" t="s">
        <v>297</v>
      </c>
      <c r="C135" s="119" t="s">
        <v>298</v>
      </c>
      <c r="D135" s="157"/>
      <c r="E135" s="158"/>
      <c r="F135" s="159"/>
      <c r="G135" s="159"/>
      <c r="H135" s="160"/>
      <c r="I135" s="160"/>
      <c r="J135" s="161"/>
      <c r="K135" s="162"/>
      <c r="L135" s="159"/>
      <c r="M135" s="159"/>
      <c r="N135" s="160"/>
      <c r="O135" s="160"/>
      <c r="P135" s="161"/>
      <c r="Q135" s="161"/>
      <c r="R135" s="160"/>
      <c r="S135" s="160"/>
      <c r="T135" s="163"/>
      <c r="U135" s="157"/>
      <c r="V135" s="158"/>
      <c r="W135" s="159"/>
      <c r="X135" s="159"/>
      <c r="Y135" s="160"/>
      <c r="Z135" s="160"/>
      <c r="AA135" s="161"/>
      <c r="AB135" s="162"/>
      <c r="AC135" s="159"/>
      <c r="AD135" s="159"/>
      <c r="AE135" s="160"/>
      <c r="AF135" s="160"/>
      <c r="AG135" s="161"/>
      <c r="AH135" s="161"/>
      <c r="AI135" s="160"/>
      <c r="AJ135" s="160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27"/>
      <c r="BB135" s="127"/>
      <c r="BC135" s="127"/>
      <c r="BD135" s="127"/>
      <c r="BE135" s="127"/>
      <c r="BF135" s="128"/>
      <c r="BG135" s="129"/>
      <c r="BH135" s="46"/>
      <c r="BI135" s="155">
        <f>SUMIF($D$7:$BG$7,"1",$D135:$BG135)</f>
        <v>0</v>
      </c>
      <c r="BJ135" s="142">
        <f>SUMIFS($D$9:$BG$9,$D$7:$BG$7,"1",$D135:$BG135,"&gt;"&amp;-1)</f>
        <v>0</v>
      </c>
      <c r="BK135" s="143">
        <f t="shared" si="0"/>
        <v>0</v>
      </c>
      <c r="BL135" s="144">
        <f>SUMIF($D$7:$BG$7,"2",$D135:$BG135)</f>
        <v>0</v>
      </c>
      <c r="BM135" s="142">
        <f>SUMIFS($D$9:$BG$9,$D$7:$BG$7,"2",$D135:$BG135,"&gt;"&amp;-1)</f>
        <v>0</v>
      </c>
      <c r="BN135" s="143">
        <f t="shared" si="1"/>
        <v>0</v>
      </c>
      <c r="BO135" s="144">
        <f>SUMIF($D$7:$BG$7,"3",$D135:$BG135)</f>
        <v>0</v>
      </c>
      <c r="BP135" s="142">
        <f>SUMIFS($D$9:$BG$9,$D$7:$BG$7,"3",$D135:$BG135,"&gt;"&amp;-1)</f>
        <v>0</v>
      </c>
      <c r="BQ135" s="143">
        <f t="shared" si="2"/>
        <v>0</v>
      </c>
      <c r="BR135" s="144">
        <f>SUMIF($D$7:$BG$7,"4",$D135:$BG135)</f>
        <v>0</v>
      </c>
      <c r="BS135" s="142">
        <f>SUMIFS($D$9:$BG$9,$D$7:$BG$7,"4",$D135:$BG135,"&gt;"&amp;-1)</f>
        <v>0</v>
      </c>
      <c r="BT135" s="143">
        <f t="shared" si="3"/>
        <v>0</v>
      </c>
      <c r="BU135" s="144">
        <f>SUMIF($D$7:$BG$7,"5",$D135:$BG135)</f>
        <v>0</v>
      </c>
      <c r="BV135" s="142">
        <f>SUMIFS($D$9:$BG$9,$D$7:$BG$7,"5",$D135:$BG135,"&gt;"&amp;-1)</f>
        <v>0</v>
      </c>
      <c r="BW135" s="143">
        <f t="shared" si="4"/>
        <v>0</v>
      </c>
      <c r="BX135" s="144">
        <f>SUMIF($D$7:$BG$7,"6",$D135:$BG135)</f>
        <v>0</v>
      </c>
      <c r="BY135" s="142">
        <f>SUMIFS($D$9:$BG$9,$D$7:$BG$7,"6",$D135:$BG135,"&gt;"&amp;-1)</f>
        <v>0</v>
      </c>
      <c r="BZ135" s="143">
        <f t="shared" si="5"/>
        <v>0</v>
      </c>
    </row>
    <row r="136" ht="15.75" customHeight="1" spans="1:78" x14ac:dyDescent="0.25">
      <c r="A136" s="165">
        <v>124</v>
      </c>
      <c r="B136" s="165" t="s">
        <v>299</v>
      </c>
      <c r="C136" s="1" t="s">
        <v>300</v>
      </c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7"/>
      <c r="AB136" s="167"/>
      <c r="AC136" s="166"/>
      <c r="AD136" s="166"/>
      <c r="AE136" s="167"/>
      <c r="AF136" s="167"/>
      <c r="AG136" s="166"/>
      <c r="AH136" s="166"/>
      <c r="AI136" s="166"/>
      <c r="AJ136" s="166"/>
      <c r="AK136" s="166"/>
      <c r="AL136" s="166"/>
      <c r="AM136" s="166">
        <f>SUMIF($D$6:$AJ$6,"IA-1",D136:AJ136)+AK136+AL136</f>
      </c>
      <c r="AN136" s="166"/>
      <c r="AO136" s="166"/>
      <c r="AP136" s="166">
        <f>SUMIF($D$6:$AJ$6,"IA-2",D136:AJ136)+AN136+AO136</f>
      </c>
      <c r="AQ136" s="166"/>
      <c r="AR136" s="166"/>
      <c r="AS136" s="166"/>
      <c r="AT136" s="166"/>
      <c r="AU136" s="167"/>
      <c r="AV136" s="167"/>
      <c r="AW136" s="166"/>
      <c r="AX136" s="166"/>
      <c r="AY136" s="166"/>
      <c r="AZ136" s="166"/>
      <c r="BA136" s="168"/>
      <c r="BB136" s="168"/>
      <c r="BC136" s="168"/>
      <c r="BD136" s="168"/>
      <c r="BE136" s="168"/>
      <c r="BF136" s="169"/>
      <c r="BG136" s="170"/>
      <c r="BH136" s="46"/>
      <c r="BI136" s="155">
        <f>SUMIF($D$7:$BG$7,"1",$D136:$BG136)</f>
        <v>0</v>
      </c>
      <c r="BJ136" s="142">
        <f>SUMIFS($D$9:$BG$9,$D$7:$BG$7,"1",$D136:$BG136,"&gt;"&amp;-1)</f>
        <v>0</v>
      </c>
      <c r="BK136" s="143">
        <f t="shared" si="0"/>
        <v>0</v>
      </c>
      <c r="BL136" s="144">
        <f>SUMIF($D$7:$BG$7,"2",$D136:$BG136)</f>
        <v>0</v>
      </c>
      <c r="BM136" s="142">
        <f>SUMIFS($D$9:$BG$9,$D$7:$BG$7,"2",$D136:$BG136,"&gt;"&amp;-1)</f>
        <v>0</v>
      </c>
      <c r="BN136" s="143">
        <f t="shared" si="1"/>
        <v>0</v>
      </c>
      <c r="BO136" s="144">
        <f>SUMIF($D$7:$BG$7,"3",$D136:$BG136)</f>
        <v>0</v>
      </c>
      <c r="BP136" s="142">
        <f>SUMIFS($D$9:$BG$9,$D$7:$BG$7,"3",$D136:$BG136,"&gt;"&amp;-1)</f>
        <v>0</v>
      </c>
      <c r="BQ136" s="143">
        <f t="shared" si="2"/>
        <v>0</v>
      </c>
      <c r="BR136" s="144">
        <f>SUMIF($D$7:$BG$7,"4",$D136:$BG136)</f>
        <v>0</v>
      </c>
      <c r="BS136" s="142">
        <f>SUMIFS($D$9:$BG$9,$D$7:$BG$7,"4",$D136:$BG136,"&gt;"&amp;-1)</f>
        <v>0</v>
      </c>
      <c r="BT136" s="143">
        <f t="shared" si="3"/>
        <v>0</v>
      </c>
      <c r="BU136" s="144">
        <f>SUMIF($D$7:$BG$7,"5",$D136:$BG136)</f>
        <v>0</v>
      </c>
      <c r="BV136" s="142">
        <f>SUMIFS($D$9:$BG$9,$D$7:$BG$7,"5",$D136:$BG136,"&gt;"&amp;-1)</f>
        <v>0</v>
      </c>
      <c r="BW136" s="143">
        <f t="shared" si="4"/>
        <v>0</v>
      </c>
      <c r="BX136" s="144">
        <f>SUMIF($D$7:$BG$7,"6",$D136:$BG136)</f>
        <v>0</v>
      </c>
      <c r="BY136" s="142">
        <f>SUMIFS($D$9:$BG$9,$D$7:$BG$7,"6",$D136:$BG136,"&gt;"&amp;-1)</f>
        <v>0</v>
      </c>
      <c r="BZ136" s="143">
        <f t="shared" si="5"/>
        <v>0</v>
      </c>
    </row>
    <row r="137" ht="15.75" customHeight="1" spans="1:78" x14ac:dyDescent="0.25">
      <c r="A137" s="165">
        <v>125</v>
      </c>
      <c r="B137" s="165" t="s">
        <v>301</v>
      </c>
      <c r="C137" s="1" t="s">
        <v>302</v>
      </c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7"/>
      <c r="AB137" s="167"/>
      <c r="AC137" s="166"/>
      <c r="AD137" s="166"/>
      <c r="AE137" s="167"/>
      <c r="AF137" s="167"/>
      <c r="AG137" s="166"/>
      <c r="AH137" s="166"/>
      <c r="AI137" s="166"/>
      <c r="AJ137" s="166"/>
      <c r="AK137" s="166"/>
      <c r="AL137" s="165"/>
      <c r="AM137" s="165">
        <f>SUMIF($D$6:$AJ$6,"IA-1",D137:AJ137)+AK137+AL137</f>
      </c>
      <c r="AN137" s="165"/>
      <c r="AO137" s="165"/>
      <c r="AP137" s="165">
        <f>SUMIF($D$6:$AJ$6,"IA-2",D137:AJ137)+AN137+AO137</f>
      </c>
      <c r="AQ137" s="165"/>
      <c r="AR137" s="165"/>
      <c r="AS137" s="165"/>
      <c r="AT137" s="165"/>
      <c r="AU137" s="167"/>
      <c r="AV137" s="167"/>
      <c r="AW137" s="165"/>
      <c r="AX137" s="165"/>
      <c r="AY137" s="165"/>
      <c r="AZ137" s="165"/>
      <c r="BA137" s="168"/>
      <c r="BB137" s="168"/>
      <c r="BC137" s="168"/>
      <c r="BD137" s="168"/>
      <c r="BE137" s="168"/>
      <c r="BF137" s="169"/>
      <c r="BG137" s="170"/>
      <c r="BH137" s="46"/>
      <c r="BI137" s="155">
        <f>SUMIF($D$7:$BG$7,"1",$D137:$BG137)</f>
        <v>0</v>
      </c>
      <c r="BJ137" s="142">
        <f>SUMIFS($D$9:$BG$9,$D$7:$BG$7,"1",$D137:$BG137,"&gt;"&amp;-1)</f>
        <v>0</v>
      </c>
      <c r="BK137" s="143">
        <f t="shared" si="0"/>
        <v>0</v>
      </c>
      <c r="BL137" s="144">
        <f>SUMIF($D$7:$BG$7,"2",$D137:$BG137)</f>
        <v>0</v>
      </c>
      <c r="BM137" s="142">
        <f>SUMIFS($D$9:$BG$9,$D$7:$BG$7,"2",$D137:$BG137,"&gt;"&amp;-1)</f>
        <v>0</v>
      </c>
      <c r="BN137" s="143">
        <f t="shared" si="1"/>
        <v>0</v>
      </c>
      <c r="BO137" s="144">
        <f>SUMIF($D$7:$BG$7,"3",$D137:$BG137)</f>
        <v>0</v>
      </c>
      <c r="BP137" s="142">
        <f>SUMIFS($D$9:$BG$9,$D$7:$BG$7,"3",$D137:$BG137,"&gt;"&amp;-1)</f>
        <v>0</v>
      </c>
      <c r="BQ137" s="143">
        <f t="shared" si="2"/>
        <v>0</v>
      </c>
      <c r="BR137" s="144">
        <f>SUMIF($D$7:$BG$7,"4",$D137:$BG137)</f>
        <v>0</v>
      </c>
      <c r="BS137" s="142">
        <f>SUMIFS($D$9:$BG$9,$D$7:$BG$7,"4",$D137:$BG137,"&gt;"&amp;-1)</f>
        <v>0</v>
      </c>
      <c r="BT137" s="143">
        <f t="shared" si="3"/>
        <v>0</v>
      </c>
      <c r="BU137" s="144">
        <f>SUMIF($D$7:$BG$7,"5",$D137:$BG137)</f>
        <v>0</v>
      </c>
      <c r="BV137" s="142">
        <f>SUMIFS($D$9:$BG$9,$D$7:$BG$7,"5",$D137:$BG137,"&gt;"&amp;-1)</f>
        <v>0</v>
      </c>
      <c r="BW137" s="143">
        <f t="shared" si="4"/>
        <v>0</v>
      </c>
      <c r="BX137" s="144">
        <f>SUMIF($D$7:$BG$7,"6",$D137:$BG137)</f>
        <v>0</v>
      </c>
      <c r="BY137" s="142">
        <f>SUMIFS($D$9:$BG$9,$D$7:$BG$7,"6",$D137:$BG137,"&gt;"&amp;-1)</f>
        <v>0</v>
      </c>
      <c r="BZ137" s="143">
        <f t="shared" si="5"/>
        <v>0</v>
      </c>
    </row>
    <row r="138" ht="15.75" customHeight="1" spans="1:78" x14ac:dyDescent="0.25">
      <c r="A138" s="165">
        <v>126</v>
      </c>
      <c r="B138" s="165" t="s">
        <v>303</v>
      </c>
      <c r="C138" s="1" t="s">
        <v>304</v>
      </c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7"/>
      <c r="AB138" s="167"/>
      <c r="AC138" s="166"/>
      <c r="AD138" s="166"/>
      <c r="AE138" s="167"/>
      <c r="AF138" s="167"/>
      <c r="AG138" s="166"/>
      <c r="AH138" s="166"/>
      <c r="AI138" s="166"/>
      <c r="AJ138" s="166"/>
      <c r="AK138" s="166"/>
      <c r="AL138" s="166"/>
      <c r="AM138" s="166">
        <f>SUMIF($D$6:$AJ$6,"IA-1",D138:AJ138)+AK138+AL138</f>
      </c>
      <c r="AN138" s="166"/>
      <c r="AO138" s="166"/>
      <c r="AP138" s="166">
        <f>SUMIF($D$6:$AJ$6,"IA-2",D138:AJ138)+AN138+AO138</f>
      </c>
      <c r="AQ138" s="166"/>
      <c r="AR138" s="166"/>
      <c r="AS138" s="166"/>
      <c r="AT138" s="166"/>
      <c r="AU138" s="167"/>
      <c r="AV138" s="167"/>
      <c r="AW138" s="166"/>
      <c r="AX138" s="166"/>
      <c r="AY138" s="166"/>
      <c r="AZ138" s="166"/>
      <c r="BA138" s="168"/>
      <c r="BB138" s="168"/>
      <c r="BC138" s="168"/>
      <c r="BD138" s="168"/>
      <c r="BE138" s="168"/>
      <c r="BF138" s="169"/>
      <c r="BG138" s="170"/>
      <c r="BH138" s="46"/>
      <c r="BI138" s="155">
        <f>SUMIF($D$7:$BG$7,"1",$D138:$BG138)</f>
        <v>0</v>
      </c>
      <c r="BJ138" s="142">
        <f>SUMIFS($D$9:$BG$9,$D$7:$BG$7,"1",$D138:$BG138,"&gt;"&amp;-1)</f>
        <v>0</v>
      </c>
      <c r="BK138" s="143">
        <f t="shared" si="0"/>
        <v>0</v>
      </c>
      <c r="BL138" s="144">
        <f>SUMIF($D$7:$BG$7,"2",$D138:$BG138)</f>
        <v>0</v>
      </c>
      <c r="BM138" s="142">
        <f>SUMIFS($D$9:$BG$9,$D$7:$BG$7,"2",$D138:$BG138,"&gt;"&amp;-1)</f>
        <v>0</v>
      </c>
      <c r="BN138" s="143">
        <f t="shared" si="1"/>
        <v>0</v>
      </c>
      <c r="BO138" s="144">
        <f>SUMIF($D$7:$BG$7,"3",$D138:$BG138)</f>
        <v>0</v>
      </c>
      <c r="BP138" s="142">
        <f>SUMIFS($D$9:$BG$9,$D$7:$BG$7,"3",$D138:$BG138,"&gt;"&amp;-1)</f>
        <v>0</v>
      </c>
      <c r="BQ138" s="143">
        <f t="shared" si="2"/>
        <v>0</v>
      </c>
      <c r="BR138" s="144">
        <f>SUMIF($D$7:$BG$7,"4",$D138:$BG138)</f>
        <v>0</v>
      </c>
      <c r="BS138" s="142">
        <f>SUMIFS($D$9:$BG$9,$D$7:$BG$7,"4",$D138:$BG138,"&gt;"&amp;-1)</f>
        <v>0</v>
      </c>
      <c r="BT138" s="143">
        <f t="shared" si="3"/>
        <v>0</v>
      </c>
      <c r="BU138" s="144">
        <f>SUMIF($D$7:$BG$7,"5",$D138:$BG138)</f>
        <v>0</v>
      </c>
      <c r="BV138" s="142">
        <f>SUMIFS($D$9:$BG$9,$D$7:$BG$7,"5",$D138:$BG138,"&gt;"&amp;-1)</f>
        <v>0</v>
      </c>
      <c r="BW138" s="143">
        <f t="shared" si="4"/>
        <v>0</v>
      </c>
      <c r="BX138" s="144">
        <f>SUMIF($D$7:$BG$7,"6",$D138:$BG138)</f>
        <v>0</v>
      </c>
      <c r="BY138" s="142">
        <f>SUMIFS($D$9:$BG$9,$D$7:$BG$7,"6",$D138:$BG138,"&gt;"&amp;-1)</f>
        <v>0</v>
      </c>
      <c r="BZ138" s="143">
        <f t="shared" si="5"/>
        <v>0</v>
      </c>
    </row>
    <row r="139" ht="15.75" customHeight="1" spans="1:78" x14ac:dyDescent="0.25">
      <c r="A139" s="165">
        <v>127</v>
      </c>
      <c r="B139" s="165" t="s">
        <v>305</v>
      </c>
      <c r="C139" s="1" t="s">
        <v>306</v>
      </c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7"/>
      <c r="AB139" s="167"/>
      <c r="AC139" s="166"/>
      <c r="AD139" s="166"/>
      <c r="AE139" s="167"/>
      <c r="AF139" s="167"/>
      <c r="AG139" s="166"/>
      <c r="AH139" s="166"/>
      <c r="AI139" s="166"/>
      <c r="AJ139" s="166"/>
      <c r="AK139" s="166"/>
      <c r="AL139" s="165"/>
      <c r="AM139" s="165">
        <f>SUMIF($D$6:$AJ$6,"IA-1",D139:AJ139)+AK139+AL139</f>
      </c>
      <c r="AN139" s="165"/>
      <c r="AO139" s="165"/>
      <c r="AP139" s="165">
        <f>SUMIF($D$6:$AJ$6,"IA-2",D139:AJ139)+AN139+AO139</f>
      </c>
      <c r="AQ139" s="165"/>
      <c r="AR139" s="165"/>
      <c r="AS139" s="165"/>
      <c r="AT139" s="165"/>
      <c r="AU139" s="167"/>
      <c r="AV139" s="167"/>
      <c r="AW139" s="165"/>
      <c r="AX139" s="165"/>
      <c r="AY139" s="165"/>
      <c r="AZ139" s="165"/>
      <c r="BA139" s="168"/>
      <c r="BB139" s="168"/>
      <c r="BC139" s="168"/>
      <c r="BD139" s="168"/>
      <c r="BE139" s="168"/>
      <c r="BF139" s="169"/>
      <c r="BG139" s="170"/>
      <c r="BH139" s="46"/>
      <c r="BI139" s="155">
        <f>SUMIF($D$7:$BG$7,"1",$D139:$BG139)</f>
        <v>0</v>
      </c>
      <c r="BJ139" s="142">
        <f>SUMIFS($D$9:$BG$9,$D$7:$BG$7,"1",$D139:$BG139,"&gt;"&amp;-1)</f>
        <v>0</v>
      </c>
      <c r="BK139" s="143">
        <f t="shared" si="0"/>
        <v>0</v>
      </c>
      <c r="BL139" s="144">
        <f>SUMIF($D$7:$BG$7,"2",$D139:$BG139)</f>
        <v>0</v>
      </c>
      <c r="BM139" s="142">
        <f>SUMIFS($D$9:$BG$9,$D$7:$BG$7,"2",$D139:$BG139,"&gt;"&amp;-1)</f>
        <v>0</v>
      </c>
      <c r="BN139" s="143">
        <f t="shared" si="1"/>
        <v>0</v>
      </c>
      <c r="BO139" s="144">
        <f>SUMIF($D$7:$BG$7,"3",$D139:$BG139)</f>
        <v>0</v>
      </c>
      <c r="BP139" s="142">
        <f>SUMIFS($D$9:$BG$9,$D$7:$BG$7,"3",$D139:$BG139,"&gt;"&amp;-1)</f>
        <v>0</v>
      </c>
      <c r="BQ139" s="143">
        <f t="shared" si="2"/>
        <v>0</v>
      </c>
      <c r="BR139" s="144">
        <f>SUMIF($D$7:$BG$7,"4",$D139:$BG139)</f>
        <v>0</v>
      </c>
      <c r="BS139" s="142">
        <f>SUMIFS($D$9:$BG$9,$D$7:$BG$7,"4",$D139:$BG139,"&gt;"&amp;-1)</f>
        <v>0</v>
      </c>
      <c r="BT139" s="143">
        <f t="shared" si="3"/>
        <v>0</v>
      </c>
      <c r="BU139" s="144">
        <f>SUMIF($D$7:$BG$7,"5",$D139:$BG139)</f>
        <v>0</v>
      </c>
      <c r="BV139" s="142">
        <f>SUMIFS($D$9:$BG$9,$D$7:$BG$7,"5",$D139:$BG139,"&gt;"&amp;-1)</f>
        <v>0</v>
      </c>
      <c r="BW139" s="143">
        <f t="shared" si="4"/>
        <v>0</v>
      </c>
      <c r="BX139" s="144">
        <f>SUMIF($D$7:$BG$7,"6",$D139:$BG139)</f>
        <v>0</v>
      </c>
      <c r="BY139" s="142">
        <f>SUMIFS($D$9:$BG$9,$D$7:$BG$7,"6",$D139:$BG139,"&gt;"&amp;-1)</f>
        <v>0</v>
      </c>
      <c r="BZ139" s="143">
        <f t="shared" si="5"/>
        <v>0</v>
      </c>
    </row>
    <row r="140" ht="15.75" customHeight="1" spans="1:78" x14ac:dyDescent="0.25">
      <c r="A140" s="165">
        <v>128</v>
      </c>
      <c r="B140" s="165" t="s">
        <v>307</v>
      </c>
      <c r="C140" s="1" t="s">
        <v>308</v>
      </c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7"/>
      <c r="AB140" s="167"/>
      <c r="AC140" s="166"/>
      <c r="AD140" s="166"/>
      <c r="AE140" s="167"/>
      <c r="AF140" s="167"/>
      <c r="AG140" s="166"/>
      <c r="AH140" s="166"/>
      <c r="AI140" s="166"/>
      <c r="AJ140" s="166"/>
      <c r="AK140" s="166"/>
      <c r="AL140" s="166"/>
      <c r="AM140" s="166">
        <f>SUMIF($D$6:$AJ$6,"IA-1",D140:AJ140)+AK140+AL140</f>
      </c>
      <c r="AN140" s="166"/>
      <c r="AO140" s="166"/>
      <c r="AP140" s="166">
        <f>SUMIF($D$6:$AJ$6,"IA-2",D140:AJ140)+AN140+AO140</f>
      </c>
      <c r="AQ140" s="166"/>
      <c r="AR140" s="166"/>
      <c r="AS140" s="166"/>
      <c r="AT140" s="166"/>
      <c r="AU140" s="167"/>
      <c r="AV140" s="167"/>
      <c r="AW140" s="166"/>
      <c r="AX140" s="166"/>
      <c r="AY140" s="166"/>
      <c r="AZ140" s="166"/>
      <c r="BA140" s="168"/>
      <c r="BB140" s="168"/>
      <c r="BC140" s="168"/>
      <c r="BD140" s="168"/>
      <c r="BE140" s="168"/>
      <c r="BF140" s="169"/>
      <c r="BG140" s="170"/>
      <c r="BH140" s="46"/>
      <c r="BI140" s="155">
        <f>SUMIF($D$7:$BG$7,"1",$D140:$BG140)</f>
        <v>0</v>
      </c>
      <c r="BJ140" s="142">
        <f>SUMIFS($D$9:$BG$9,$D$7:$BG$7,"1",$D140:$BG140,"&gt;"&amp;-1)</f>
        <v>0</v>
      </c>
      <c r="BK140" s="143">
        <f t="shared" si="0"/>
        <v>0</v>
      </c>
      <c r="BL140" s="144">
        <f>SUMIF($D$7:$BG$7,"2",$D140:$BG140)</f>
        <v>0</v>
      </c>
      <c r="BM140" s="142">
        <f>SUMIFS($D$9:$BG$9,$D$7:$BG$7,"2",$D140:$BG140,"&gt;"&amp;-1)</f>
        <v>0</v>
      </c>
      <c r="BN140" s="143">
        <f t="shared" si="1"/>
        <v>0</v>
      </c>
      <c r="BO140" s="144">
        <f>SUMIF($D$7:$BG$7,"3",$D140:$BG140)</f>
        <v>0</v>
      </c>
      <c r="BP140" s="142">
        <f>SUMIFS($D$9:$BG$9,$D$7:$BG$7,"3",$D140:$BG140,"&gt;"&amp;-1)</f>
        <v>0</v>
      </c>
      <c r="BQ140" s="143">
        <f t="shared" si="2"/>
        <v>0</v>
      </c>
      <c r="BR140" s="144">
        <f>SUMIF($D$7:$BG$7,"4",$D140:$BG140)</f>
        <v>0</v>
      </c>
      <c r="BS140" s="142">
        <f>SUMIFS($D$9:$BG$9,$D$7:$BG$7,"4",$D140:$BG140,"&gt;"&amp;-1)</f>
        <v>0</v>
      </c>
      <c r="BT140" s="143">
        <f t="shared" si="3"/>
        <v>0</v>
      </c>
      <c r="BU140" s="144">
        <f>SUMIF($D$7:$BG$7,"5",$D140:$BG140)</f>
        <v>0</v>
      </c>
      <c r="BV140" s="142">
        <f>SUMIFS($D$9:$BG$9,$D$7:$BG$7,"5",$D140:$BG140,"&gt;"&amp;-1)</f>
        <v>0</v>
      </c>
      <c r="BW140" s="143">
        <f t="shared" si="4"/>
        <v>0</v>
      </c>
      <c r="BX140" s="144">
        <f>SUMIF($D$7:$BG$7,"6",$D140:$BG140)</f>
        <v>0</v>
      </c>
      <c r="BY140" s="142">
        <f>SUMIFS($D$9:$BG$9,$D$7:$BG$7,"6",$D140:$BG140,"&gt;"&amp;-1)</f>
        <v>0</v>
      </c>
      <c r="BZ140" s="143">
        <f t="shared" si="5"/>
        <v>0</v>
      </c>
    </row>
    <row r="141" ht="15.75" customHeight="1" spans="1:78" x14ac:dyDescent="0.25">
      <c r="A141" s="165">
        <v>129</v>
      </c>
      <c r="B141" s="165" t="s">
        <v>309</v>
      </c>
      <c r="C141" s="1" t="s">
        <v>310</v>
      </c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7"/>
      <c r="AB141" s="167"/>
      <c r="AC141" s="166"/>
      <c r="AD141" s="166"/>
      <c r="AE141" s="167"/>
      <c r="AF141" s="167"/>
      <c r="AG141" s="166"/>
      <c r="AH141" s="166"/>
      <c r="AI141" s="166"/>
      <c r="AJ141" s="166"/>
      <c r="AK141" s="166"/>
      <c r="AL141" s="165"/>
      <c r="AM141" s="165">
        <f>SUMIF($D$6:$AJ$6,"IA-1",D141:AJ141)+AK141+AL141</f>
      </c>
      <c r="AN141" s="165"/>
      <c r="AO141" s="165"/>
      <c r="AP141" s="165">
        <f>SUMIF($D$6:$AJ$6,"IA-2",D141:AJ141)+AN141+AO141</f>
      </c>
      <c r="AQ141" s="165"/>
      <c r="AR141" s="165"/>
      <c r="AS141" s="165"/>
      <c r="AT141" s="165"/>
      <c r="AU141" s="167"/>
      <c r="AV141" s="167"/>
      <c r="AW141" s="165"/>
      <c r="AX141" s="165"/>
      <c r="AY141" s="165"/>
      <c r="AZ141" s="165"/>
      <c r="BA141" s="168"/>
      <c r="BB141" s="168"/>
      <c r="BC141" s="168"/>
      <c r="BD141" s="168"/>
      <c r="BE141" s="168"/>
      <c r="BF141" s="169"/>
      <c r="BG141" s="170"/>
      <c r="BH141" s="46"/>
      <c r="BI141" s="155">
        <f>SUMIF($D$7:$BG$7,"1",$D141:$BG141)</f>
        <v>0</v>
      </c>
      <c r="BJ141" s="142">
        <f>SUMIFS($D$9:$BG$9,$D$7:$BG$7,"1",$D141:$BG141,"&gt;"&amp;-1)</f>
        <v>0</v>
      </c>
      <c r="BK141" s="143">
        <f t="shared" si="0"/>
        <v>0</v>
      </c>
      <c r="BL141" s="144">
        <f>SUMIF($D$7:$BG$7,"2",$D141:$BG141)</f>
        <v>0</v>
      </c>
      <c r="BM141" s="142">
        <f>SUMIFS($D$9:$BG$9,$D$7:$BG$7,"2",$D141:$BG141,"&gt;"&amp;-1)</f>
        <v>0</v>
      </c>
      <c r="BN141" s="143">
        <f t="shared" si="1"/>
        <v>0</v>
      </c>
      <c r="BO141" s="144">
        <f>SUMIF($D$7:$BG$7,"3",$D141:$BG141)</f>
        <v>0</v>
      </c>
      <c r="BP141" s="142">
        <f>SUMIFS($D$9:$BG$9,$D$7:$BG$7,"3",$D141:$BG141,"&gt;"&amp;-1)</f>
        <v>0</v>
      </c>
      <c r="BQ141" s="143">
        <f t="shared" si="2"/>
        <v>0</v>
      </c>
      <c r="BR141" s="144">
        <f>SUMIF($D$7:$BG$7,"4",$D141:$BG141)</f>
        <v>0</v>
      </c>
      <c r="BS141" s="142">
        <f>SUMIFS($D$9:$BG$9,$D$7:$BG$7,"4",$D141:$BG141,"&gt;"&amp;-1)</f>
        <v>0</v>
      </c>
      <c r="BT141" s="143">
        <f t="shared" si="3"/>
        <v>0</v>
      </c>
      <c r="BU141" s="144">
        <f>SUMIF($D$7:$BG$7,"5",$D141:$BG141)</f>
        <v>0</v>
      </c>
      <c r="BV141" s="142">
        <f>SUMIFS($D$9:$BG$9,$D$7:$BG$7,"5",$D141:$BG141,"&gt;"&amp;-1)</f>
        <v>0</v>
      </c>
      <c r="BW141" s="143">
        <f t="shared" si="4"/>
        <v>0</v>
      </c>
      <c r="BX141" s="144">
        <f>SUMIF($D$7:$BG$7,"6",$D141:$BG141)</f>
        <v>0</v>
      </c>
      <c r="BY141" s="142">
        <f>SUMIFS($D$9:$BG$9,$D$7:$BG$7,"6",$D141:$BG141,"&gt;"&amp;-1)</f>
        <v>0</v>
      </c>
      <c r="BZ141" s="143">
        <f t="shared" si="5"/>
        <v>0</v>
      </c>
    </row>
    <row r="142" ht="15.75" customHeight="1" spans="1:78" x14ac:dyDescent="0.25">
      <c r="A142" s="165">
        <v>130</v>
      </c>
      <c r="B142" s="165" t="s">
        <v>311</v>
      </c>
      <c r="C142" s="1" t="s">
        <v>312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6"/>
      <c r="V142" s="166"/>
      <c r="W142" s="165"/>
      <c r="X142" s="165"/>
      <c r="Y142" s="166"/>
      <c r="Z142" s="166"/>
      <c r="AA142" s="167"/>
      <c r="AB142" s="167"/>
      <c r="AC142" s="166"/>
      <c r="AD142" s="166"/>
      <c r="AE142" s="167"/>
      <c r="AF142" s="167"/>
      <c r="AG142" s="166"/>
      <c r="AH142" s="166"/>
      <c r="AI142" s="166"/>
      <c r="AJ142" s="166"/>
      <c r="AK142" s="166"/>
      <c r="AL142" s="166"/>
      <c r="AM142" s="166">
        <f>SUMIF($D$6:$AJ$6,"IA-1",D142:AJ142)+AK142+AL142</f>
      </c>
      <c r="AN142" s="166"/>
      <c r="AO142" s="166"/>
      <c r="AP142" s="166">
        <f>SUMIF($D$6:$AJ$6,"IA-2",D142:AJ142)+AN142+AO142</f>
      </c>
      <c r="AQ142" s="166"/>
      <c r="AR142" s="166"/>
      <c r="AS142" s="166"/>
      <c r="AT142" s="166"/>
      <c r="AU142" s="167"/>
      <c r="AV142" s="167"/>
      <c r="AW142" s="166"/>
      <c r="AX142" s="166"/>
      <c r="AY142" s="166"/>
      <c r="AZ142" s="166"/>
      <c r="BA142" s="168"/>
      <c r="BB142" s="168"/>
      <c r="BC142" s="168"/>
      <c r="BD142" s="168"/>
      <c r="BE142" s="168"/>
      <c r="BF142" s="169"/>
      <c r="BG142" s="170"/>
      <c r="BH142" s="46"/>
      <c r="BI142" s="155">
        <f>SUMIF($D$7:$BG$7,"1",$D142:$BG142)</f>
        <v>0</v>
      </c>
      <c r="BJ142" s="142">
        <f>SUMIFS($D$9:$BG$9,$D$7:$BG$7,"1",$D142:$BG142,"&gt;"&amp;-1)</f>
        <v>0</v>
      </c>
      <c r="BK142" s="143">
        <f t="shared" si="0"/>
        <v>0</v>
      </c>
      <c r="BL142" s="144">
        <f>SUMIF($D$7:$BG$7,"2",$D142:$BG142)</f>
        <v>0</v>
      </c>
      <c r="BM142" s="142">
        <f>SUMIFS($D$9:$BG$9,$D$7:$BG$7,"2",$D142:$BG142,"&gt;"&amp;-1)</f>
        <v>0</v>
      </c>
      <c r="BN142" s="143">
        <f t="shared" si="1"/>
        <v>0</v>
      </c>
      <c r="BO142" s="144">
        <f>SUMIF($D$7:$BG$7,"3",$D142:$BG142)</f>
        <v>0</v>
      </c>
      <c r="BP142" s="142">
        <f>SUMIFS($D$9:$BG$9,$D$7:$BG$7,"3",$D142:$BG142,"&gt;"&amp;-1)</f>
        <v>0</v>
      </c>
      <c r="BQ142" s="143">
        <f t="shared" si="2"/>
        <v>0</v>
      </c>
      <c r="BR142" s="144">
        <f>SUMIF($D$7:$BG$7,"4",$D142:$BG142)</f>
        <v>0</v>
      </c>
      <c r="BS142" s="142">
        <f>SUMIFS($D$9:$BG$9,$D$7:$BG$7,"4",$D142:$BG142,"&gt;"&amp;-1)</f>
        <v>0</v>
      </c>
      <c r="BT142" s="143">
        <f t="shared" si="3"/>
        <v>0</v>
      </c>
      <c r="BU142" s="144">
        <f>SUMIF($D$7:$BG$7,"5",$D142:$BG142)</f>
        <v>0</v>
      </c>
      <c r="BV142" s="142">
        <f>SUMIFS($D$9:$BG$9,$D$7:$BG$7,"5",$D142:$BG142,"&gt;"&amp;-1)</f>
        <v>0</v>
      </c>
      <c r="BW142" s="143">
        <f t="shared" si="4"/>
        <v>0</v>
      </c>
      <c r="BX142" s="144">
        <f>SUMIF($D$7:$BG$7,"6",$D142:$BG142)</f>
        <v>0</v>
      </c>
      <c r="BY142" s="142">
        <f>SUMIFS($D$9:$BG$9,$D$7:$BG$7,"6",$D142:$BG142,"&gt;"&amp;-1)</f>
        <v>0</v>
      </c>
      <c r="BZ142" s="143">
        <f t="shared" si="5"/>
        <v>0</v>
      </c>
    </row>
    <row r="143" ht="15.75" customHeight="1" spans="1:78" x14ac:dyDescent="0.25">
      <c r="A143" s="165">
        <v>131</v>
      </c>
      <c r="B143" s="165" t="s">
        <v>313</v>
      </c>
      <c r="C143" s="1" t="s">
        <v>314</v>
      </c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7"/>
      <c r="AB143" s="167"/>
      <c r="AC143" s="166"/>
      <c r="AD143" s="166"/>
      <c r="AE143" s="167"/>
      <c r="AF143" s="167"/>
      <c r="AG143" s="166"/>
      <c r="AH143" s="166"/>
      <c r="AI143" s="166"/>
      <c r="AJ143" s="166"/>
      <c r="AK143" s="166"/>
      <c r="AL143" s="166"/>
      <c r="AM143" s="166">
        <f>SUMIF($D$6:$AJ$6,"IA-1",D143:AJ143)+AK143+AL143</f>
      </c>
      <c r="AN143" s="166"/>
      <c r="AO143" s="166"/>
      <c r="AP143" s="166">
        <f>SUMIF($D$6:$AJ$6,"IA-2",D143:AJ143)+AN143+AO143</f>
      </c>
      <c r="AQ143" s="166"/>
      <c r="AR143" s="166"/>
      <c r="AS143" s="166"/>
      <c r="AT143" s="166"/>
      <c r="AU143" s="167"/>
      <c r="AV143" s="167"/>
      <c r="AW143" s="166"/>
      <c r="AX143" s="166"/>
      <c r="AY143" s="166"/>
      <c r="AZ143" s="166"/>
      <c r="BA143" s="168"/>
      <c r="BB143" s="168"/>
      <c r="BC143" s="168"/>
      <c r="BD143" s="168"/>
      <c r="BE143" s="168"/>
      <c r="BF143" s="169"/>
      <c r="BG143" s="170"/>
      <c r="BH143" s="46"/>
      <c r="BI143" s="155">
        <f>SUMIF($D$7:$BG$7,"1",$D143:$BG143)</f>
        <v>0</v>
      </c>
      <c r="BJ143" s="142">
        <f>SUMIFS($D$9:$BG$9,$D$7:$BG$7,"1",$D143:$BG143,"&gt;"&amp;-1)</f>
        <v>0</v>
      </c>
      <c r="BK143" s="143">
        <f t="shared" si="0"/>
        <v>0</v>
      </c>
      <c r="BL143" s="144">
        <f>SUMIF($D$7:$BG$7,"2",$D143:$BG143)</f>
        <v>0</v>
      </c>
      <c r="BM143" s="142">
        <f>SUMIFS($D$9:$BG$9,$D$7:$BG$7,"2",$D143:$BG143,"&gt;"&amp;-1)</f>
        <v>0</v>
      </c>
      <c r="BN143" s="143">
        <f t="shared" si="1"/>
        <v>0</v>
      </c>
      <c r="BO143" s="144">
        <f>SUMIF($D$7:$BG$7,"3",$D143:$BG143)</f>
        <v>0</v>
      </c>
      <c r="BP143" s="142">
        <f>SUMIFS($D$9:$BG$9,$D$7:$BG$7,"3",$D143:$BG143,"&gt;"&amp;-1)</f>
        <v>0</v>
      </c>
      <c r="BQ143" s="143">
        <f t="shared" si="2"/>
        <v>0</v>
      </c>
      <c r="BR143" s="144">
        <f>SUMIF($D$7:$BG$7,"4",$D143:$BG143)</f>
        <v>0</v>
      </c>
      <c r="BS143" s="142">
        <f>SUMIFS($D$9:$BG$9,$D$7:$BG$7,"4",$D143:$BG143,"&gt;"&amp;-1)</f>
        <v>0</v>
      </c>
      <c r="BT143" s="143">
        <f t="shared" si="3"/>
        <v>0</v>
      </c>
      <c r="BU143" s="144">
        <f>SUMIF($D$7:$BG$7,"5",$D143:$BG143)</f>
        <v>0</v>
      </c>
      <c r="BV143" s="142">
        <f>SUMIFS($D$9:$BG$9,$D$7:$BG$7,"5",$D143:$BG143,"&gt;"&amp;-1)</f>
        <v>0</v>
      </c>
      <c r="BW143" s="143">
        <f t="shared" si="4"/>
        <v>0</v>
      </c>
      <c r="BX143" s="144">
        <f>SUMIF($D$7:$BG$7,"6",$D143:$BG143)</f>
        <v>0</v>
      </c>
      <c r="BY143" s="142">
        <f>SUMIFS($D$9:$BG$9,$D$7:$BG$7,"6",$D143:$BG143,"&gt;"&amp;-1)</f>
        <v>0</v>
      </c>
      <c r="BZ143" s="143">
        <f t="shared" si="5"/>
        <v>0</v>
      </c>
    </row>
    <row r="144" ht="15.75" customHeight="1" spans="1:78" x14ac:dyDescent="0.25">
      <c r="A144" s="165">
        <v>132</v>
      </c>
      <c r="B144" s="165" t="s">
        <v>315</v>
      </c>
      <c r="C144" s="1" t="s">
        <v>316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6"/>
      <c r="V144" s="166"/>
      <c r="W144" s="165"/>
      <c r="X144" s="165"/>
      <c r="Y144" s="166"/>
      <c r="Z144" s="166"/>
      <c r="AA144" s="167"/>
      <c r="AB144" s="167"/>
      <c r="AC144" s="166"/>
      <c r="AD144" s="166"/>
      <c r="AE144" s="167"/>
      <c r="AF144" s="167"/>
      <c r="AG144" s="166"/>
      <c r="AH144" s="166"/>
      <c r="AI144" s="166"/>
      <c r="AJ144" s="166"/>
      <c r="AK144" s="166"/>
      <c r="AL144" s="166"/>
      <c r="AM144" s="166">
        <f>SUMIF($D$6:$AJ$6,"IA-1",D144:AJ144)+AK144+AL144</f>
      </c>
      <c r="AN144" s="166"/>
      <c r="AO144" s="166"/>
      <c r="AP144" s="166">
        <f>SUMIF($D$6:$AJ$6,"IA-2",D144:AJ144)+AN144+AO144</f>
      </c>
      <c r="AQ144" s="166"/>
      <c r="AR144" s="166"/>
      <c r="AS144" s="166"/>
      <c r="AT144" s="166"/>
      <c r="AU144" s="167"/>
      <c r="AV144" s="167"/>
      <c r="AW144" s="166"/>
      <c r="AX144" s="166"/>
      <c r="AY144" s="166"/>
      <c r="AZ144" s="166"/>
      <c r="BA144" s="168"/>
      <c r="BB144" s="168"/>
      <c r="BC144" s="168"/>
      <c r="BD144" s="168"/>
      <c r="BE144" s="168"/>
      <c r="BF144" s="169"/>
      <c r="BG144" s="170"/>
      <c r="BH144" s="46"/>
      <c r="BI144" s="155">
        <f>SUMIF($D$7:$BG$7,"1",$D144:$BG144)</f>
        <v>0</v>
      </c>
      <c r="BJ144" s="142">
        <f>SUMIFS($D$9:$BG$9,$D$7:$BG$7,"1",$D144:$BG144,"&gt;"&amp;-1)</f>
        <v>0</v>
      </c>
      <c r="BK144" s="143">
        <f t="shared" si="0"/>
        <v>0</v>
      </c>
      <c r="BL144" s="144">
        <f>SUMIF($D$7:$BG$7,"2",$D144:$BG144)</f>
        <v>0</v>
      </c>
      <c r="BM144" s="142">
        <f>SUMIFS($D$9:$BG$9,$D$7:$BG$7,"2",$D144:$BG144,"&gt;"&amp;-1)</f>
        <v>0</v>
      </c>
      <c r="BN144" s="143">
        <f t="shared" si="1"/>
        <v>0</v>
      </c>
      <c r="BO144" s="144">
        <f>SUMIF($D$7:$BG$7,"3",$D144:$BG144)</f>
        <v>0</v>
      </c>
      <c r="BP144" s="142">
        <f>SUMIFS($D$9:$BG$9,$D$7:$BG$7,"3",$D144:$BG144,"&gt;"&amp;-1)</f>
        <v>0</v>
      </c>
      <c r="BQ144" s="143">
        <f t="shared" si="2"/>
        <v>0</v>
      </c>
      <c r="BR144" s="144">
        <f>SUMIF($D$7:$BG$7,"4",$D144:$BG144)</f>
        <v>0</v>
      </c>
      <c r="BS144" s="142">
        <f>SUMIFS($D$9:$BG$9,$D$7:$BG$7,"4",$D144:$BG144,"&gt;"&amp;-1)</f>
        <v>0</v>
      </c>
      <c r="BT144" s="143">
        <f t="shared" si="3"/>
        <v>0</v>
      </c>
      <c r="BU144" s="144">
        <f>SUMIF($D$7:$BG$7,"5",$D144:$BG144)</f>
        <v>0</v>
      </c>
      <c r="BV144" s="142">
        <f>SUMIFS($D$9:$BG$9,$D$7:$BG$7,"5",$D144:$BG144,"&gt;"&amp;-1)</f>
        <v>0</v>
      </c>
      <c r="BW144" s="143">
        <f t="shared" si="4"/>
        <v>0</v>
      </c>
      <c r="BX144" s="144">
        <f>SUMIF($D$7:$BG$7,"6",$D144:$BG144)</f>
        <v>0</v>
      </c>
      <c r="BY144" s="142">
        <f>SUMIFS($D$9:$BG$9,$D$7:$BG$7,"6",$D144:$BG144,"&gt;"&amp;-1)</f>
        <v>0</v>
      </c>
      <c r="BZ144" s="143">
        <f t="shared" si="5"/>
        <v>0</v>
      </c>
    </row>
    <row r="145" ht="15.75" customHeight="1" spans="1:78" x14ac:dyDescent="0.25">
      <c r="A145" s="165">
        <v>133</v>
      </c>
      <c r="B145" s="165" t="s">
        <v>317</v>
      </c>
      <c r="C145" s="1" t="s">
        <v>318</v>
      </c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7"/>
      <c r="AB145" s="167"/>
      <c r="AC145" s="166"/>
      <c r="AD145" s="166"/>
      <c r="AE145" s="167"/>
      <c r="AF145" s="167"/>
      <c r="AG145" s="166"/>
      <c r="AH145" s="166"/>
      <c r="AI145" s="166"/>
      <c r="AJ145" s="166"/>
      <c r="AK145" s="166"/>
      <c r="AL145" s="165"/>
      <c r="AM145" s="165">
        <f>SUMIF($D$6:$AJ$6,"IA-1",D145:AJ145)+AK145+AL145</f>
      </c>
      <c r="AN145" s="165"/>
      <c r="AO145" s="165"/>
      <c r="AP145" s="165">
        <f>SUMIF($D$6:$AJ$6,"IA-2",D145:AJ145)+AN145+AO145</f>
      </c>
      <c r="AQ145" s="165"/>
      <c r="AR145" s="165"/>
      <c r="AS145" s="165"/>
      <c r="AT145" s="165"/>
      <c r="AU145" s="167"/>
      <c r="AV145" s="167"/>
      <c r="AW145" s="165"/>
      <c r="AX145" s="165"/>
      <c r="AY145" s="165"/>
      <c r="AZ145" s="165"/>
      <c r="BA145" s="168"/>
      <c r="BB145" s="168"/>
      <c r="BC145" s="168"/>
      <c r="BD145" s="168"/>
      <c r="BE145" s="168"/>
      <c r="BF145" s="169"/>
      <c r="BG145" s="170"/>
      <c r="BH145" s="46"/>
      <c r="BI145" s="155">
        <f>SUMIF($D$7:$BG$7,"1",$D145:$BG145)</f>
        <v>0</v>
      </c>
      <c r="BJ145" s="142">
        <f>SUMIFS($D$9:$BG$9,$D$7:$BG$7,"1",$D145:$BG145,"&gt;"&amp;-1)</f>
        <v>0</v>
      </c>
      <c r="BK145" s="143">
        <f t="shared" si="0"/>
        <v>0</v>
      </c>
      <c r="BL145" s="144">
        <f>SUMIF($D$7:$BG$7,"2",$D145:$BG145)</f>
        <v>0</v>
      </c>
      <c r="BM145" s="142">
        <f>SUMIFS($D$9:$BG$9,$D$7:$BG$7,"2",$D145:$BG145,"&gt;"&amp;-1)</f>
        <v>0</v>
      </c>
      <c r="BN145" s="143">
        <f t="shared" si="1"/>
        <v>0</v>
      </c>
      <c r="BO145" s="144">
        <f>SUMIF($D$7:$BG$7,"3",$D145:$BG145)</f>
        <v>0</v>
      </c>
      <c r="BP145" s="142">
        <f>SUMIFS($D$9:$BG$9,$D$7:$BG$7,"3",$D145:$BG145,"&gt;"&amp;-1)</f>
        <v>0</v>
      </c>
      <c r="BQ145" s="143">
        <f t="shared" si="2"/>
        <v>0</v>
      </c>
      <c r="BR145" s="144">
        <f>SUMIF($D$7:$BG$7,"4",$D145:$BG145)</f>
        <v>0</v>
      </c>
      <c r="BS145" s="142">
        <f>SUMIFS($D$9:$BG$9,$D$7:$BG$7,"4",$D145:$BG145,"&gt;"&amp;-1)</f>
        <v>0</v>
      </c>
      <c r="BT145" s="143">
        <f t="shared" si="3"/>
        <v>0</v>
      </c>
      <c r="BU145" s="144">
        <f>SUMIF($D$7:$BG$7,"5",$D145:$BG145)</f>
        <v>0</v>
      </c>
      <c r="BV145" s="142">
        <f>SUMIFS($D$9:$BG$9,$D$7:$BG$7,"5",$D145:$BG145,"&gt;"&amp;-1)</f>
        <v>0</v>
      </c>
      <c r="BW145" s="143">
        <f t="shared" si="4"/>
        <v>0</v>
      </c>
      <c r="BX145" s="144">
        <f>SUMIF($D$7:$BG$7,"6",$D145:$BG145)</f>
        <v>0</v>
      </c>
      <c r="BY145" s="142">
        <f>SUMIFS($D$9:$BG$9,$D$7:$BG$7,"6",$D145:$BG145,"&gt;"&amp;-1)</f>
        <v>0</v>
      </c>
      <c r="BZ145" s="143">
        <f t="shared" si="5"/>
        <v>0</v>
      </c>
    </row>
    <row r="146" ht="15.75" customHeight="1" spans="1:78" x14ac:dyDescent="0.25">
      <c r="A146" s="165">
        <v>134</v>
      </c>
      <c r="B146" s="165" t="s">
        <v>319</v>
      </c>
      <c r="C146" s="1" t="s">
        <v>320</v>
      </c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7"/>
      <c r="AB146" s="167"/>
      <c r="AC146" s="166"/>
      <c r="AD146" s="166"/>
      <c r="AE146" s="167"/>
      <c r="AF146" s="167"/>
      <c r="AG146" s="166"/>
      <c r="AH146" s="166"/>
      <c r="AI146" s="166"/>
      <c r="AJ146" s="166"/>
      <c r="AK146" s="166"/>
      <c r="AL146" s="166"/>
      <c r="AM146" s="166">
        <f>SUMIF($D$6:$AJ$6,"IA-1",D146:AJ146)+AK146+AL146</f>
      </c>
      <c r="AN146" s="166"/>
      <c r="AO146" s="166"/>
      <c r="AP146" s="166">
        <f>SUMIF($D$6:$AJ$6,"IA-2",D146:AJ146)+AN146+AO146</f>
      </c>
      <c r="AQ146" s="166"/>
      <c r="AR146" s="166"/>
      <c r="AS146" s="166"/>
      <c r="AT146" s="166"/>
      <c r="AU146" s="167"/>
      <c r="AV146" s="167"/>
      <c r="AW146" s="166"/>
      <c r="AX146" s="166"/>
      <c r="AY146" s="166"/>
      <c r="AZ146" s="166"/>
      <c r="BA146" s="168"/>
      <c r="BB146" s="168"/>
      <c r="BC146" s="168"/>
      <c r="BD146" s="168"/>
      <c r="BE146" s="168"/>
      <c r="BF146" s="169"/>
      <c r="BG146" s="170"/>
      <c r="BH146" s="46"/>
      <c r="BI146" s="155">
        <f>SUMIF($D$7:$BG$7,"1",$D146:$BG146)</f>
        <v>0</v>
      </c>
      <c r="BJ146" s="142">
        <f>SUMIFS($D$9:$BG$9,$D$7:$BG$7,"1",$D146:$BG146,"&gt;"&amp;-1)</f>
        <v>0</v>
      </c>
      <c r="BK146" s="143">
        <f t="shared" si="0"/>
        <v>0</v>
      </c>
      <c r="BL146" s="144">
        <f>SUMIF($D$7:$BG$7,"2",$D146:$BG146)</f>
        <v>0</v>
      </c>
      <c r="BM146" s="142">
        <f>SUMIFS($D$9:$BG$9,$D$7:$BG$7,"2",$D146:$BG146,"&gt;"&amp;-1)</f>
        <v>0</v>
      </c>
      <c r="BN146" s="143">
        <f t="shared" si="1"/>
        <v>0</v>
      </c>
      <c r="BO146" s="144">
        <f>SUMIF($D$7:$BG$7,"3",$D146:$BG146)</f>
        <v>0</v>
      </c>
      <c r="BP146" s="142">
        <f>SUMIFS($D$9:$BG$9,$D$7:$BG$7,"3",$D146:$BG146,"&gt;"&amp;-1)</f>
        <v>0</v>
      </c>
      <c r="BQ146" s="143">
        <f t="shared" si="2"/>
        <v>0</v>
      </c>
      <c r="BR146" s="144">
        <f>SUMIF($D$7:$BG$7,"4",$D146:$BG146)</f>
        <v>0</v>
      </c>
      <c r="BS146" s="142">
        <f>SUMIFS($D$9:$BG$9,$D$7:$BG$7,"4",$D146:$BG146,"&gt;"&amp;-1)</f>
        <v>0</v>
      </c>
      <c r="BT146" s="143">
        <f t="shared" si="3"/>
        <v>0</v>
      </c>
      <c r="BU146" s="144">
        <f>SUMIF($D$7:$BG$7,"5",$D146:$BG146)</f>
        <v>0</v>
      </c>
      <c r="BV146" s="142">
        <f>SUMIFS($D$9:$BG$9,$D$7:$BG$7,"5",$D146:$BG146,"&gt;"&amp;-1)</f>
        <v>0</v>
      </c>
      <c r="BW146" s="143">
        <f t="shared" si="4"/>
        <v>0</v>
      </c>
      <c r="BX146" s="144">
        <f>SUMIF($D$7:$BG$7,"6",$D146:$BG146)</f>
        <v>0</v>
      </c>
      <c r="BY146" s="142">
        <f>SUMIFS($D$9:$BG$9,$D$7:$BG$7,"6",$D146:$BG146,"&gt;"&amp;-1)</f>
        <v>0</v>
      </c>
      <c r="BZ146" s="143">
        <f t="shared" si="5"/>
        <v>0</v>
      </c>
    </row>
    <row r="147" ht="15.75" customHeight="1" spans="1:78" x14ac:dyDescent="0.25">
      <c r="A147" s="165">
        <v>135</v>
      </c>
      <c r="B147" s="165" t="s">
        <v>321</v>
      </c>
      <c r="C147" s="1" t="s">
        <v>322</v>
      </c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7"/>
      <c r="AB147" s="167"/>
      <c r="AC147" s="166"/>
      <c r="AD147" s="166"/>
      <c r="AE147" s="167"/>
      <c r="AF147" s="167"/>
      <c r="AG147" s="166"/>
      <c r="AH147" s="166"/>
      <c r="AI147" s="166"/>
      <c r="AJ147" s="166"/>
      <c r="AK147" s="166"/>
      <c r="AL147" s="165"/>
      <c r="AM147" s="165">
        <f>SUMIF($D$6:$AJ$6,"IA-1",D147:AJ147)+AK147+AL147</f>
      </c>
      <c r="AN147" s="165"/>
      <c r="AO147" s="165"/>
      <c r="AP147" s="165">
        <f>SUMIF($D$6:$AJ$6,"IA-2",D147:AJ147)+AN147+AO147</f>
      </c>
      <c r="AQ147" s="165"/>
      <c r="AR147" s="165"/>
      <c r="AS147" s="165"/>
      <c r="AT147" s="165"/>
      <c r="AU147" s="167"/>
      <c r="AV147" s="167"/>
      <c r="AW147" s="165"/>
      <c r="AX147" s="165"/>
      <c r="AY147" s="165"/>
      <c r="AZ147" s="165"/>
      <c r="BA147" s="168"/>
      <c r="BB147" s="168"/>
      <c r="BC147" s="168"/>
      <c r="BD147" s="168"/>
      <c r="BE147" s="168"/>
      <c r="BF147" s="169"/>
      <c r="BG147" s="170"/>
      <c r="BH147" s="46"/>
      <c r="BI147" s="155">
        <f>SUMIF($D$7:$BG$7,"1",$D147:$BG147)</f>
        <v>0</v>
      </c>
      <c r="BJ147" s="142">
        <f>SUMIFS($D$9:$BG$9,$D$7:$BG$7,"1",$D147:$BG147,"&gt;"&amp;-1)</f>
        <v>0</v>
      </c>
      <c r="BK147" s="143">
        <f t="shared" si="0"/>
        <v>0</v>
      </c>
      <c r="BL147" s="144">
        <f>SUMIF($D$7:$BG$7,"2",$D147:$BG147)</f>
        <v>0</v>
      </c>
      <c r="BM147" s="142">
        <f>SUMIFS($D$9:$BG$9,$D$7:$BG$7,"2",$D147:$BG147,"&gt;"&amp;-1)</f>
        <v>0</v>
      </c>
      <c r="BN147" s="143">
        <f t="shared" si="1"/>
        <v>0</v>
      </c>
      <c r="BO147" s="144">
        <f>SUMIF($D$7:$BG$7,"3",$D147:$BG147)</f>
        <v>0</v>
      </c>
      <c r="BP147" s="142">
        <f>SUMIFS($D$9:$BG$9,$D$7:$BG$7,"3",$D147:$BG147,"&gt;"&amp;-1)</f>
        <v>0</v>
      </c>
      <c r="BQ147" s="143">
        <f t="shared" si="2"/>
        <v>0</v>
      </c>
      <c r="BR147" s="144">
        <f>SUMIF($D$7:$BG$7,"4",$D147:$BG147)</f>
        <v>0</v>
      </c>
      <c r="BS147" s="142">
        <f>SUMIFS($D$9:$BG$9,$D$7:$BG$7,"4",$D147:$BG147,"&gt;"&amp;-1)</f>
        <v>0</v>
      </c>
      <c r="BT147" s="143">
        <f t="shared" si="3"/>
        <v>0</v>
      </c>
      <c r="BU147" s="144">
        <f>SUMIF($D$7:$BG$7,"5",$D147:$BG147)</f>
        <v>0</v>
      </c>
      <c r="BV147" s="142">
        <f>SUMIFS($D$9:$BG$9,$D$7:$BG$7,"5",$D147:$BG147,"&gt;"&amp;-1)</f>
        <v>0</v>
      </c>
      <c r="BW147" s="143">
        <f t="shared" si="4"/>
        <v>0</v>
      </c>
      <c r="BX147" s="144">
        <f>SUMIF($D$7:$BG$7,"6",$D147:$BG147)</f>
        <v>0</v>
      </c>
      <c r="BY147" s="142">
        <f>SUMIFS($D$9:$BG$9,$D$7:$BG$7,"6",$D147:$BG147,"&gt;"&amp;-1)</f>
        <v>0</v>
      </c>
      <c r="BZ147" s="143">
        <f t="shared" si="5"/>
        <v>0</v>
      </c>
    </row>
    <row r="148" ht="15.75" customHeight="1" spans="1:78" x14ac:dyDescent="0.25">
      <c r="A148" s="1">
        <v>136</v>
      </c>
      <c r="B148" s="1" t="s">
        <v>323</v>
      </c>
      <c r="C148" s="171" t="s">
        <v>324</v>
      </c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67"/>
      <c r="AB148" s="167"/>
      <c r="AC148" s="172"/>
      <c r="AD148" s="172"/>
      <c r="AE148" s="167"/>
      <c r="AF148" s="167"/>
      <c r="AG148" s="172"/>
      <c r="AH148" s="172"/>
      <c r="AI148" s="172"/>
      <c r="AJ148" s="172"/>
      <c r="AK148" s="172"/>
      <c r="AL148" s="173"/>
      <c r="AM148" s="173">
        <f>SUMIF($D$6:$AJ$6,"IA-1",D148:AJ148)+AK148+AL148</f>
      </c>
      <c r="AN148" s="173"/>
      <c r="AO148" s="173"/>
      <c r="AP148" s="173">
        <f>SUMIF($D$6:$AJ$6,"IA-2",D148:AJ148)+AN148+AO148</f>
      </c>
      <c r="AQ148" s="173"/>
      <c r="AR148" s="173"/>
      <c r="AS148" s="173"/>
      <c r="AT148" s="173"/>
      <c r="AU148" s="167"/>
      <c r="AV148" s="167"/>
      <c r="AW148" s="173"/>
      <c r="AX148" s="173"/>
      <c r="AY148" s="173"/>
      <c r="AZ148" s="173"/>
      <c r="BA148" s="168"/>
      <c r="BB148" s="168"/>
      <c r="BC148" s="168"/>
      <c r="BD148" s="168"/>
      <c r="BE148" s="168"/>
      <c r="BF148" s="169"/>
      <c r="BG148" s="170"/>
      <c r="BH148" s="46"/>
      <c r="BI148" s="155">
        <f>SUMIF($D$7:$BG$7,"1",$D148:$BG148)</f>
        <v>0</v>
      </c>
      <c r="BJ148" s="142">
        <f>SUMIFS($D$9:$BG$9,$D$7:$BG$7,"1",$D148:$BG148,"&gt;"&amp;-1)</f>
        <v>0</v>
      </c>
      <c r="BK148" s="143">
        <f t="shared" si="0"/>
        <v>0</v>
      </c>
      <c r="BL148" s="144">
        <f>SUMIF($D$7:$BG$7,"2",$D148:$BG148)</f>
        <v>0</v>
      </c>
      <c r="BM148" s="142">
        <f>SUMIFS($D$9:$BG$9,$D$7:$BG$7,"2",$D148:$BG148,"&gt;"&amp;-1)</f>
        <v>0</v>
      </c>
      <c r="BN148" s="143">
        <f t="shared" si="1"/>
        <v>0</v>
      </c>
      <c r="BO148" s="144">
        <f>SUMIF($D$7:$BG$7,"3",$D148:$BG148)</f>
        <v>0</v>
      </c>
      <c r="BP148" s="142">
        <f>SUMIFS($D$9:$BG$9,$D$7:$BG$7,"3",$D148:$BG148,"&gt;"&amp;-1)</f>
        <v>0</v>
      </c>
      <c r="BQ148" s="143">
        <f t="shared" si="2"/>
        <v>0</v>
      </c>
      <c r="BR148" s="144">
        <f>SUMIF($D$7:$BG$7,"4",$D148:$BG148)</f>
        <v>0</v>
      </c>
      <c r="BS148" s="142">
        <f>SUMIFS($D$9:$BG$9,$D$7:$BG$7,"4",$D148:$BG148,"&gt;"&amp;-1)</f>
        <v>0</v>
      </c>
      <c r="BT148" s="143">
        <f t="shared" si="3"/>
        <v>0</v>
      </c>
      <c r="BU148" s="144">
        <f>SUMIF($D$7:$BG$7,"5",$D148:$BG148)</f>
        <v>0</v>
      </c>
      <c r="BV148" s="142">
        <f>SUMIFS($D$9:$BG$9,$D$7:$BG$7,"5",$D148:$BG148,"&gt;"&amp;-1)</f>
        <v>0</v>
      </c>
      <c r="BW148" s="143">
        <f t="shared" si="4"/>
        <v>0</v>
      </c>
      <c r="BX148" s="144">
        <f>SUMIF($D$7:$BG$7,"6",$D148:$BG148)</f>
        <v>0</v>
      </c>
      <c r="BY148" s="142">
        <f>SUMIFS($D$9:$BG$9,$D$7:$BG$7,"6",$D148:$BG148,"&gt;"&amp;-1)</f>
        <v>0</v>
      </c>
      <c r="BZ148" s="143">
        <f t="shared" si="5"/>
        <v>0</v>
      </c>
    </row>
    <row r="149" ht="15.75" customHeight="1" spans="1:78" x14ac:dyDescent="0.25">
      <c r="A149" s="1">
        <v>137</v>
      </c>
      <c r="B149" s="1" t="s">
        <v>325</v>
      </c>
      <c r="C149" s="171" t="s">
        <v>326</v>
      </c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67"/>
      <c r="AB149" s="167"/>
      <c r="AC149" s="172"/>
      <c r="AD149" s="172"/>
      <c r="AE149" s="167"/>
      <c r="AF149" s="167"/>
      <c r="AG149" s="172"/>
      <c r="AH149" s="172"/>
      <c r="AI149" s="172"/>
      <c r="AJ149" s="172"/>
      <c r="AK149" s="172"/>
      <c r="AL149" s="173"/>
      <c r="AM149" s="173">
        <f>SUMIF($D$6:$AJ$6,"IA-1",D149:AJ149)+AK149+AL149</f>
      </c>
      <c r="AN149" s="173"/>
      <c r="AO149" s="173"/>
      <c r="AP149" s="173">
        <f>SUMIF($D$6:$AJ$6,"IA-2",D149:AJ149)+AN149+AO149</f>
      </c>
      <c r="AQ149" s="173"/>
      <c r="AR149" s="173"/>
      <c r="AS149" s="173"/>
      <c r="AT149" s="173"/>
      <c r="AU149" s="167"/>
      <c r="AV149" s="167"/>
      <c r="AW149" s="173"/>
      <c r="AX149" s="173"/>
      <c r="AY149" s="173"/>
      <c r="AZ149" s="173"/>
      <c r="BA149" s="168"/>
      <c r="BB149" s="168"/>
      <c r="BC149" s="168"/>
      <c r="BD149" s="168"/>
      <c r="BE149" s="168"/>
      <c r="BF149" s="169"/>
      <c r="BG149" s="170"/>
      <c r="BH149" s="46"/>
      <c r="BI149" s="155">
        <f>SUMIF($D$7:$BG$7,"1",$D149:$BG149)</f>
        <v>0</v>
      </c>
      <c r="BJ149" s="142">
        <f>SUMIFS($D$9:$BG$9,$D$7:$BG$7,"1",$D149:$BG149,"&gt;"&amp;-1)</f>
        <v>0</v>
      </c>
      <c r="BK149" s="143">
        <f t="shared" si="0"/>
        <v>0</v>
      </c>
      <c r="BL149" s="144">
        <f>SUMIF($D$7:$BG$7,"2",$D149:$BG149)</f>
        <v>0</v>
      </c>
      <c r="BM149" s="142">
        <f>SUMIFS($D$9:$BG$9,$D$7:$BG$7,"2",$D149:$BG149,"&gt;"&amp;-1)</f>
        <v>0</v>
      </c>
      <c r="BN149" s="143">
        <f t="shared" si="1"/>
        <v>0</v>
      </c>
      <c r="BO149" s="144">
        <f>SUMIF($D$7:$BG$7,"3",$D149:$BG149)</f>
        <v>0</v>
      </c>
      <c r="BP149" s="142">
        <f>SUMIFS($D$9:$BG$9,$D$7:$BG$7,"3",$D149:$BG149,"&gt;"&amp;-1)</f>
        <v>0</v>
      </c>
      <c r="BQ149" s="143">
        <f t="shared" si="2"/>
        <v>0</v>
      </c>
      <c r="BR149" s="144">
        <f>SUMIF($D$7:$BG$7,"4",$D149:$BG149)</f>
        <v>0</v>
      </c>
      <c r="BS149" s="142">
        <f>SUMIFS($D$9:$BG$9,$D$7:$BG$7,"4",$D149:$BG149,"&gt;"&amp;-1)</f>
        <v>0</v>
      </c>
      <c r="BT149" s="143">
        <f t="shared" si="3"/>
        <v>0</v>
      </c>
      <c r="BU149" s="144">
        <f>SUMIF($D$7:$BG$7,"5",$D149:$BG149)</f>
        <v>0</v>
      </c>
      <c r="BV149" s="142">
        <f>SUMIFS($D$9:$BG$9,$D$7:$BG$7,"5",$D149:$BG149,"&gt;"&amp;-1)</f>
        <v>0</v>
      </c>
      <c r="BW149" s="143">
        <f t="shared" si="4"/>
        <v>0</v>
      </c>
      <c r="BX149" s="144">
        <f>SUMIF($D$7:$BG$7,"6",$D149:$BG149)</f>
        <v>0</v>
      </c>
      <c r="BY149" s="142">
        <f>SUMIFS($D$9:$BG$9,$D$7:$BG$7,"6",$D149:$BG149,"&gt;"&amp;-1)</f>
        <v>0</v>
      </c>
      <c r="BZ149" s="143">
        <f t="shared" si="5"/>
        <v>0</v>
      </c>
    </row>
    <row r="150" ht="15.75" customHeight="1" spans="1:78" x14ac:dyDescent="0.25">
      <c r="A150" s="1">
        <v>138</v>
      </c>
      <c r="B150" s="1" t="s">
        <v>327</v>
      </c>
      <c r="C150" s="171" t="s">
        <v>328</v>
      </c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67"/>
      <c r="AB150" s="167"/>
      <c r="AC150" s="172"/>
      <c r="AD150" s="172"/>
      <c r="AE150" s="167"/>
      <c r="AF150" s="167"/>
      <c r="AG150" s="172"/>
      <c r="AH150" s="172"/>
      <c r="AI150" s="172"/>
      <c r="AJ150" s="172"/>
      <c r="AK150" s="172"/>
      <c r="AL150" s="173"/>
      <c r="AM150" s="173">
        <f>SUMIF($D$6:$AJ$6,"IA-1",D150:AJ150)+AK150+AL150</f>
      </c>
      <c r="AN150" s="173"/>
      <c r="AO150" s="173"/>
      <c r="AP150" s="173">
        <f>SUMIF($D$6:$AJ$6,"IA-2",D150:AJ150)+AN150+AO150</f>
      </c>
      <c r="AQ150" s="173"/>
      <c r="AR150" s="173"/>
      <c r="AS150" s="173"/>
      <c r="AT150" s="173"/>
      <c r="AU150" s="167"/>
      <c r="AV150" s="167"/>
      <c r="AW150" s="173"/>
      <c r="AX150" s="173"/>
      <c r="AY150" s="173"/>
      <c r="AZ150" s="173"/>
      <c r="BA150" s="168"/>
      <c r="BB150" s="168"/>
      <c r="BC150" s="168"/>
      <c r="BD150" s="168"/>
      <c r="BE150" s="168"/>
      <c r="BF150" s="169"/>
      <c r="BG150" s="170"/>
      <c r="BH150" s="46"/>
      <c r="BI150" s="155">
        <f>SUMIF($D$7:$BG$7,"1",$D150:$BG150)</f>
        <v>0</v>
      </c>
      <c r="BJ150" s="142">
        <f>SUMIFS($D$9:$BG$9,$D$7:$BG$7,"1",$D150:$BG150,"&gt;"&amp;-1)</f>
        <v>0</v>
      </c>
      <c r="BK150" s="143">
        <f t="shared" si="0"/>
        <v>0</v>
      </c>
      <c r="BL150" s="144">
        <f>SUMIF($D$7:$BG$7,"2",$D150:$BG150)</f>
        <v>0</v>
      </c>
      <c r="BM150" s="142">
        <f>SUMIFS($D$9:$BG$9,$D$7:$BG$7,"2",$D150:$BG150,"&gt;"&amp;-1)</f>
        <v>0</v>
      </c>
      <c r="BN150" s="143">
        <f t="shared" si="1"/>
        <v>0</v>
      </c>
      <c r="BO150" s="144">
        <f>SUMIF($D$7:$BG$7,"3",$D150:$BG150)</f>
        <v>0</v>
      </c>
      <c r="BP150" s="142">
        <f>SUMIFS($D$9:$BG$9,$D$7:$BG$7,"3",$D150:$BG150,"&gt;"&amp;-1)</f>
        <v>0</v>
      </c>
      <c r="BQ150" s="143">
        <f t="shared" si="2"/>
        <v>0</v>
      </c>
      <c r="BR150" s="144">
        <f>SUMIF($D$7:$BG$7,"4",$D150:$BG150)</f>
        <v>0</v>
      </c>
      <c r="BS150" s="142">
        <f>SUMIFS($D$9:$BG$9,$D$7:$BG$7,"4",$D150:$BG150,"&gt;"&amp;-1)</f>
        <v>0</v>
      </c>
      <c r="BT150" s="143">
        <f t="shared" si="3"/>
        <v>0</v>
      </c>
      <c r="BU150" s="144">
        <f>SUMIF($D$7:$BG$7,"5",$D150:$BG150)</f>
        <v>0</v>
      </c>
      <c r="BV150" s="142">
        <f>SUMIFS($D$9:$BG$9,$D$7:$BG$7,"5",$D150:$BG150,"&gt;"&amp;-1)</f>
        <v>0</v>
      </c>
      <c r="BW150" s="143">
        <f t="shared" si="4"/>
        <v>0</v>
      </c>
      <c r="BX150" s="144">
        <f>SUMIF($D$7:$BG$7,"6",$D150:$BG150)</f>
        <v>0</v>
      </c>
      <c r="BY150" s="142">
        <f>SUMIFS($D$9:$BG$9,$D$7:$BG$7,"6",$D150:$BG150,"&gt;"&amp;-1)</f>
        <v>0</v>
      </c>
      <c r="BZ150" s="143">
        <f t="shared" si="5"/>
        <v>0</v>
      </c>
    </row>
    <row r="151" ht="15.75" customHeight="1" spans="1:78" x14ac:dyDescent="0.25">
      <c r="A151" s="1">
        <v>139</v>
      </c>
      <c r="B151" s="1" t="s">
        <v>329</v>
      </c>
      <c r="C151" s="171" t="s">
        <v>330</v>
      </c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67"/>
      <c r="AB151" s="167"/>
      <c r="AC151" s="172"/>
      <c r="AD151" s="172"/>
      <c r="AE151" s="167"/>
      <c r="AF151" s="167"/>
      <c r="AG151" s="172"/>
      <c r="AH151" s="172"/>
      <c r="AI151" s="172"/>
      <c r="AJ151" s="172"/>
      <c r="AK151" s="172"/>
      <c r="AL151" s="173"/>
      <c r="AM151" s="173">
        <f>SUMIF($D$6:$AJ$6,"IA-1",D151:AJ151)+AK151+AL151</f>
      </c>
      <c r="AN151" s="173"/>
      <c r="AO151" s="173"/>
      <c r="AP151" s="173">
        <f>SUMIF($D$6:$AJ$6,"IA-2",D151:AJ151)+AN151+AO151</f>
      </c>
      <c r="AQ151" s="173"/>
      <c r="AR151" s="173"/>
      <c r="AS151" s="173"/>
      <c r="AT151" s="173"/>
      <c r="AU151" s="167"/>
      <c r="AV151" s="167"/>
      <c r="AW151" s="173"/>
      <c r="AX151" s="173"/>
      <c r="AY151" s="173"/>
      <c r="AZ151" s="173"/>
      <c r="BA151" s="168"/>
      <c r="BB151" s="168"/>
      <c r="BC151" s="168"/>
      <c r="BD151" s="168"/>
      <c r="BE151" s="168"/>
      <c r="BF151" s="169"/>
      <c r="BG151" s="170"/>
      <c r="BH151" s="46"/>
      <c r="BI151" s="155">
        <f>SUMIF($D$7:$BG$7,"1",$D151:$BG151)</f>
        <v>0</v>
      </c>
      <c r="BJ151" s="142">
        <f>SUMIFS($D$9:$BG$9,$D$7:$BG$7,"1",$D151:$BG151,"&gt;"&amp;-1)</f>
        <v>0</v>
      </c>
      <c r="BK151" s="143">
        <f t="shared" si="0"/>
        <v>0</v>
      </c>
      <c r="BL151" s="144">
        <f>SUMIF($D$7:$BG$7,"2",$D151:$BG151)</f>
        <v>0</v>
      </c>
      <c r="BM151" s="142">
        <f>SUMIFS($D$9:$BG$9,$D$7:$BG$7,"2",$D151:$BG151,"&gt;"&amp;-1)</f>
        <v>0</v>
      </c>
      <c r="BN151" s="143">
        <f t="shared" si="1"/>
        <v>0</v>
      </c>
      <c r="BO151" s="144">
        <f>SUMIF($D$7:$BG$7,"3",$D151:$BG151)</f>
        <v>0</v>
      </c>
      <c r="BP151" s="142">
        <f>SUMIFS($D$9:$BG$9,$D$7:$BG$7,"3",$D151:$BG151,"&gt;"&amp;-1)</f>
        <v>0</v>
      </c>
      <c r="BQ151" s="143">
        <f t="shared" si="2"/>
        <v>0</v>
      </c>
      <c r="BR151" s="144">
        <f>SUMIF($D$7:$BG$7,"4",$D151:$BG151)</f>
        <v>0</v>
      </c>
      <c r="BS151" s="142">
        <f>SUMIFS($D$9:$BG$9,$D$7:$BG$7,"4",$D151:$BG151,"&gt;"&amp;-1)</f>
        <v>0</v>
      </c>
      <c r="BT151" s="143">
        <f t="shared" si="3"/>
        <v>0</v>
      </c>
      <c r="BU151" s="144">
        <f>SUMIF($D$7:$BG$7,"5",$D151:$BG151)</f>
        <v>0</v>
      </c>
      <c r="BV151" s="142">
        <f>SUMIFS($D$9:$BG$9,$D$7:$BG$7,"5",$D151:$BG151,"&gt;"&amp;-1)</f>
        <v>0</v>
      </c>
      <c r="BW151" s="143">
        <f t="shared" si="4"/>
        <v>0</v>
      </c>
      <c r="BX151" s="144">
        <f>SUMIF($D$7:$BG$7,"6",$D151:$BG151)</f>
        <v>0</v>
      </c>
      <c r="BY151" s="142">
        <f>SUMIFS($D$9:$BG$9,$D$7:$BG$7,"6",$D151:$BG151,"&gt;"&amp;-1)</f>
        <v>0</v>
      </c>
      <c r="BZ151" s="143">
        <f t="shared" si="5"/>
        <v>0</v>
      </c>
    </row>
    <row r="152" ht="15.75" customHeight="1" spans="1:78" x14ac:dyDescent="0.25">
      <c r="A152" s="1">
        <v>140</v>
      </c>
      <c r="B152" s="1" t="s">
        <v>331</v>
      </c>
      <c r="C152" s="171" t="s">
        <v>332</v>
      </c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67"/>
      <c r="AB152" s="167"/>
      <c r="AC152" s="172"/>
      <c r="AD152" s="172"/>
      <c r="AE152" s="167"/>
      <c r="AF152" s="167"/>
      <c r="AG152" s="172"/>
      <c r="AH152" s="172"/>
      <c r="AI152" s="172"/>
      <c r="AJ152" s="172"/>
      <c r="AK152" s="172"/>
      <c r="AL152" s="173"/>
      <c r="AM152" s="173">
        <f>SUMIF($D$6:$AJ$6,"IA-1",D152:AJ152)+AK152+AL152</f>
      </c>
      <c r="AN152" s="173"/>
      <c r="AO152" s="173"/>
      <c r="AP152" s="173">
        <f>SUMIF($D$6:$AJ$6,"IA-2",D152:AJ152)+AN152+AO152</f>
      </c>
      <c r="AQ152" s="173"/>
      <c r="AR152" s="173"/>
      <c r="AS152" s="173"/>
      <c r="AT152" s="173"/>
      <c r="AU152" s="167"/>
      <c r="AV152" s="167"/>
      <c r="AW152" s="173"/>
      <c r="AX152" s="173"/>
      <c r="AY152" s="173"/>
      <c r="AZ152" s="173"/>
      <c r="BA152" s="168"/>
      <c r="BB152" s="168"/>
      <c r="BC152" s="168"/>
      <c r="BD152" s="168"/>
      <c r="BE152" s="168"/>
      <c r="BF152" s="169"/>
      <c r="BG152" s="170"/>
      <c r="BH152" s="46"/>
      <c r="BI152" s="155">
        <f>SUMIF($D$7:$BG$7,"1",$D152:$BG152)</f>
        <v>0</v>
      </c>
      <c r="BJ152" s="142">
        <f>SUMIFS($D$9:$BG$9,$D$7:$BG$7,"1",$D152:$BG152,"&gt;"&amp;-1)</f>
        <v>0</v>
      </c>
      <c r="BK152" s="143">
        <f t="shared" si="0"/>
        <v>0</v>
      </c>
      <c r="BL152" s="144">
        <f>SUMIF($D$7:$BG$7,"2",$D152:$BG152)</f>
        <v>0</v>
      </c>
      <c r="BM152" s="142">
        <f>SUMIFS($D$9:$BG$9,$D$7:$BG$7,"2",$D152:$BG152,"&gt;"&amp;-1)</f>
        <v>0</v>
      </c>
      <c r="BN152" s="143">
        <f t="shared" si="1"/>
        <v>0</v>
      </c>
      <c r="BO152" s="144">
        <f>SUMIF($D$7:$BG$7,"3",$D152:$BG152)</f>
        <v>0</v>
      </c>
      <c r="BP152" s="142">
        <f>SUMIFS($D$9:$BG$9,$D$7:$BG$7,"3",$D152:$BG152,"&gt;"&amp;-1)</f>
        <v>0</v>
      </c>
      <c r="BQ152" s="143">
        <f t="shared" si="2"/>
        <v>0</v>
      </c>
      <c r="BR152" s="144">
        <f>SUMIF($D$7:$BG$7,"4",$D152:$BG152)</f>
        <v>0</v>
      </c>
      <c r="BS152" s="142">
        <f>SUMIFS($D$9:$BG$9,$D$7:$BG$7,"4",$D152:$BG152,"&gt;"&amp;-1)</f>
        <v>0</v>
      </c>
      <c r="BT152" s="143">
        <f t="shared" si="3"/>
        <v>0</v>
      </c>
      <c r="BU152" s="144">
        <f>SUMIF($D$7:$BG$7,"5",$D152:$BG152)</f>
        <v>0</v>
      </c>
      <c r="BV152" s="142">
        <f>SUMIFS($D$9:$BG$9,$D$7:$BG$7,"5",$D152:$BG152,"&gt;"&amp;-1)</f>
        <v>0</v>
      </c>
      <c r="BW152" s="143">
        <f t="shared" si="4"/>
        <v>0</v>
      </c>
      <c r="BX152" s="144">
        <f>SUMIF($D$7:$BG$7,"6",$D152:$BG152)</f>
        <v>0</v>
      </c>
      <c r="BY152" s="142">
        <f>SUMIFS($D$9:$BG$9,$D$7:$BG$7,"6",$D152:$BG152,"&gt;"&amp;-1)</f>
        <v>0</v>
      </c>
      <c r="BZ152" s="143">
        <f t="shared" si="5"/>
        <v>0</v>
      </c>
    </row>
    <row r="153" ht="15.75" customHeight="1" spans="1:78" x14ac:dyDescent="0.25">
      <c r="A153" s="1">
        <v>141</v>
      </c>
      <c r="B153" s="1" t="s">
        <v>333</v>
      </c>
      <c r="C153" s="171" t="s">
        <v>334</v>
      </c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67"/>
      <c r="AB153" s="167"/>
      <c r="AC153" s="172"/>
      <c r="AD153" s="172"/>
      <c r="AE153" s="167"/>
      <c r="AF153" s="167"/>
      <c r="AG153" s="172"/>
      <c r="AH153" s="172"/>
      <c r="AI153" s="172"/>
      <c r="AJ153" s="172"/>
      <c r="AK153" s="172"/>
      <c r="AL153" s="173"/>
      <c r="AM153" s="173">
        <f>SUMIF($D$6:$AJ$6,"IA-1",D153:AJ153)+AK153+AL153</f>
      </c>
      <c r="AN153" s="173"/>
      <c r="AO153" s="173"/>
      <c r="AP153" s="173">
        <f>SUMIF($D$6:$AJ$6,"IA-2",D153:AJ153)+AN153+AO153</f>
      </c>
      <c r="AQ153" s="173"/>
      <c r="AR153" s="173"/>
      <c r="AS153" s="173"/>
      <c r="AT153" s="173"/>
      <c r="AU153" s="167"/>
      <c r="AV153" s="167"/>
      <c r="AW153" s="173"/>
      <c r="AX153" s="173"/>
      <c r="AY153" s="173"/>
      <c r="AZ153" s="173"/>
      <c r="BA153" s="168"/>
      <c r="BB153" s="168"/>
      <c r="BC153" s="168"/>
      <c r="BD153" s="168"/>
      <c r="BE153" s="168"/>
      <c r="BF153" s="169"/>
      <c r="BG153" s="170"/>
      <c r="BH153" s="46"/>
      <c r="BI153" s="155">
        <f>SUMIF($D$7:$BG$7,"1",$D153:$BG153)</f>
        <v>0</v>
      </c>
      <c r="BJ153" s="142">
        <f>SUMIFS($D$9:$BG$9,$D$7:$BG$7,"1",$D153:$BG153,"&gt;"&amp;-1)</f>
        <v>0</v>
      </c>
      <c r="BK153" s="143">
        <f t="shared" si="0"/>
        <v>0</v>
      </c>
      <c r="BL153" s="144">
        <f>SUMIF($D$7:$BG$7,"2",$D153:$BG153)</f>
        <v>0</v>
      </c>
      <c r="BM153" s="142">
        <f>SUMIFS($D$9:$BG$9,$D$7:$BG$7,"2",$D153:$BG153,"&gt;"&amp;-1)</f>
        <v>0</v>
      </c>
      <c r="BN153" s="143">
        <f t="shared" si="1"/>
        <v>0</v>
      </c>
      <c r="BO153" s="144">
        <f>SUMIF($D$7:$BG$7,"3",$D153:$BG153)</f>
        <v>0</v>
      </c>
      <c r="BP153" s="142">
        <f>SUMIFS($D$9:$BG$9,$D$7:$BG$7,"3",$D153:$BG153,"&gt;"&amp;-1)</f>
        <v>0</v>
      </c>
      <c r="BQ153" s="143">
        <f t="shared" si="2"/>
        <v>0</v>
      </c>
      <c r="BR153" s="144">
        <f>SUMIF($D$7:$BG$7,"4",$D153:$BG153)</f>
        <v>0</v>
      </c>
      <c r="BS153" s="142">
        <f>SUMIFS($D$9:$BG$9,$D$7:$BG$7,"4",$D153:$BG153,"&gt;"&amp;-1)</f>
        <v>0</v>
      </c>
      <c r="BT153" s="143">
        <f t="shared" si="3"/>
        <v>0</v>
      </c>
      <c r="BU153" s="144">
        <f>SUMIF($D$7:$BG$7,"5",$D153:$BG153)</f>
        <v>0</v>
      </c>
      <c r="BV153" s="142">
        <f>SUMIFS($D$9:$BG$9,$D$7:$BG$7,"5",$D153:$BG153,"&gt;"&amp;-1)</f>
        <v>0</v>
      </c>
      <c r="BW153" s="143">
        <f t="shared" si="4"/>
        <v>0</v>
      </c>
      <c r="BX153" s="144">
        <f>SUMIF($D$7:$BG$7,"6",$D153:$BG153)</f>
        <v>0</v>
      </c>
      <c r="BY153" s="142">
        <f>SUMIFS($D$9:$BG$9,$D$7:$BG$7,"6",$D153:$BG153,"&gt;"&amp;-1)</f>
        <v>0</v>
      </c>
      <c r="BZ153" s="143">
        <f t="shared" si="5"/>
        <v>0</v>
      </c>
    </row>
    <row r="154" ht="15.75" customHeight="1" spans="1:78" x14ac:dyDescent="0.25">
      <c r="A154" s="1">
        <v>142</v>
      </c>
      <c r="B154" s="1" t="s">
        <v>335</v>
      </c>
      <c r="C154" s="171" t="s">
        <v>336</v>
      </c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67"/>
      <c r="AB154" s="167"/>
      <c r="AC154" s="172"/>
      <c r="AD154" s="172"/>
      <c r="AE154" s="167"/>
      <c r="AF154" s="167"/>
      <c r="AG154" s="172"/>
      <c r="AH154" s="172"/>
      <c r="AI154" s="172"/>
      <c r="AJ154" s="172"/>
      <c r="AK154" s="172"/>
      <c r="AL154" s="173"/>
      <c r="AM154" s="173">
        <f>SUMIF($D$6:$AJ$6,"IA-1",D154:AJ154)+AK154+AL154</f>
      </c>
      <c r="AN154" s="173"/>
      <c r="AO154" s="173"/>
      <c r="AP154" s="173">
        <f>SUMIF($D$6:$AJ$6,"IA-2",D154:AJ154)+AN154+AO154</f>
      </c>
      <c r="AQ154" s="173"/>
      <c r="AR154" s="173"/>
      <c r="AS154" s="173"/>
      <c r="AT154" s="173"/>
      <c r="AU154" s="167"/>
      <c r="AV154" s="167"/>
      <c r="AW154" s="173"/>
      <c r="AX154" s="173"/>
      <c r="AY154" s="173"/>
      <c r="AZ154" s="173"/>
      <c r="BA154" s="168"/>
      <c r="BB154" s="168"/>
      <c r="BC154" s="168"/>
      <c r="BD154" s="168"/>
      <c r="BE154" s="168"/>
      <c r="BF154" s="169"/>
      <c r="BG154" s="170"/>
      <c r="BH154" s="46"/>
      <c r="BI154" s="155">
        <f>SUMIF($D$7:$BG$7,"1",$D154:$BG154)</f>
        <v>0</v>
      </c>
      <c r="BJ154" s="142">
        <f>SUMIFS($D$9:$BG$9,$D$7:$BG$7,"1",$D154:$BG154,"&gt;"&amp;-1)</f>
        <v>0</v>
      </c>
      <c r="BK154" s="143">
        <f t="shared" si="0"/>
        <v>0</v>
      </c>
      <c r="BL154" s="144">
        <f>SUMIF($D$7:$BG$7,"2",$D154:$BG154)</f>
        <v>0</v>
      </c>
      <c r="BM154" s="142">
        <f>SUMIFS($D$9:$BG$9,$D$7:$BG$7,"2",$D154:$BG154,"&gt;"&amp;-1)</f>
        <v>0</v>
      </c>
      <c r="BN154" s="143">
        <f t="shared" si="1"/>
        <v>0</v>
      </c>
      <c r="BO154" s="144">
        <f>SUMIF($D$7:$BG$7,"3",$D154:$BG154)</f>
        <v>0</v>
      </c>
      <c r="BP154" s="142">
        <f>SUMIFS($D$9:$BG$9,$D$7:$BG$7,"3",$D154:$BG154,"&gt;"&amp;-1)</f>
        <v>0</v>
      </c>
      <c r="BQ154" s="143">
        <f t="shared" si="2"/>
        <v>0</v>
      </c>
      <c r="BR154" s="144">
        <f>SUMIF($D$7:$BG$7,"4",$D154:$BG154)</f>
        <v>0</v>
      </c>
      <c r="BS154" s="142">
        <f>SUMIFS($D$9:$BG$9,$D$7:$BG$7,"4",$D154:$BG154,"&gt;"&amp;-1)</f>
        <v>0</v>
      </c>
      <c r="BT154" s="143">
        <f t="shared" si="3"/>
        <v>0</v>
      </c>
      <c r="BU154" s="144">
        <f>SUMIF($D$7:$BG$7,"5",$D154:$BG154)</f>
        <v>0</v>
      </c>
      <c r="BV154" s="142">
        <f>SUMIFS($D$9:$BG$9,$D$7:$BG$7,"5",$D154:$BG154,"&gt;"&amp;-1)</f>
        <v>0</v>
      </c>
      <c r="BW154" s="143">
        <f t="shared" si="4"/>
        <v>0</v>
      </c>
      <c r="BX154" s="144">
        <f>SUMIF($D$7:$BG$7,"6",$D154:$BG154)</f>
        <v>0</v>
      </c>
      <c r="BY154" s="142">
        <f>SUMIFS($D$9:$BG$9,$D$7:$BG$7,"6",$D154:$BG154,"&gt;"&amp;-1)</f>
        <v>0</v>
      </c>
      <c r="BZ154" s="143">
        <f t="shared" si="5"/>
        <v>0</v>
      </c>
    </row>
    <row r="155" ht="15.75" customHeight="1" spans="1:78" x14ac:dyDescent="0.25">
      <c r="A155" s="1">
        <v>143</v>
      </c>
      <c r="B155" s="1" t="s">
        <v>337</v>
      </c>
      <c r="C155" s="171" t="s">
        <v>338</v>
      </c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67"/>
      <c r="AB155" s="167"/>
      <c r="AC155" s="172"/>
      <c r="AD155" s="172"/>
      <c r="AE155" s="167"/>
      <c r="AF155" s="167"/>
      <c r="AG155" s="172"/>
      <c r="AH155" s="172"/>
      <c r="AI155" s="172"/>
      <c r="AJ155" s="172"/>
      <c r="AK155" s="172"/>
      <c r="AL155" s="173"/>
      <c r="AM155" s="173">
        <f>SUMIF($D$6:$AJ$6,"IA-1",D155:AJ155)+AK155+AL155</f>
      </c>
      <c r="AN155" s="173"/>
      <c r="AO155" s="173"/>
      <c r="AP155" s="173">
        <f>SUMIF($D$6:$AJ$6,"IA-2",D155:AJ155)+AN155+AO155</f>
      </c>
      <c r="AQ155" s="173"/>
      <c r="AR155" s="173"/>
      <c r="AS155" s="173"/>
      <c r="AT155" s="173"/>
      <c r="AU155" s="167"/>
      <c r="AV155" s="167"/>
      <c r="AW155" s="173"/>
      <c r="AX155" s="173"/>
      <c r="AY155" s="173"/>
      <c r="AZ155" s="173"/>
      <c r="BA155" s="168"/>
      <c r="BB155" s="168"/>
      <c r="BC155" s="168"/>
      <c r="BD155" s="168"/>
      <c r="BE155" s="168"/>
      <c r="BF155" s="169"/>
      <c r="BG155" s="170"/>
      <c r="BH155" s="46"/>
      <c r="BI155" s="155">
        <f>SUMIF($D$7:$BG$7,"1",$D155:$BG155)</f>
        <v>0</v>
      </c>
      <c r="BJ155" s="142">
        <f>SUMIFS($D$9:$BG$9,$D$7:$BG$7,"1",$D155:$BG155,"&gt;"&amp;-1)</f>
        <v>0</v>
      </c>
      <c r="BK155" s="143">
        <f t="shared" si="0"/>
        <v>0</v>
      </c>
      <c r="BL155" s="144">
        <f>SUMIF($D$7:$BG$7,"2",$D155:$BG155)</f>
        <v>0</v>
      </c>
      <c r="BM155" s="142">
        <f>SUMIFS($D$9:$BG$9,$D$7:$BG$7,"2",$D155:$BG155,"&gt;"&amp;-1)</f>
        <v>0</v>
      </c>
      <c r="BN155" s="143">
        <f t="shared" si="1"/>
        <v>0</v>
      </c>
      <c r="BO155" s="144">
        <f>SUMIF($D$7:$BG$7,"3",$D155:$BG155)</f>
        <v>0</v>
      </c>
      <c r="BP155" s="142">
        <f>SUMIFS($D$9:$BG$9,$D$7:$BG$7,"3",$D155:$BG155,"&gt;"&amp;-1)</f>
        <v>0</v>
      </c>
      <c r="BQ155" s="143">
        <f t="shared" si="2"/>
        <v>0</v>
      </c>
      <c r="BR155" s="144">
        <f>SUMIF($D$7:$BG$7,"4",$D155:$BG155)</f>
        <v>0</v>
      </c>
      <c r="BS155" s="142">
        <f>SUMIFS($D$9:$BG$9,$D$7:$BG$7,"4",$D155:$BG155,"&gt;"&amp;-1)</f>
        <v>0</v>
      </c>
      <c r="BT155" s="143">
        <f t="shared" si="3"/>
        <v>0</v>
      </c>
      <c r="BU155" s="144">
        <f>SUMIF($D$7:$BG$7,"5",$D155:$BG155)</f>
        <v>0</v>
      </c>
      <c r="BV155" s="142">
        <f>SUMIFS($D$9:$BG$9,$D$7:$BG$7,"5",$D155:$BG155,"&gt;"&amp;-1)</f>
        <v>0</v>
      </c>
      <c r="BW155" s="143">
        <f t="shared" si="4"/>
        <v>0</v>
      </c>
      <c r="BX155" s="144">
        <f>SUMIF($D$7:$BG$7,"6",$D155:$BG155)</f>
        <v>0</v>
      </c>
      <c r="BY155" s="142">
        <f>SUMIFS($D$9:$BG$9,$D$7:$BG$7,"6",$D155:$BG155,"&gt;"&amp;-1)</f>
        <v>0</v>
      </c>
      <c r="BZ155" s="143">
        <f t="shared" si="5"/>
        <v>0</v>
      </c>
    </row>
    <row r="156" ht="15.75" customHeight="1" spans="1:78" x14ac:dyDescent="0.25">
      <c r="A156" s="1">
        <v>144</v>
      </c>
      <c r="B156" s="1" t="s">
        <v>339</v>
      </c>
      <c r="C156" s="171" t="s">
        <v>340</v>
      </c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67"/>
      <c r="AB156" s="167"/>
      <c r="AC156" s="172"/>
      <c r="AD156" s="172"/>
      <c r="AE156" s="167"/>
      <c r="AF156" s="167"/>
      <c r="AG156" s="172"/>
      <c r="AH156" s="172"/>
      <c r="AI156" s="172"/>
      <c r="AJ156" s="172"/>
      <c r="AK156" s="172"/>
      <c r="AL156" s="173"/>
      <c r="AM156" s="173">
        <f>SUMIF($D$6:$AJ$6,"IA-1",D156:AJ156)+AK156+AL156</f>
      </c>
      <c r="AN156" s="173"/>
      <c r="AO156" s="173"/>
      <c r="AP156" s="173">
        <f>SUMIF($D$6:$AJ$6,"IA-2",D156:AJ156)+AN156+AO156</f>
      </c>
      <c r="AQ156" s="173"/>
      <c r="AR156" s="173"/>
      <c r="AS156" s="173"/>
      <c r="AT156" s="173"/>
      <c r="AU156" s="167"/>
      <c r="AV156" s="167"/>
      <c r="AW156" s="173"/>
      <c r="AX156" s="173"/>
      <c r="AY156" s="173"/>
      <c r="AZ156" s="173"/>
      <c r="BA156" s="168"/>
      <c r="BB156" s="168"/>
      <c r="BC156" s="168"/>
      <c r="BD156" s="168"/>
      <c r="BE156" s="168"/>
      <c r="BF156" s="169"/>
      <c r="BG156" s="170"/>
      <c r="BH156" s="46"/>
      <c r="BI156" s="155">
        <f>SUMIF($D$7:$BG$7,"1",$D156:$BG156)</f>
        <v>0</v>
      </c>
      <c r="BJ156" s="142">
        <f>SUMIFS($D$9:$BG$9,$D$7:$BG$7,"1",$D156:$BG156,"&gt;"&amp;-1)</f>
        <v>0</v>
      </c>
      <c r="BK156" s="143">
        <f t="shared" si="0"/>
        <v>0</v>
      </c>
      <c r="BL156" s="144">
        <f>SUMIF($D$7:$BG$7,"2",$D156:$BG156)</f>
        <v>0</v>
      </c>
      <c r="BM156" s="142">
        <f>SUMIFS($D$9:$BG$9,$D$7:$BG$7,"2",$D156:$BG156,"&gt;"&amp;-1)</f>
        <v>0</v>
      </c>
      <c r="BN156" s="143">
        <f t="shared" si="1"/>
        <v>0</v>
      </c>
      <c r="BO156" s="144">
        <f>SUMIF($D$7:$BG$7,"3",$D156:$BG156)</f>
        <v>0</v>
      </c>
      <c r="BP156" s="142">
        <f>SUMIFS($D$9:$BG$9,$D$7:$BG$7,"3",$D156:$BG156,"&gt;"&amp;-1)</f>
        <v>0</v>
      </c>
      <c r="BQ156" s="143">
        <f t="shared" si="2"/>
        <v>0</v>
      </c>
      <c r="BR156" s="144">
        <f>SUMIF($D$7:$BG$7,"4",$D156:$BG156)</f>
        <v>0</v>
      </c>
      <c r="BS156" s="142">
        <f>SUMIFS($D$9:$BG$9,$D$7:$BG$7,"4",$D156:$BG156,"&gt;"&amp;-1)</f>
        <v>0</v>
      </c>
      <c r="BT156" s="143">
        <f t="shared" si="3"/>
        <v>0</v>
      </c>
      <c r="BU156" s="144">
        <f>SUMIF($D$7:$BG$7,"5",$D156:$BG156)</f>
        <v>0</v>
      </c>
      <c r="BV156" s="142">
        <f>SUMIFS($D$9:$BG$9,$D$7:$BG$7,"5",$D156:$BG156,"&gt;"&amp;-1)</f>
        <v>0</v>
      </c>
      <c r="BW156" s="143">
        <f t="shared" si="4"/>
        <v>0</v>
      </c>
      <c r="BX156" s="144">
        <f>SUMIF($D$7:$BG$7,"6",$D156:$BG156)</f>
        <v>0</v>
      </c>
      <c r="BY156" s="142">
        <f>SUMIFS($D$9:$BG$9,$D$7:$BG$7,"6",$D156:$BG156,"&gt;"&amp;-1)</f>
        <v>0</v>
      </c>
      <c r="BZ156" s="143">
        <f t="shared" si="5"/>
        <v>0</v>
      </c>
    </row>
    <row r="157" ht="15.75" customHeight="1" spans="1:78" x14ac:dyDescent="0.25">
      <c r="A157" s="1">
        <v>145</v>
      </c>
      <c r="B157" s="1" t="s">
        <v>341</v>
      </c>
      <c r="C157" s="171" t="s">
        <v>342</v>
      </c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67"/>
      <c r="AB157" s="167"/>
      <c r="AC157" s="172"/>
      <c r="AD157" s="172"/>
      <c r="AE157" s="167"/>
      <c r="AF157" s="167"/>
      <c r="AG157" s="172"/>
      <c r="AH157" s="172"/>
      <c r="AI157" s="172"/>
      <c r="AJ157" s="172"/>
      <c r="AK157" s="172"/>
      <c r="AL157" s="173"/>
      <c r="AM157" s="173">
        <f>SUMIF($D$6:$AJ$6,"IA-1",D157:AJ157)+AK157+AL157</f>
      </c>
      <c r="AN157" s="173"/>
      <c r="AO157" s="173"/>
      <c r="AP157" s="173">
        <f>SUMIF($D$6:$AJ$6,"IA-2",D157:AJ157)+AN157+AO157</f>
      </c>
      <c r="AQ157" s="173"/>
      <c r="AR157" s="173"/>
      <c r="AS157" s="173"/>
      <c r="AT157" s="173"/>
      <c r="AU157" s="167"/>
      <c r="AV157" s="167"/>
      <c r="AW157" s="173"/>
      <c r="AX157" s="173"/>
      <c r="AY157" s="173"/>
      <c r="AZ157" s="173"/>
      <c r="BA157" s="168"/>
      <c r="BB157" s="168"/>
      <c r="BC157" s="168"/>
      <c r="BD157" s="168"/>
      <c r="BE157" s="168"/>
      <c r="BF157" s="169"/>
      <c r="BG157" s="170"/>
      <c r="BH157" s="46"/>
      <c r="BI157" s="155">
        <f>SUMIF($D$7:$BG$7,"1",$D157:$BG157)</f>
        <v>0</v>
      </c>
      <c r="BJ157" s="142">
        <f>SUMIFS($D$9:$BG$9,$D$7:$BG$7,"1",$D157:$BG157,"&gt;"&amp;-1)</f>
        <v>0</v>
      </c>
      <c r="BK157" s="143">
        <f t="shared" si="0"/>
        <v>0</v>
      </c>
      <c r="BL157" s="144">
        <f>SUMIF($D$7:$BG$7,"2",$D157:$BG157)</f>
        <v>0</v>
      </c>
      <c r="BM157" s="142">
        <f>SUMIFS($D$9:$BG$9,$D$7:$BG$7,"2",$D157:$BG157,"&gt;"&amp;-1)</f>
        <v>0</v>
      </c>
      <c r="BN157" s="143">
        <f t="shared" si="1"/>
        <v>0</v>
      </c>
      <c r="BO157" s="144">
        <f>SUMIF($D$7:$BG$7,"3",$D157:$BG157)</f>
        <v>0</v>
      </c>
      <c r="BP157" s="142">
        <f>SUMIFS($D$9:$BG$9,$D$7:$BG$7,"3",$D157:$BG157,"&gt;"&amp;-1)</f>
        <v>0</v>
      </c>
      <c r="BQ157" s="143">
        <f t="shared" si="2"/>
        <v>0</v>
      </c>
      <c r="BR157" s="144">
        <f>SUMIF($D$7:$BG$7,"4",$D157:$BG157)</f>
        <v>0</v>
      </c>
      <c r="BS157" s="142">
        <f>SUMIFS($D$9:$BG$9,$D$7:$BG$7,"4",$D157:$BG157,"&gt;"&amp;-1)</f>
        <v>0</v>
      </c>
      <c r="BT157" s="143">
        <f t="shared" si="3"/>
        <v>0</v>
      </c>
      <c r="BU157" s="144">
        <f>SUMIF($D$7:$BG$7,"5",$D157:$BG157)</f>
        <v>0</v>
      </c>
      <c r="BV157" s="142">
        <f>SUMIFS($D$9:$BG$9,$D$7:$BG$7,"5",$D157:$BG157,"&gt;"&amp;-1)</f>
        <v>0</v>
      </c>
      <c r="BW157" s="143">
        <f t="shared" si="4"/>
        <v>0</v>
      </c>
      <c r="BX157" s="144">
        <f>SUMIF($D$7:$BG$7,"6",$D157:$BG157)</f>
        <v>0</v>
      </c>
      <c r="BY157" s="142">
        <f>SUMIFS($D$9:$BG$9,$D$7:$BG$7,"6",$D157:$BG157,"&gt;"&amp;-1)</f>
        <v>0</v>
      </c>
      <c r="BZ157" s="143">
        <f t="shared" si="5"/>
        <v>0</v>
      </c>
    </row>
    <row r="158" ht="15.75" customHeight="1" spans="1:78" x14ac:dyDescent="0.25">
      <c r="A158" s="1">
        <v>146</v>
      </c>
      <c r="B158" s="1" t="s">
        <v>343</v>
      </c>
      <c r="C158" s="171" t="s">
        <v>344</v>
      </c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67"/>
      <c r="AB158" s="167"/>
      <c r="AC158" s="172"/>
      <c r="AD158" s="172"/>
      <c r="AE158" s="167"/>
      <c r="AF158" s="167"/>
      <c r="AG158" s="172"/>
      <c r="AH158" s="172"/>
      <c r="AI158" s="172"/>
      <c r="AJ158" s="172"/>
      <c r="AK158" s="172"/>
      <c r="AL158" s="173"/>
      <c r="AM158" s="173">
        <f>SUMIF($D$6:$AJ$6,"IA-1",D158:AJ158)+AK158+AL158</f>
      </c>
      <c r="AN158" s="173"/>
      <c r="AO158" s="173"/>
      <c r="AP158" s="173">
        <f>SUMIF($D$6:$AJ$6,"IA-2",D158:AJ158)+AN158+AO158</f>
      </c>
      <c r="AQ158" s="173"/>
      <c r="AR158" s="173"/>
      <c r="AS158" s="173"/>
      <c r="AT158" s="173"/>
      <c r="AU158" s="167"/>
      <c r="AV158" s="167"/>
      <c r="AW158" s="173"/>
      <c r="AX158" s="173"/>
      <c r="AY158" s="173"/>
      <c r="AZ158" s="173"/>
      <c r="BA158" s="168"/>
      <c r="BB158" s="168"/>
      <c r="BC158" s="168"/>
      <c r="BD158" s="168"/>
      <c r="BE158" s="168"/>
      <c r="BF158" s="169"/>
      <c r="BG158" s="170"/>
      <c r="BH158" s="46"/>
      <c r="BI158" s="155">
        <f>SUMIF($D$7:$BG$7,"1",$D158:$BG158)</f>
        <v>0</v>
      </c>
      <c r="BJ158" s="142">
        <f>SUMIFS($D$9:$BG$9,$D$7:$BG$7,"1",$D158:$BG158,"&gt;"&amp;-1)</f>
        <v>0</v>
      </c>
      <c r="BK158" s="143">
        <f t="shared" si="0"/>
        <v>0</v>
      </c>
      <c r="BL158" s="144">
        <f>SUMIF($D$7:$BG$7,"2",$D158:$BG158)</f>
        <v>0</v>
      </c>
      <c r="BM158" s="142">
        <f>SUMIFS($D$9:$BG$9,$D$7:$BG$7,"2",$D158:$BG158,"&gt;"&amp;-1)</f>
        <v>0</v>
      </c>
      <c r="BN158" s="143">
        <f t="shared" si="1"/>
        <v>0</v>
      </c>
      <c r="BO158" s="144">
        <f>SUMIF($D$7:$BG$7,"3",$D158:$BG158)</f>
        <v>0</v>
      </c>
      <c r="BP158" s="142">
        <f>SUMIFS($D$9:$BG$9,$D$7:$BG$7,"3",$D158:$BG158,"&gt;"&amp;-1)</f>
        <v>0</v>
      </c>
      <c r="BQ158" s="143">
        <f t="shared" si="2"/>
        <v>0</v>
      </c>
      <c r="BR158" s="144">
        <f>SUMIF($D$7:$BG$7,"4",$D158:$BG158)</f>
        <v>0</v>
      </c>
      <c r="BS158" s="142">
        <f>SUMIFS($D$9:$BG$9,$D$7:$BG$7,"4",$D158:$BG158,"&gt;"&amp;-1)</f>
        <v>0</v>
      </c>
      <c r="BT158" s="143">
        <f t="shared" si="3"/>
        <v>0</v>
      </c>
      <c r="BU158" s="144">
        <f>SUMIF($D$7:$BG$7,"5",$D158:$BG158)</f>
        <v>0</v>
      </c>
      <c r="BV158" s="142">
        <f>SUMIFS($D$9:$BG$9,$D$7:$BG$7,"5",$D158:$BG158,"&gt;"&amp;-1)</f>
        <v>0</v>
      </c>
      <c r="BW158" s="143">
        <f t="shared" si="4"/>
        <v>0</v>
      </c>
      <c r="BX158" s="144">
        <f>SUMIF($D$7:$BG$7,"6",$D158:$BG158)</f>
        <v>0</v>
      </c>
      <c r="BY158" s="142">
        <f>SUMIFS($D$9:$BG$9,$D$7:$BG$7,"6",$D158:$BG158,"&gt;"&amp;-1)</f>
        <v>0</v>
      </c>
      <c r="BZ158" s="143">
        <f t="shared" si="5"/>
        <v>0</v>
      </c>
    </row>
    <row r="159" ht="15.75" customHeight="1" spans="1:78" x14ac:dyDescent="0.25">
      <c r="A159" s="1">
        <v>147</v>
      </c>
      <c r="B159" s="1" t="s">
        <v>345</v>
      </c>
      <c r="C159" s="171" t="s">
        <v>346</v>
      </c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67"/>
      <c r="AB159" s="167"/>
      <c r="AC159" s="172"/>
      <c r="AD159" s="172"/>
      <c r="AE159" s="167"/>
      <c r="AF159" s="167"/>
      <c r="AG159" s="172"/>
      <c r="AH159" s="172"/>
      <c r="AI159" s="172"/>
      <c r="AJ159" s="172"/>
      <c r="AK159" s="172"/>
      <c r="AL159" s="173"/>
      <c r="AM159" s="173">
        <f>SUMIF($D$6:$AJ$6,"IA-1",D159:AJ159)+AK159+AL159</f>
      </c>
      <c r="AN159" s="173"/>
      <c r="AO159" s="173"/>
      <c r="AP159" s="173">
        <f>SUMIF($D$6:$AJ$6,"IA-2",D159:AJ159)+AN159+AO159</f>
      </c>
      <c r="AQ159" s="173"/>
      <c r="AR159" s="173"/>
      <c r="AS159" s="173"/>
      <c r="AT159" s="173"/>
      <c r="AU159" s="167"/>
      <c r="AV159" s="167"/>
      <c r="AW159" s="173"/>
      <c r="AX159" s="173"/>
      <c r="AY159" s="173"/>
      <c r="AZ159" s="173"/>
      <c r="BA159" s="168"/>
      <c r="BB159" s="168"/>
      <c r="BC159" s="168"/>
      <c r="BD159" s="168"/>
      <c r="BE159" s="168"/>
      <c r="BF159" s="169"/>
      <c r="BG159" s="170"/>
      <c r="BH159" s="46"/>
      <c r="BI159" s="155">
        <f>SUMIF($D$7:$BG$7,"1",$D159:$BG159)</f>
        <v>0</v>
      </c>
      <c r="BJ159" s="142">
        <f>SUMIFS($D$9:$BG$9,$D$7:$BG$7,"1",$D159:$BG159,"&gt;"&amp;-1)</f>
        <v>0</v>
      </c>
      <c r="BK159" s="143">
        <f t="shared" si="0"/>
        <v>0</v>
      </c>
      <c r="BL159" s="144">
        <f>SUMIF($D$7:$BG$7,"2",$D159:$BG159)</f>
        <v>0</v>
      </c>
      <c r="BM159" s="142">
        <f>SUMIFS($D$9:$BG$9,$D$7:$BG$7,"2",$D159:$BG159,"&gt;"&amp;-1)</f>
        <v>0</v>
      </c>
      <c r="BN159" s="143">
        <f t="shared" si="1"/>
        <v>0</v>
      </c>
      <c r="BO159" s="144">
        <f>SUMIF($D$7:$BG$7,"3",$D159:$BG159)</f>
        <v>0</v>
      </c>
      <c r="BP159" s="142">
        <f>SUMIFS($D$9:$BG$9,$D$7:$BG$7,"3",$D159:$BG159,"&gt;"&amp;-1)</f>
        <v>0</v>
      </c>
      <c r="BQ159" s="143">
        <f t="shared" si="2"/>
        <v>0</v>
      </c>
      <c r="BR159" s="144">
        <f>SUMIF($D$7:$BG$7,"4",$D159:$BG159)</f>
        <v>0</v>
      </c>
      <c r="BS159" s="142">
        <f>SUMIFS($D$9:$BG$9,$D$7:$BG$7,"4",$D159:$BG159,"&gt;"&amp;-1)</f>
        <v>0</v>
      </c>
      <c r="BT159" s="143">
        <f t="shared" si="3"/>
        <v>0</v>
      </c>
      <c r="BU159" s="144">
        <f>SUMIF($D$7:$BG$7,"5",$D159:$BG159)</f>
        <v>0</v>
      </c>
      <c r="BV159" s="142">
        <f>SUMIFS($D$9:$BG$9,$D$7:$BG$7,"5",$D159:$BG159,"&gt;"&amp;-1)</f>
        <v>0</v>
      </c>
      <c r="BW159" s="143">
        <f t="shared" si="4"/>
        <v>0</v>
      </c>
      <c r="BX159" s="144">
        <f>SUMIF($D$7:$BG$7,"6",$D159:$BG159)</f>
        <v>0</v>
      </c>
      <c r="BY159" s="142">
        <f>SUMIFS($D$9:$BG$9,$D$7:$BG$7,"6",$D159:$BG159,"&gt;"&amp;-1)</f>
        <v>0</v>
      </c>
      <c r="BZ159" s="143">
        <f t="shared" si="5"/>
        <v>0</v>
      </c>
    </row>
    <row r="160" ht="15.75" customHeight="1" spans="1:78" x14ac:dyDescent="0.25">
      <c r="A160" s="1">
        <v>148</v>
      </c>
      <c r="B160" s="1" t="s">
        <v>347</v>
      </c>
      <c r="C160" s="1" t="s">
        <v>348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67"/>
      <c r="AB160" s="167"/>
      <c r="AC160" s="1"/>
      <c r="AD160" s="1"/>
      <c r="AE160" s="167"/>
      <c r="AF160" s="167"/>
      <c r="AG160" s="1"/>
      <c r="AH160" s="1"/>
      <c r="AI160" s="1"/>
      <c r="AJ160" s="1"/>
      <c r="AK160" s="1"/>
      <c r="AL160" s="1"/>
      <c r="AM160" s="1">
        <f>SUMIF($D$6:$AJ$6,"IA-1",D160:AJ160)+AK160+AL160</f>
      </c>
      <c r="AN160" s="1"/>
      <c r="AO160" s="1"/>
      <c r="AP160" s="1">
        <f>SUMIF($D$6:$AJ$6,"IA-2",D160:AJ160)+AN160+AO160</f>
      </c>
      <c r="AQ160" s="1"/>
      <c r="AR160" s="1"/>
      <c r="AS160" s="1"/>
      <c r="AT160" s="1"/>
      <c r="AU160" s="167"/>
      <c r="AV160" s="167"/>
      <c r="AW160" s="1"/>
      <c r="AX160" s="1"/>
      <c r="AY160" s="1"/>
      <c r="AZ160" s="1"/>
      <c r="BA160" s="168"/>
      <c r="BB160" s="168"/>
      <c r="BC160" s="168"/>
      <c r="BD160" s="168"/>
      <c r="BE160" s="168"/>
      <c r="BF160" s="169"/>
      <c r="BG160" s="170"/>
      <c r="BH160" s="46"/>
      <c r="BI160" s="155">
        <f>SUMIF($D$7:$BG$7,"1",$D160:$BG160)</f>
        <v>0</v>
      </c>
      <c r="BJ160" s="142">
        <f>SUMIFS($D$9:$BG$9,$D$7:$BG$7,"1",$D160:$BG160,"&gt;"&amp;-1)</f>
        <v>0</v>
      </c>
      <c r="BK160" s="143">
        <f t="shared" si="0"/>
        <v>0</v>
      </c>
      <c r="BL160" s="144">
        <f>SUMIF($D$7:$BG$7,"2",$D160:$BG160)</f>
        <v>0</v>
      </c>
      <c r="BM160" s="142">
        <f>SUMIFS($D$9:$BG$9,$D$7:$BG$7,"2",$D160:$BG160,"&gt;"&amp;-1)</f>
        <v>0</v>
      </c>
      <c r="BN160" s="143">
        <f t="shared" si="1"/>
        <v>0</v>
      </c>
      <c r="BO160" s="144">
        <f>SUMIF($D$7:$BG$7,"3",$D160:$BG160)</f>
        <v>0</v>
      </c>
      <c r="BP160" s="142">
        <f>SUMIFS($D$9:$BG$9,$D$7:$BG$7,"3",$D160:$BG160,"&gt;"&amp;-1)</f>
        <v>0</v>
      </c>
      <c r="BQ160" s="143">
        <f t="shared" si="2"/>
        <v>0</v>
      </c>
      <c r="BR160" s="144">
        <f>SUMIF($D$7:$BG$7,"4",$D160:$BG160)</f>
        <v>0</v>
      </c>
      <c r="BS160" s="142">
        <f>SUMIFS($D$9:$BG$9,$D$7:$BG$7,"4",$D160:$BG160,"&gt;"&amp;-1)</f>
        <v>0</v>
      </c>
      <c r="BT160" s="143">
        <f t="shared" si="3"/>
        <v>0</v>
      </c>
      <c r="BU160" s="144">
        <f>SUMIF($D$7:$BG$7,"5",$D160:$BG160)</f>
        <v>0</v>
      </c>
      <c r="BV160" s="142">
        <f>SUMIFS($D$9:$BG$9,$D$7:$BG$7,"5",$D160:$BG160,"&gt;"&amp;-1)</f>
        <v>0</v>
      </c>
      <c r="BW160" s="143">
        <f t="shared" si="4"/>
        <v>0</v>
      </c>
      <c r="BX160" s="144">
        <f>SUMIF($D$7:$BG$7,"6",$D160:$BG160)</f>
        <v>0</v>
      </c>
      <c r="BY160" s="142">
        <f>SUMIFS($D$9:$BG$9,$D$7:$BG$7,"6",$D160:$BG160,"&gt;"&amp;-1)</f>
        <v>0</v>
      </c>
      <c r="BZ160" s="143">
        <f t="shared" si="5"/>
        <v>0</v>
      </c>
    </row>
    <row r="161" ht="15.75" customHeight="1" spans="1:78" x14ac:dyDescent="0.25">
      <c r="A161" s="1">
        <v>149</v>
      </c>
      <c r="B161" s="1" t="s">
        <v>349</v>
      </c>
      <c r="C161" s="1" t="s">
        <v>350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67"/>
      <c r="AB161" s="167"/>
      <c r="AC161" s="1"/>
      <c r="AD161" s="1"/>
      <c r="AE161" s="167"/>
      <c r="AF161" s="167"/>
      <c r="AG161" s="1"/>
      <c r="AH161" s="1"/>
      <c r="AI161" s="1"/>
      <c r="AJ161" s="1"/>
      <c r="AK161" s="1"/>
      <c r="AL161" s="1"/>
      <c r="AM161" s="1">
        <f>SUMIF($D$6:$AJ$6,"IA-1",D161:AJ161)+AK161+AL161</f>
      </c>
      <c r="AN161" s="1"/>
      <c r="AO161" s="1"/>
      <c r="AP161" s="1">
        <f>SUMIF($D$6:$AJ$6,"IA-2",D161:AJ161)+AN161+AO161</f>
      </c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68"/>
      <c r="BB161" s="168"/>
      <c r="BC161" s="168"/>
      <c r="BD161" s="168"/>
      <c r="BE161" s="168"/>
      <c r="BF161" s="169"/>
      <c r="BG161" s="170"/>
      <c r="BH161" s="46"/>
      <c r="BI161" s="155">
        <f>SUMIF($D$7:$BG$7,"1",$D161:$BG161)</f>
        <v>0</v>
      </c>
      <c r="BJ161" s="142">
        <f>SUMIFS($D$9:$BG$9,$D$7:$BG$7,"1",$D161:$BG161,"&gt;"&amp;-1)</f>
        <v>0</v>
      </c>
      <c r="BK161" s="143">
        <f t="shared" si="0"/>
        <v>0</v>
      </c>
      <c r="BL161" s="144">
        <f>SUMIF($D$7:$BG$7,"2",$D161:$BG161)</f>
        <v>0</v>
      </c>
      <c r="BM161" s="142">
        <f>SUMIFS($D$9:$BG$9,$D$7:$BG$7,"2",$D161:$BG161,"&gt;"&amp;-1)</f>
        <v>0</v>
      </c>
      <c r="BN161" s="143">
        <f t="shared" si="1"/>
        <v>0</v>
      </c>
      <c r="BO161" s="144">
        <f>SUMIF($D$7:$BG$7,"3",$D161:$BG161)</f>
        <v>0</v>
      </c>
      <c r="BP161" s="142">
        <f>SUMIFS($D$9:$BG$9,$D$7:$BG$7,"3",$D161:$BG161,"&gt;"&amp;-1)</f>
        <v>0</v>
      </c>
      <c r="BQ161" s="143">
        <f t="shared" si="2"/>
        <v>0</v>
      </c>
      <c r="BR161" s="144">
        <f>SUMIF($D$7:$BG$7,"4",$D161:$BG161)</f>
        <v>0</v>
      </c>
      <c r="BS161" s="142">
        <f>SUMIFS($D$9:$BG$9,$D$7:$BG$7,"4",$D161:$BG161,"&gt;"&amp;-1)</f>
        <v>0</v>
      </c>
      <c r="BT161" s="143">
        <f t="shared" si="3"/>
        <v>0</v>
      </c>
      <c r="BU161" s="144">
        <f>SUMIF($D$7:$BG$7,"5",$D161:$BG161)</f>
        <v>0</v>
      </c>
      <c r="BV161" s="142">
        <f>SUMIFS($D$9:$BG$9,$D$7:$BG$7,"5",$D161:$BG161,"&gt;"&amp;-1)</f>
        <v>0</v>
      </c>
      <c r="BW161" s="143">
        <f t="shared" si="4"/>
        <v>0</v>
      </c>
      <c r="BX161" s="144">
        <f>SUMIF($D$7:$BG$7,"6",$D161:$BG161)</f>
        <v>0</v>
      </c>
      <c r="BY161" s="142">
        <f>SUMIFS($D$9:$BG$9,$D$7:$BG$7,"6",$D161:$BG161,"&gt;"&amp;-1)</f>
        <v>0</v>
      </c>
      <c r="BZ161" s="143">
        <f t="shared" si="5"/>
        <v>0</v>
      </c>
    </row>
    <row r="162" ht="15.75" customHeight="1" spans="1:78" x14ac:dyDescent="0.25">
      <c r="A162" s="1">
        <v>150</v>
      </c>
      <c r="B162" s="1" t="s">
        <v>351</v>
      </c>
      <c r="C162" s="1" t="s">
        <v>352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67"/>
      <c r="AB162" s="167"/>
      <c r="AC162" s="1"/>
      <c r="AD162" s="1"/>
      <c r="AE162" s="167"/>
      <c r="AF162" s="167"/>
      <c r="AG162" s="1"/>
      <c r="AH162" s="1"/>
      <c r="AI162" s="1"/>
      <c r="AJ162" s="1"/>
      <c r="AK162" s="1"/>
      <c r="AL162" s="1"/>
      <c r="AM162" s="1">
        <f>SUMIF($D$6:$AJ$6,"IA-1",D162:AJ162)+AK162+AL162</f>
      </c>
      <c r="AN162" s="1"/>
      <c r="AO162" s="1"/>
      <c r="AP162" s="1">
        <f>SUMIF($D$6:$AJ$6,"IA-2",D162:AJ162)+AN162+AO162</f>
      </c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68"/>
      <c r="BB162" s="168"/>
      <c r="BC162" s="168"/>
      <c r="BD162" s="168"/>
      <c r="BE162" s="168"/>
      <c r="BF162" s="169"/>
      <c r="BG162" s="170"/>
      <c r="BH162" s="46"/>
      <c r="BI162" s="155">
        <f>SUMIF($D$7:$BG$7,"1",$D162:$BG162)</f>
        <v>0</v>
      </c>
      <c r="BJ162" s="142">
        <f>SUMIFS($D$9:$BG$9,$D$7:$BG$7,"1",$D162:$BG162,"&gt;"&amp;-1)</f>
        <v>0</v>
      </c>
      <c r="BK162" s="143">
        <f t="shared" si="0"/>
        <v>0</v>
      </c>
      <c r="BL162" s="144">
        <f>SUMIF($D$7:$BG$7,"2",$D162:$BG162)</f>
        <v>0</v>
      </c>
      <c r="BM162" s="142">
        <f>SUMIFS($D$9:$BG$9,$D$7:$BG$7,"2",$D162:$BG162,"&gt;"&amp;-1)</f>
        <v>0</v>
      </c>
      <c r="BN162" s="143">
        <f t="shared" si="1"/>
        <v>0</v>
      </c>
      <c r="BO162" s="144">
        <f>SUMIF($D$7:$BG$7,"3",$D162:$BG162)</f>
        <v>0</v>
      </c>
      <c r="BP162" s="142">
        <f>SUMIFS($D$9:$BG$9,$D$7:$BG$7,"3",$D162:$BG162,"&gt;"&amp;-1)</f>
        <v>0</v>
      </c>
      <c r="BQ162" s="143">
        <f t="shared" si="2"/>
        <v>0</v>
      </c>
      <c r="BR162" s="144">
        <f>SUMIF($D$7:$BG$7,"4",$D162:$BG162)</f>
        <v>0</v>
      </c>
      <c r="BS162" s="142">
        <f>SUMIFS($D$9:$BG$9,$D$7:$BG$7,"4",$D162:$BG162,"&gt;"&amp;-1)</f>
        <v>0</v>
      </c>
      <c r="BT162" s="143">
        <f t="shared" si="3"/>
        <v>0</v>
      </c>
      <c r="BU162" s="144">
        <f>SUMIF($D$7:$BG$7,"5",$D162:$BG162)</f>
        <v>0</v>
      </c>
      <c r="BV162" s="142">
        <f>SUMIFS($D$9:$BG$9,$D$7:$BG$7,"5",$D162:$BG162,"&gt;"&amp;-1)</f>
        <v>0</v>
      </c>
      <c r="BW162" s="143">
        <f t="shared" si="4"/>
        <v>0</v>
      </c>
      <c r="BX162" s="144">
        <f>SUMIF($D$7:$BG$7,"6",$D162:$BG162)</f>
        <v>0</v>
      </c>
      <c r="BY162" s="142">
        <f>SUMIFS($D$9:$BG$9,$D$7:$BG$7,"6",$D162:$BG162,"&gt;"&amp;-1)</f>
        <v>0</v>
      </c>
      <c r="BZ162" s="143">
        <f t="shared" si="5"/>
        <v>0</v>
      </c>
    </row>
    <row r="163" ht="15.75" customHeight="1" spans="1:78" x14ac:dyDescent="0.25">
      <c r="A163" s="1">
        <v>151</v>
      </c>
      <c r="B163" s="1" t="s">
        <v>353</v>
      </c>
      <c r="C163" s="1" t="s">
        <v>354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67"/>
      <c r="AB163" s="167"/>
      <c r="AC163" s="1"/>
      <c r="AD163" s="1"/>
      <c r="AE163" s="167"/>
      <c r="AF163" s="167"/>
      <c r="AG163" s="1"/>
      <c r="AH163" s="1"/>
      <c r="AI163" s="1"/>
      <c r="AJ163" s="1"/>
      <c r="AK163" s="1"/>
      <c r="AL163" s="1"/>
      <c r="AM163" s="1">
        <f>SUMIF($D$6:$AJ$6,"IA-1",D163:AJ163)+AK163+AL163</f>
      </c>
      <c r="AN163" s="1"/>
      <c r="AO163" s="1"/>
      <c r="AP163" s="1">
        <f>SUMIF($D$6:$AJ$6,"IA-2",D163:AJ163)+AN163+AO163</f>
      </c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68"/>
      <c r="BB163" s="168"/>
      <c r="BC163" s="168"/>
      <c r="BD163" s="168"/>
      <c r="BE163" s="168"/>
      <c r="BF163" s="169"/>
      <c r="BG163" s="170"/>
      <c r="BH163" s="46"/>
      <c r="BI163" s="155">
        <f>SUMIF($D$7:$BG$7,"1",$D163:$BG163)</f>
        <v>0</v>
      </c>
      <c r="BJ163" s="142">
        <f>SUMIFS($D$9:$BG$9,$D$7:$BG$7,"1",$D163:$BG163,"&gt;"&amp;-1)</f>
        <v>0</v>
      </c>
      <c r="BK163" s="143">
        <f t="shared" si="0"/>
        <v>0</v>
      </c>
      <c r="BL163" s="144">
        <f>SUMIF($D$7:$BG$7,"2",$D163:$BG163)</f>
        <v>0</v>
      </c>
      <c r="BM163" s="142">
        <f>SUMIFS($D$9:$BG$9,$D$7:$BG$7,"2",$D163:$BG163,"&gt;"&amp;-1)</f>
        <v>0</v>
      </c>
      <c r="BN163" s="143">
        <f t="shared" si="1"/>
        <v>0</v>
      </c>
      <c r="BO163" s="144">
        <f>SUMIF($D$7:$BG$7,"3",$D163:$BG163)</f>
        <v>0</v>
      </c>
      <c r="BP163" s="142">
        <f>SUMIFS($D$9:$BG$9,$D$7:$BG$7,"3",$D163:$BG163,"&gt;"&amp;-1)</f>
        <v>0</v>
      </c>
      <c r="BQ163" s="143">
        <f t="shared" si="2"/>
        <v>0</v>
      </c>
      <c r="BR163" s="144">
        <f>SUMIF($D$7:$BG$7,"4",$D163:$BG163)</f>
        <v>0</v>
      </c>
      <c r="BS163" s="142">
        <f>SUMIFS($D$9:$BG$9,$D$7:$BG$7,"4",$D163:$BG163,"&gt;"&amp;-1)</f>
        <v>0</v>
      </c>
      <c r="BT163" s="143">
        <f t="shared" si="3"/>
        <v>0</v>
      </c>
      <c r="BU163" s="144">
        <f>SUMIF($D$7:$BG$7,"5",$D163:$BG163)</f>
        <v>0</v>
      </c>
      <c r="BV163" s="142">
        <f>SUMIFS($D$9:$BG$9,$D$7:$BG$7,"5",$D163:$BG163,"&gt;"&amp;-1)</f>
        <v>0</v>
      </c>
      <c r="BW163" s="143">
        <f t="shared" si="4"/>
        <v>0</v>
      </c>
      <c r="BX163" s="144">
        <f>SUMIF($D$7:$BG$7,"6",$D163:$BG163)</f>
        <v>0</v>
      </c>
      <c r="BY163" s="142">
        <f>SUMIFS($D$9:$BG$9,$D$7:$BG$7,"6",$D163:$BG163,"&gt;"&amp;-1)</f>
        <v>0</v>
      </c>
      <c r="BZ163" s="143">
        <f t="shared" si="5"/>
        <v>0</v>
      </c>
    </row>
    <row r="164" ht="15.75" customHeight="1" spans="1:78" x14ac:dyDescent="0.25">
      <c r="A164" s="1">
        <v>152</v>
      </c>
      <c r="B164" s="1" t="s">
        <v>355</v>
      </c>
      <c r="C164" s="1" t="s">
        <v>356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67"/>
      <c r="AB164" s="167"/>
      <c r="AC164" s="1"/>
      <c r="AD164" s="1"/>
      <c r="AE164" s="167"/>
      <c r="AF164" s="167"/>
      <c r="AG164" s="1"/>
      <c r="AH164" s="1"/>
      <c r="AI164" s="1"/>
      <c r="AJ164" s="1"/>
      <c r="AK164" s="1"/>
      <c r="AL164" s="1"/>
      <c r="AM164" s="1">
        <f>SUMIF($D$6:$AJ$6,"IA-1",D164:AJ164)+AK164+AL164</f>
      </c>
      <c r="AN164" s="1"/>
      <c r="AO164" s="1"/>
      <c r="AP164" s="1">
        <f>SUMIF($D$6:$AJ$6,"IA-2",D164:AJ164)+AN164+AO164</f>
      </c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68"/>
      <c r="BB164" s="168"/>
      <c r="BC164" s="168"/>
      <c r="BD164" s="168"/>
      <c r="BE164" s="168"/>
      <c r="BF164" s="169"/>
      <c r="BG164" s="170"/>
      <c r="BH164" s="46"/>
      <c r="BI164" s="155">
        <f>SUMIF($D$7:$BG$7,"1",$D164:$BG164)</f>
        <v>0</v>
      </c>
      <c r="BJ164" s="142">
        <f>SUMIFS($D$9:$BG$9,$D$7:$BG$7,"1",$D164:$BG164,"&gt;"&amp;-1)</f>
        <v>0</v>
      </c>
      <c r="BK164" s="143">
        <f t="shared" si="0"/>
        <v>0</v>
      </c>
      <c r="BL164" s="144">
        <f>SUMIF($D$7:$BG$7,"2",$D164:$BG164)</f>
        <v>0</v>
      </c>
      <c r="BM164" s="142">
        <f>SUMIFS($D$9:$BG$9,$D$7:$BG$7,"2",$D164:$BG164,"&gt;"&amp;-1)</f>
        <v>0</v>
      </c>
      <c r="BN164" s="143">
        <f t="shared" si="1"/>
        <v>0</v>
      </c>
      <c r="BO164" s="144">
        <f>SUMIF($D$7:$BG$7,"3",$D164:$BG164)</f>
        <v>0</v>
      </c>
      <c r="BP164" s="142">
        <f>SUMIFS($D$9:$BG$9,$D$7:$BG$7,"3",$D164:$BG164,"&gt;"&amp;-1)</f>
        <v>0</v>
      </c>
      <c r="BQ164" s="143">
        <f t="shared" si="2"/>
        <v>0</v>
      </c>
      <c r="BR164" s="144">
        <f>SUMIF($D$7:$BG$7,"4",$D164:$BG164)</f>
        <v>0</v>
      </c>
      <c r="BS164" s="142">
        <f>SUMIFS($D$9:$BG$9,$D$7:$BG$7,"4",$D164:$BG164,"&gt;"&amp;-1)</f>
        <v>0</v>
      </c>
      <c r="BT164" s="143">
        <f t="shared" si="3"/>
        <v>0</v>
      </c>
      <c r="BU164" s="144">
        <f>SUMIF($D$7:$BG$7,"5",$D164:$BG164)</f>
        <v>0</v>
      </c>
      <c r="BV164" s="142">
        <f>SUMIFS($D$9:$BG$9,$D$7:$BG$7,"5",$D164:$BG164,"&gt;"&amp;-1)</f>
        <v>0</v>
      </c>
      <c r="BW164" s="143">
        <f t="shared" si="4"/>
        <v>0</v>
      </c>
      <c r="BX164" s="144">
        <f>SUMIF($D$7:$BG$7,"6",$D164:$BG164)</f>
        <v>0</v>
      </c>
      <c r="BY164" s="142">
        <f>SUMIFS($D$9:$BG$9,$D$7:$BG$7,"6",$D164:$BG164,"&gt;"&amp;-1)</f>
        <v>0</v>
      </c>
      <c r="BZ164" s="143">
        <f t="shared" si="5"/>
        <v>0</v>
      </c>
    </row>
    <row r="165" ht="15.75" customHeight="1" spans="1:78" x14ac:dyDescent="0.25">
      <c r="A165" s="1">
        <v>153</v>
      </c>
      <c r="B165" s="1" t="s">
        <v>357</v>
      </c>
      <c r="C165" s="1" t="s">
        <v>358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67"/>
      <c r="AB165" s="167"/>
      <c r="AC165" s="1"/>
      <c r="AD165" s="1"/>
      <c r="AE165" s="167"/>
      <c r="AF165" s="167"/>
      <c r="AG165" s="1"/>
      <c r="AH165" s="1"/>
      <c r="AI165" s="1"/>
      <c r="AJ165" s="1"/>
      <c r="AK165" s="1"/>
      <c r="AL165" s="1"/>
      <c r="AM165" s="1">
        <f>SUMIF($D$6:$AJ$6,"IA-1",D165:AJ165)+AK165+AL165</f>
      </c>
      <c r="AN165" s="1"/>
      <c r="AO165" s="1"/>
      <c r="AP165" s="1">
        <f>SUMIF($D$6:$AJ$6,"IA-2",D165:AJ165)+AN165+AO165</f>
      </c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68"/>
      <c r="BB165" s="168"/>
      <c r="BC165" s="168"/>
      <c r="BD165" s="168"/>
      <c r="BE165" s="168"/>
      <c r="BF165" s="169"/>
      <c r="BG165" s="170"/>
      <c r="BH165" s="46"/>
      <c r="BI165" s="155">
        <f>SUMIF($D$7:$BG$7,"1",$D165:$BG165)</f>
        <v>0</v>
      </c>
      <c r="BJ165" s="142">
        <f>SUMIFS($D$9:$BG$9,$D$7:$BG$7,"1",$D165:$BG165,"&gt;"&amp;-1)</f>
        <v>0</v>
      </c>
      <c r="BK165" s="143">
        <f t="shared" si="0"/>
        <v>0</v>
      </c>
      <c r="BL165" s="144">
        <f>SUMIF($D$7:$BG$7,"2",$D165:$BG165)</f>
        <v>0</v>
      </c>
      <c r="BM165" s="142">
        <f>SUMIFS($D$9:$BG$9,$D$7:$BG$7,"2",$D165:$BG165,"&gt;"&amp;-1)</f>
        <v>0</v>
      </c>
      <c r="BN165" s="143">
        <f t="shared" si="1"/>
        <v>0</v>
      </c>
      <c r="BO165" s="144">
        <f>SUMIF($D$7:$BG$7,"3",$D165:$BG165)</f>
        <v>0</v>
      </c>
      <c r="BP165" s="142">
        <f>SUMIFS($D$9:$BG$9,$D$7:$BG$7,"3",$D165:$BG165,"&gt;"&amp;-1)</f>
        <v>0</v>
      </c>
      <c r="BQ165" s="143">
        <f t="shared" si="2"/>
        <v>0</v>
      </c>
      <c r="BR165" s="144">
        <f>SUMIF($D$7:$BG$7,"4",$D165:$BG165)</f>
        <v>0</v>
      </c>
      <c r="BS165" s="142">
        <f>SUMIFS($D$9:$BG$9,$D$7:$BG$7,"4",$D165:$BG165,"&gt;"&amp;-1)</f>
        <v>0</v>
      </c>
      <c r="BT165" s="143">
        <f t="shared" si="3"/>
        <v>0</v>
      </c>
      <c r="BU165" s="144">
        <f>SUMIF($D$7:$BG$7,"5",$D165:$BG165)</f>
        <v>0</v>
      </c>
      <c r="BV165" s="142">
        <f>SUMIFS($D$9:$BG$9,$D$7:$BG$7,"5",$D165:$BG165,"&gt;"&amp;-1)</f>
        <v>0</v>
      </c>
      <c r="BW165" s="143">
        <f t="shared" si="4"/>
        <v>0</v>
      </c>
      <c r="BX165" s="144">
        <f>SUMIF($D$7:$BG$7,"6",$D165:$BG165)</f>
        <v>0</v>
      </c>
      <c r="BY165" s="142">
        <f>SUMIFS($D$9:$BG$9,$D$7:$BG$7,"6",$D165:$BG165,"&gt;"&amp;-1)</f>
        <v>0</v>
      </c>
      <c r="BZ165" s="143">
        <f t="shared" si="5"/>
        <v>0</v>
      </c>
    </row>
    <row r="166" ht="15.75" customHeight="1" spans="1:78" x14ac:dyDescent="0.25">
      <c r="A166" s="1">
        <v>154</v>
      </c>
      <c r="B166" s="1" t="s">
        <v>359</v>
      </c>
      <c r="C166" s="1" t="s">
        <v>360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67"/>
      <c r="AB166" s="167"/>
      <c r="AC166" s="1"/>
      <c r="AD166" s="1"/>
      <c r="AE166" s="167"/>
      <c r="AF166" s="167"/>
      <c r="AG166" s="1"/>
      <c r="AH166" s="1"/>
      <c r="AI166" s="1"/>
      <c r="AJ166" s="1"/>
      <c r="AK166" s="1"/>
      <c r="AL166" s="1"/>
      <c r="AM166" s="1">
        <f>SUMIF($D$6:$AJ$6,"IA-1",D166:AJ166)+AK166+AL166</f>
      </c>
      <c r="AN166" s="1"/>
      <c r="AO166" s="1"/>
      <c r="AP166" s="1">
        <f>SUMIF($D$6:$AJ$6,"IA-2",D166:AJ166)+AN166+AO166</f>
      </c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68"/>
      <c r="BB166" s="168"/>
      <c r="BC166" s="168"/>
      <c r="BD166" s="168"/>
      <c r="BE166" s="168"/>
      <c r="BF166" s="169"/>
      <c r="BG166" s="170"/>
      <c r="BH166" s="46"/>
      <c r="BI166" s="155">
        <f>SUMIF($D$7:$BG$7,"1",$D166:$BG166)</f>
        <v>0</v>
      </c>
      <c r="BJ166" s="142">
        <f>SUMIFS($D$9:$BG$9,$D$7:$BG$7,"1",$D166:$BG166,"&gt;"&amp;-1)</f>
        <v>0</v>
      </c>
      <c r="BK166" s="143">
        <f t="shared" si="0"/>
        <v>0</v>
      </c>
      <c r="BL166" s="144">
        <f>SUMIF($D$7:$BG$7,"2",$D166:$BG166)</f>
        <v>0</v>
      </c>
      <c r="BM166" s="142">
        <f>SUMIFS($D$9:$BG$9,$D$7:$BG$7,"2",$D166:$BG166,"&gt;"&amp;-1)</f>
        <v>0</v>
      </c>
      <c r="BN166" s="143">
        <f t="shared" si="1"/>
        <v>0</v>
      </c>
      <c r="BO166" s="144">
        <f>SUMIF($D$7:$BG$7,"3",$D166:$BG166)</f>
        <v>0</v>
      </c>
      <c r="BP166" s="142">
        <f>SUMIFS($D$9:$BG$9,$D$7:$BG$7,"3",$D166:$BG166,"&gt;"&amp;-1)</f>
        <v>0</v>
      </c>
      <c r="BQ166" s="143">
        <f t="shared" si="2"/>
        <v>0</v>
      </c>
      <c r="BR166" s="144">
        <f>SUMIF($D$7:$BG$7,"4",$D166:$BG166)</f>
        <v>0</v>
      </c>
      <c r="BS166" s="142">
        <f>SUMIFS($D$9:$BG$9,$D$7:$BG$7,"4",$D166:$BG166,"&gt;"&amp;-1)</f>
        <v>0</v>
      </c>
      <c r="BT166" s="143">
        <f t="shared" si="3"/>
        <v>0</v>
      </c>
      <c r="BU166" s="144">
        <f>SUMIF($D$7:$BG$7,"5",$D166:$BG166)</f>
        <v>0</v>
      </c>
      <c r="BV166" s="142">
        <f>SUMIFS($D$9:$BG$9,$D$7:$BG$7,"5",$D166:$BG166,"&gt;"&amp;-1)</f>
        <v>0</v>
      </c>
      <c r="BW166" s="143">
        <f t="shared" si="4"/>
        <v>0</v>
      </c>
      <c r="BX166" s="144">
        <f>SUMIF($D$7:$BG$7,"6",$D166:$BG166)</f>
        <v>0</v>
      </c>
      <c r="BY166" s="142">
        <f>SUMIFS($D$9:$BG$9,$D$7:$BG$7,"6",$D166:$BG166,"&gt;"&amp;-1)</f>
        <v>0</v>
      </c>
      <c r="BZ166" s="143">
        <f t="shared" si="5"/>
        <v>0</v>
      </c>
    </row>
    <row r="167" ht="15.75" customHeight="1" spans="1:78" x14ac:dyDescent="0.25">
      <c r="A167" s="1">
        <v>155</v>
      </c>
      <c r="B167" s="1" t="s">
        <v>361</v>
      </c>
      <c r="C167" s="1" t="s">
        <v>362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67"/>
      <c r="AB167" s="167"/>
      <c r="AC167" s="1"/>
      <c r="AD167" s="1"/>
      <c r="AE167" s="167"/>
      <c r="AF167" s="167"/>
      <c r="AG167" s="1"/>
      <c r="AH167" s="1"/>
      <c r="AI167" s="1"/>
      <c r="AJ167" s="1"/>
      <c r="AK167" s="1"/>
      <c r="AL167" s="1"/>
      <c r="AM167" s="1">
        <f>SUMIF($D$6:$AJ$6,"IA-1",D167:AJ167)+AK167+AL167</f>
      </c>
      <c r="AN167" s="1"/>
      <c r="AO167" s="1"/>
      <c r="AP167" s="1">
        <f>SUMIF($D$6:$AJ$6,"IA-2",D167:AJ167)+AN167+AO167</f>
      </c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68"/>
      <c r="BB167" s="168"/>
      <c r="BC167" s="168"/>
      <c r="BD167" s="168"/>
      <c r="BE167" s="168"/>
      <c r="BF167" s="169"/>
      <c r="BG167" s="170"/>
      <c r="BH167" s="46"/>
      <c r="BI167" s="155">
        <f>SUMIF($D$7:$BG$7,"1",$D167:$BG167)</f>
        <v>0</v>
      </c>
      <c r="BJ167" s="142">
        <f>SUMIFS($D$9:$BG$9,$D$7:$BG$7,"1",$D167:$BG167,"&gt;"&amp;-1)</f>
        <v>0</v>
      </c>
      <c r="BK167" s="143">
        <f t="shared" si="0"/>
        <v>0</v>
      </c>
      <c r="BL167" s="144">
        <f>SUMIF($D$7:$BG$7,"2",$D167:$BG167)</f>
        <v>0</v>
      </c>
      <c r="BM167" s="142">
        <f>SUMIFS($D$9:$BG$9,$D$7:$BG$7,"2",$D167:$BG167,"&gt;"&amp;-1)</f>
        <v>0</v>
      </c>
      <c r="BN167" s="143">
        <f t="shared" si="1"/>
        <v>0</v>
      </c>
      <c r="BO167" s="144">
        <f>SUMIF($D$7:$BG$7,"3",$D167:$BG167)</f>
        <v>0</v>
      </c>
      <c r="BP167" s="142">
        <f>SUMIFS($D$9:$BG$9,$D$7:$BG$7,"3",$D167:$BG167,"&gt;"&amp;-1)</f>
        <v>0</v>
      </c>
      <c r="BQ167" s="143">
        <f t="shared" si="2"/>
        <v>0</v>
      </c>
      <c r="BR167" s="144">
        <f>SUMIF($D$7:$BG$7,"4",$D167:$BG167)</f>
        <v>0</v>
      </c>
      <c r="BS167" s="142">
        <f>SUMIFS($D$9:$BG$9,$D$7:$BG$7,"4",$D167:$BG167,"&gt;"&amp;-1)</f>
        <v>0</v>
      </c>
      <c r="BT167" s="143">
        <f t="shared" si="3"/>
        <v>0</v>
      </c>
      <c r="BU167" s="144">
        <f>SUMIF($D$7:$BG$7,"5",$D167:$BG167)</f>
        <v>0</v>
      </c>
      <c r="BV167" s="142">
        <f>SUMIFS($D$9:$BG$9,$D$7:$BG$7,"5",$D167:$BG167,"&gt;"&amp;-1)</f>
        <v>0</v>
      </c>
      <c r="BW167" s="143">
        <f t="shared" si="4"/>
        <v>0</v>
      </c>
      <c r="BX167" s="144">
        <f>SUMIF($D$7:$BG$7,"6",$D167:$BG167)</f>
        <v>0</v>
      </c>
      <c r="BY167" s="142">
        <f>SUMIFS($D$9:$BG$9,$D$7:$BG$7,"6",$D167:$BG167,"&gt;"&amp;-1)</f>
        <v>0</v>
      </c>
      <c r="BZ167" s="143">
        <f t="shared" si="5"/>
        <v>0</v>
      </c>
    </row>
    <row r="168" ht="15.75" customHeight="1" spans="1:78" x14ac:dyDescent="0.25">
      <c r="A168" s="1">
        <v>156</v>
      </c>
      <c r="B168" s="1" t="s">
        <v>363</v>
      </c>
      <c r="C168" s="1" t="s">
        <v>364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67"/>
      <c r="AB168" s="167"/>
      <c r="AC168" s="1"/>
      <c r="AD168" s="1"/>
      <c r="AE168" s="167"/>
      <c r="AF168" s="167"/>
      <c r="AG168" s="1"/>
      <c r="AH168" s="1"/>
      <c r="AI168" s="1"/>
      <c r="AJ168" s="1"/>
      <c r="AK168" s="1"/>
      <c r="AL168" s="1"/>
      <c r="AM168" s="1">
        <f>SUMIF($D$6:$AJ$6,"IA-1",D168:AJ168)+AK168+AL168</f>
      </c>
      <c r="AN168" s="1"/>
      <c r="AO168" s="1"/>
      <c r="AP168" s="1">
        <f>SUMIF($D$6:$AJ$6,"IA-2",D168:AJ168)+AN168+AO168</f>
      </c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68"/>
      <c r="BB168" s="168"/>
      <c r="BC168" s="168"/>
      <c r="BD168" s="168"/>
      <c r="BE168" s="168"/>
      <c r="BF168" s="169"/>
      <c r="BG168" s="170"/>
      <c r="BH168" s="46"/>
      <c r="BI168" s="155">
        <f>SUMIF($D$7:$BG$7,"1",$D168:$BG168)</f>
        <v>0</v>
      </c>
      <c r="BJ168" s="142">
        <f>SUMIFS($D$9:$BG$9,$D$7:$BG$7,"1",$D168:$BG168,"&gt;"&amp;-1)</f>
        <v>0</v>
      </c>
      <c r="BK168" s="143">
        <f t="shared" si="0"/>
        <v>0</v>
      </c>
      <c r="BL168" s="144">
        <f>SUMIF($D$7:$BG$7,"2",$D168:$BG168)</f>
        <v>0</v>
      </c>
      <c r="BM168" s="142">
        <f>SUMIFS($D$9:$BG$9,$D$7:$BG$7,"2",$D168:$BG168,"&gt;"&amp;-1)</f>
        <v>0</v>
      </c>
      <c r="BN168" s="143">
        <f t="shared" si="1"/>
        <v>0</v>
      </c>
      <c r="BO168" s="144">
        <f>SUMIF($D$7:$BG$7,"3",$D168:$BG168)</f>
        <v>0</v>
      </c>
      <c r="BP168" s="142">
        <f>SUMIFS($D$9:$BG$9,$D$7:$BG$7,"3",$D168:$BG168,"&gt;"&amp;-1)</f>
        <v>0</v>
      </c>
      <c r="BQ168" s="143">
        <f t="shared" si="2"/>
        <v>0</v>
      </c>
      <c r="BR168" s="144">
        <f>SUMIF($D$7:$BG$7,"4",$D168:$BG168)</f>
        <v>0</v>
      </c>
      <c r="BS168" s="142">
        <f>SUMIFS($D$9:$BG$9,$D$7:$BG$7,"4",$D168:$BG168,"&gt;"&amp;-1)</f>
        <v>0</v>
      </c>
      <c r="BT168" s="143">
        <f t="shared" si="3"/>
        <v>0</v>
      </c>
      <c r="BU168" s="144">
        <f>SUMIF($D$7:$BG$7,"5",$D168:$BG168)</f>
        <v>0</v>
      </c>
      <c r="BV168" s="142">
        <f>SUMIFS($D$9:$BG$9,$D$7:$BG$7,"5",$D168:$BG168,"&gt;"&amp;-1)</f>
        <v>0</v>
      </c>
      <c r="BW168" s="143">
        <f t="shared" si="4"/>
        <v>0</v>
      </c>
      <c r="BX168" s="144">
        <f>SUMIF($D$7:$BG$7,"6",$D168:$BG168)</f>
        <v>0</v>
      </c>
      <c r="BY168" s="142">
        <f>SUMIFS($D$9:$BG$9,$D$7:$BG$7,"6",$D168:$BG168,"&gt;"&amp;-1)</f>
        <v>0</v>
      </c>
      <c r="BZ168" s="143">
        <f t="shared" si="5"/>
        <v>0</v>
      </c>
    </row>
    <row r="169" ht="15.75" customHeight="1" spans="1:78" x14ac:dyDescent="0.25">
      <c r="A169" s="1">
        <v>157</v>
      </c>
      <c r="B169" s="1" t="s">
        <v>365</v>
      </c>
      <c r="C169" s="1" t="s">
        <v>366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C169" s="1"/>
      <c r="AD169" s="1"/>
      <c r="AE169" s="167"/>
      <c r="AF169" s="167"/>
      <c r="AG169" s="1"/>
      <c r="AH169" s="1"/>
      <c r="AI169" s="1"/>
      <c r="AJ169" s="1"/>
      <c r="AK169" s="1"/>
      <c r="AL169" s="1"/>
      <c r="AM169" s="1">
        <f>SUMIF($D$6:$AJ$6,"IA-1",D169:AJ169)+AK169+AL169</f>
      </c>
      <c r="AN169" s="1"/>
      <c r="AO169" s="1"/>
      <c r="AP169" s="1">
        <f>SUMIF($D$6:$AJ$6,"IA-2",D169:AJ169)+AN169+AO169</f>
      </c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68"/>
      <c r="BB169" s="168"/>
      <c r="BC169" s="168"/>
      <c r="BD169" s="168"/>
      <c r="BE169" s="168"/>
      <c r="BF169" s="169"/>
      <c r="BG169" s="170"/>
      <c r="BH169" s="46"/>
      <c r="BI169" s="155">
        <f>SUMIF($D$7:$BG$7,"1",$D169:$BG169)</f>
        <v>0</v>
      </c>
      <c r="BJ169" s="142">
        <f>SUMIFS($D$9:$BG$9,$D$7:$BG$7,"1",$D169:$BG169,"&gt;"&amp;-1)</f>
        <v>0</v>
      </c>
      <c r="BK169" s="143">
        <f t="shared" si="0"/>
        <v>0</v>
      </c>
      <c r="BL169" s="144">
        <f>SUMIF($D$7:$BG$7,"2",$D169:$BG169)</f>
        <v>0</v>
      </c>
      <c r="BM169" s="142">
        <f>SUMIFS($D$9:$BG$9,$D$7:$BG$7,"2",$D169:$BG169,"&gt;"&amp;-1)</f>
        <v>0</v>
      </c>
      <c r="BN169" s="143">
        <f t="shared" si="1"/>
        <v>0</v>
      </c>
      <c r="BO169" s="144">
        <f>SUMIF($D$7:$BG$7,"3",$D169:$BG169)</f>
        <v>0</v>
      </c>
      <c r="BP169" s="142">
        <f>SUMIFS($D$9:$BG$9,$D$7:$BG$7,"3",$D169:$BG169,"&gt;"&amp;-1)</f>
        <v>0</v>
      </c>
      <c r="BQ169" s="143">
        <f t="shared" si="2"/>
        <v>0</v>
      </c>
      <c r="BR169" s="144">
        <f>SUMIF($D$7:$BG$7,"4",$D169:$BG169)</f>
        <v>0</v>
      </c>
      <c r="BS169" s="142">
        <f>SUMIFS($D$9:$BG$9,$D$7:$BG$7,"4",$D169:$BG169,"&gt;"&amp;-1)</f>
        <v>0</v>
      </c>
      <c r="BT169" s="143">
        <f t="shared" si="3"/>
        <v>0</v>
      </c>
      <c r="BU169" s="144">
        <f>SUMIF($D$7:$BG$7,"5",$D169:$BG169)</f>
        <v>0</v>
      </c>
      <c r="BV169" s="142">
        <f>SUMIFS($D$9:$BG$9,$D$7:$BG$7,"5",$D169:$BG169,"&gt;"&amp;-1)</f>
        <v>0</v>
      </c>
      <c r="BW169" s="143">
        <f t="shared" si="4"/>
        <v>0</v>
      </c>
      <c r="BX169" s="144">
        <f>SUMIF($D$7:$BG$7,"6",$D169:$BG169)</f>
        <v>0</v>
      </c>
      <c r="BY169" s="142">
        <f>SUMIFS($D$9:$BG$9,$D$7:$BG$7,"6",$D169:$BG169,"&gt;"&amp;-1)</f>
        <v>0</v>
      </c>
      <c r="BZ169" s="143">
        <f t="shared" si="5"/>
        <v>0</v>
      </c>
    </row>
    <row r="170" ht="15.75" customHeight="1" spans="1:78" x14ac:dyDescent="0.25">
      <c r="A170" s="1">
        <v>158</v>
      </c>
      <c r="B170" s="1" t="s">
        <v>367</v>
      </c>
      <c r="C170" s="1" t="s">
        <v>368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C170" s="1"/>
      <c r="AD170" s="1"/>
      <c r="AE170" s="167"/>
      <c r="AF170" s="167"/>
      <c r="AG170" s="1"/>
      <c r="AH170" s="1"/>
      <c r="AI170" s="1"/>
      <c r="AJ170" s="1"/>
      <c r="AK170" s="1"/>
      <c r="AL170" s="1"/>
      <c r="AM170" s="1">
        <f>SUMIF($D$6:$AJ$6,"IA-1",D170:AJ170)+AK170+AL170</f>
      </c>
      <c r="AN170" s="1"/>
      <c r="AO170" s="1"/>
      <c r="AP170" s="1">
        <f>SUMIF($D$6:$AJ$6,"IA-2",D170:AJ170)+AN170+AO170</f>
      </c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68"/>
      <c r="BB170" s="168"/>
      <c r="BC170" s="168"/>
      <c r="BD170" s="168"/>
      <c r="BE170" s="168"/>
      <c r="BF170" s="169"/>
      <c r="BG170" s="170"/>
      <c r="BH170" s="46"/>
      <c r="BI170" s="155">
        <f>SUMIF($D$7:$BG$7,"1",$D170:$BG170)</f>
        <v>0</v>
      </c>
      <c r="BJ170" s="142">
        <f>SUMIFS($D$9:$BG$9,$D$7:$BG$7,"1",$D170:$BG170,"&gt;"&amp;-1)</f>
        <v>0</v>
      </c>
      <c r="BK170" s="143">
        <f t="shared" si="0"/>
        <v>0</v>
      </c>
      <c r="BL170" s="144">
        <f>SUMIF($D$7:$BG$7,"2",$D170:$BG170)</f>
        <v>0</v>
      </c>
      <c r="BM170" s="142">
        <f>SUMIFS($D$9:$BG$9,$D$7:$BG$7,"2",$D170:$BG170,"&gt;"&amp;-1)</f>
        <v>0</v>
      </c>
      <c r="BN170" s="143">
        <f t="shared" si="1"/>
        <v>0</v>
      </c>
      <c r="BO170" s="144">
        <f>SUMIF($D$7:$BG$7,"3",$D170:$BG170)</f>
        <v>0</v>
      </c>
      <c r="BP170" s="142">
        <f>SUMIFS($D$9:$BG$9,$D$7:$BG$7,"3",$D170:$BG170,"&gt;"&amp;-1)</f>
        <v>0</v>
      </c>
      <c r="BQ170" s="143">
        <f t="shared" si="2"/>
        <v>0</v>
      </c>
      <c r="BR170" s="144">
        <f>SUMIF($D$7:$BG$7,"4",$D170:$BG170)</f>
        <v>0</v>
      </c>
      <c r="BS170" s="142">
        <f>SUMIFS($D$9:$BG$9,$D$7:$BG$7,"4",$D170:$BG170,"&gt;"&amp;-1)</f>
        <v>0</v>
      </c>
      <c r="BT170" s="143">
        <f t="shared" si="3"/>
        <v>0</v>
      </c>
      <c r="BU170" s="144">
        <f>SUMIF($D$7:$BG$7,"5",$D170:$BG170)</f>
        <v>0</v>
      </c>
      <c r="BV170" s="142">
        <f>SUMIFS($D$9:$BG$9,$D$7:$BG$7,"5",$D170:$BG170,"&gt;"&amp;-1)</f>
        <v>0</v>
      </c>
      <c r="BW170" s="143">
        <f t="shared" si="4"/>
        <v>0</v>
      </c>
      <c r="BX170" s="144">
        <f>SUMIF($D$7:$BG$7,"6",$D170:$BG170)</f>
        <v>0</v>
      </c>
      <c r="BY170" s="142">
        <f>SUMIFS($D$9:$BG$9,$D$7:$BG$7,"6",$D170:$BG170,"&gt;"&amp;-1)</f>
        <v>0</v>
      </c>
      <c r="BZ170" s="143">
        <f t="shared" si="5"/>
        <v>0</v>
      </c>
    </row>
    <row r="171" ht="15.75" customHeight="1" spans="1:78" x14ac:dyDescent="0.25">
      <c r="A171" s="1">
        <v>159</v>
      </c>
      <c r="B171" s="1" t="s">
        <v>369</v>
      </c>
      <c r="C171" s="1" t="s">
        <v>370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>
        <f>SUMIF($D$6:$AJ$6,"IA-1",D171:AJ171)+AK171+AL171</f>
      </c>
      <c r="AN171" s="1"/>
      <c r="AO171" s="1"/>
      <c r="AP171" s="1">
        <f>SUMIF($D$6:$AJ$6,"IA-2",D171:AJ171)+AN171+AO171</f>
      </c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68"/>
      <c r="BB171" s="168"/>
      <c r="BC171" s="168"/>
      <c r="BD171" s="168"/>
      <c r="BE171" s="168"/>
      <c r="BF171" s="169"/>
      <c r="BG171" s="170"/>
      <c r="BH171" s="46"/>
      <c r="BI171" s="155">
        <f>SUMIF($D$7:$BG$7,"1",$D171:$BG171)</f>
        <v>0</v>
      </c>
      <c r="BJ171" s="142">
        <f>SUMIFS($D$9:$BG$9,$D$7:$BG$7,"1",$D171:$BG171,"&gt;"&amp;-1)</f>
        <v>0</v>
      </c>
      <c r="BK171" s="143">
        <f t="shared" si="0"/>
        <v>0</v>
      </c>
      <c r="BL171" s="144">
        <f>SUMIF($D$7:$BG$7,"2",$D171:$BG171)</f>
        <v>0</v>
      </c>
      <c r="BM171" s="142">
        <f>SUMIFS($D$9:$BG$9,$D$7:$BG$7,"2",$D171:$BG171,"&gt;"&amp;-1)</f>
        <v>0</v>
      </c>
      <c r="BN171" s="143">
        <f t="shared" si="1"/>
        <v>0</v>
      </c>
      <c r="BO171" s="144">
        <f>SUMIF($D$7:$BG$7,"3",$D171:$BG171)</f>
        <v>0</v>
      </c>
      <c r="BP171" s="142">
        <f>SUMIFS($D$9:$BG$9,$D$7:$BG$7,"3",$D171:$BG171,"&gt;"&amp;-1)</f>
        <v>0</v>
      </c>
      <c r="BQ171" s="143">
        <f t="shared" si="2"/>
        <v>0</v>
      </c>
      <c r="BR171" s="144">
        <f>SUMIF($D$7:$BG$7,"4",$D171:$BG171)</f>
        <v>0</v>
      </c>
      <c r="BS171" s="142">
        <f>SUMIFS($D$9:$BG$9,$D$7:$BG$7,"4",$D171:$BG171,"&gt;"&amp;-1)</f>
        <v>0</v>
      </c>
      <c r="BT171" s="143">
        <f t="shared" si="3"/>
        <v>0</v>
      </c>
      <c r="BU171" s="144">
        <f>SUMIF($D$7:$BG$7,"5",$D171:$BG171)</f>
        <v>0</v>
      </c>
      <c r="BV171" s="142">
        <f>SUMIFS($D$9:$BG$9,$D$7:$BG$7,"5",$D171:$BG171,"&gt;"&amp;-1)</f>
        <v>0</v>
      </c>
      <c r="BW171" s="143">
        <f t="shared" si="4"/>
        <v>0</v>
      </c>
      <c r="BX171" s="144">
        <f>SUMIF($D$7:$BG$7,"6",$D171:$BG171)</f>
        <v>0</v>
      </c>
      <c r="BY171" s="142">
        <f>SUMIFS($D$9:$BG$9,$D$7:$BG$7,"6",$D171:$BG171,"&gt;"&amp;-1)</f>
        <v>0</v>
      </c>
      <c r="BZ171" s="143">
        <f t="shared" si="5"/>
        <v>0</v>
      </c>
    </row>
    <row r="172" ht="15.75" customHeight="1" spans="1:78" x14ac:dyDescent="0.25">
      <c r="A172" s="1">
        <v>160</v>
      </c>
      <c r="B172" s="1" t="s">
        <v>371</v>
      </c>
      <c r="C172" s="1" t="s">
        <v>372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>
        <f>SUMIF($D$6:$AJ$6,"IA-1",D172:AJ172)+AK172+AL172</f>
      </c>
      <c r="AN172" s="1"/>
      <c r="AO172" s="1"/>
      <c r="AP172" s="1">
        <f>SUMIF($D$6:$AJ$6,"IA-2",D172:AJ172)+AN172+AO172</f>
      </c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68"/>
      <c r="BB172" s="168"/>
      <c r="BC172" s="168"/>
      <c r="BD172" s="168"/>
      <c r="BE172" s="168"/>
      <c r="BF172" s="169"/>
      <c r="BG172" s="170"/>
      <c r="BH172" s="46"/>
      <c r="BI172" s="155">
        <f>SUMIF($D$7:$BG$7,"1",$D172:$BG172)</f>
        <v>0</v>
      </c>
      <c r="BJ172" s="142">
        <f>SUMIFS($D$9:$BG$9,$D$7:$BG$7,"1",$D172:$BG172,"&gt;"&amp;-1)</f>
        <v>0</v>
      </c>
      <c r="BK172" s="143">
        <f t="shared" si="0"/>
        <v>0</v>
      </c>
      <c r="BL172" s="144">
        <f>SUMIF($D$7:$BG$7,"2",$D172:$BG172)</f>
        <v>0</v>
      </c>
      <c r="BM172" s="142">
        <f>SUMIFS($D$9:$BG$9,$D$7:$BG$7,"2",$D172:$BG172,"&gt;"&amp;-1)</f>
        <v>0</v>
      </c>
      <c r="BN172" s="143">
        <f t="shared" si="1"/>
        <v>0</v>
      </c>
      <c r="BO172" s="144">
        <f>SUMIF($D$7:$BG$7,"3",$D172:$BG172)</f>
        <v>0</v>
      </c>
      <c r="BP172" s="142">
        <f>SUMIFS($D$9:$BG$9,$D$7:$BG$7,"3",$D172:$BG172,"&gt;"&amp;-1)</f>
        <v>0</v>
      </c>
      <c r="BQ172" s="143">
        <f t="shared" si="2"/>
        <v>0</v>
      </c>
      <c r="BR172" s="144">
        <f>SUMIF($D$7:$BG$7,"4",$D172:$BG172)</f>
        <v>0</v>
      </c>
      <c r="BS172" s="142">
        <f>SUMIFS($D$9:$BG$9,$D$7:$BG$7,"4",$D172:$BG172,"&gt;"&amp;-1)</f>
        <v>0</v>
      </c>
      <c r="BT172" s="143">
        <f t="shared" si="3"/>
        <v>0</v>
      </c>
      <c r="BU172" s="144">
        <f>SUMIF($D$7:$BG$7,"5",$D172:$BG172)</f>
        <v>0</v>
      </c>
      <c r="BV172" s="142">
        <f>SUMIFS($D$9:$BG$9,$D$7:$BG$7,"5",$D172:$BG172,"&gt;"&amp;-1)</f>
        <v>0</v>
      </c>
      <c r="BW172" s="143">
        <f t="shared" si="4"/>
        <v>0</v>
      </c>
      <c r="BX172" s="144">
        <f>SUMIF($D$7:$BG$7,"6",$D172:$BG172)</f>
        <v>0</v>
      </c>
      <c r="BY172" s="142">
        <f>SUMIFS($D$9:$BG$9,$D$7:$BG$7,"6",$D172:$BG172,"&gt;"&amp;-1)</f>
        <v>0</v>
      </c>
      <c r="BZ172" s="143">
        <f t="shared" si="5"/>
        <v>0</v>
      </c>
    </row>
    <row r="173" ht="15.75" customHeight="1" spans="1:78" x14ac:dyDescent="0.25">
      <c r="A173" s="1">
        <v>161</v>
      </c>
      <c r="B173" s="1" t="s">
        <v>373</v>
      </c>
      <c r="C173" s="1" t="s">
        <v>374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>
        <f>SUMIF($D$6:$AJ$6,"IA-1",D173:AJ173)+AK173+AL173</f>
      </c>
      <c r="AN173" s="1"/>
      <c r="AO173" s="1"/>
      <c r="AP173" s="1">
        <f>SUMIF($D$6:$AJ$6,"IA-2",D173:AJ173)+AN173+AO173</f>
      </c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68"/>
      <c r="BB173" s="168"/>
      <c r="BC173" s="168"/>
      <c r="BD173" s="168"/>
      <c r="BE173" s="168"/>
      <c r="BF173" s="169"/>
      <c r="BG173" s="170"/>
      <c r="BH173" s="46"/>
      <c r="BI173" s="155">
        <f>SUMIF($D$7:$BG$7,"1",$D173:$BG173)</f>
        <v>0</v>
      </c>
      <c r="BJ173" s="142">
        <f>SUMIFS($D$9:$BG$9,$D$7:$BG$7,"1",$D173:$BG173,"&gt;"&amp;-1)</f>
        <v>0</v>
      </c>
      <c r="BK173" s="143">
        <f t="shared" si="0"/>
        <v>0</v>
      </c>
      <c r="BL173" s="144">
        <f>SUMIF($D$7:$BG$7,"2",$D173:$BG173)</f>
        <v>0</v>
      </c>
      <c r="BM173" s="142">
        <f>SUMIFS($D$9:$BG$9,$D$7:$BG$7,"2",$D173:$BG173,"&gt;"&amp;-1)</f>
        <v>0</v>
      </c>
      <c r="BN173" s="143">
        <f t="shared" si="1"/>
        <v>0</v>
      </c>
      <c r="BO173" s="144">
        <f>SUMIF($D$7:$BG$7,"3",$D173:$BG173)</f>
        <v>0</v>
      </c>
      <c r="BP173" s="142">
        <f>SUMIFS($D$9:$BG$9,$D$7:$BG$7,"3",$D173:$BG173,"&gt;"&amp;-1)</f>
        <v>0</v>
      </c>
      <c r="BQ173" s="143">
        <f t="shared" si="2"/>
        <v>0</v>
      </c>
      <c r="BR173" s="144">
        <f>SUMIF($D$7:$BG$7,"4",$D173:$BG173)</f>
        <v>0</v>
      </c>
      <c r="BS173" s="142">
        <f>SUMIFS($D$9:$BG$9,$D$7:$BG$7,"4",$D173:$BG173,"&gt;"&amp;-1)</f>
        <v>0</v>
      </c>
      <c r="BT173" s="143">
        <f t="shared" si="3"/>
        <v>0</v>
      </c>
      <c r="BU173" s="144">
        <f>SUMIF($D$7:$BG$7,"5",$D173:$BG173)</f>
        <v>0</v>
      </c>
      <c r="BV173" s="142">
        <f>SUMIFS($D$9:$BG$9,$D$7:$BG$7,"5",$D173:$BG173,"&gt;"&amp;-1)</f>
        <v>0</v>
      </c>
      <c r="BW173" s="143">
        <f t="shared" si="4"/>
        <v>0</v>
      </c>
      <c r="BX173" s="144">
        <f>SUMIF($D$7:$BG$7,"6",$D173:$BG173)</f>
        <v>0</v>
      </c>
      <c r="BY173" s="142">
        <f>SUMIFS($D$9:$BG$9,$D$7:$BG$7,"6",$D173:$BG173,"&gt;"&amp;-1)</f>
        <v>0</v>
      </c>
      <c r="BZ173" s="143">
        <f t="shared" si="5"/>
        <v>0</v>
      </c>
    </row>
    <row r="174" ht="15.75" customHeight="1" spans="1:78" x14ac:dyDescent="0.25">
      <c r="A174" s="1">
        <v>162</v>
      </c>
      <c r="B174" s="1" t="s">
        <v>375</v>
      </c>
      <c r="C174" s="1" t="s">
        <v>376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>
        <f>SUMIF($D$6:$AJ$6,"IA-1",D174:AJ174)+AK174+AL174</f>
      </c>
      <c r="AN174" s="1"/>
      <c r="AO174" s="1"/>
      <c r="AP174" s="1">
        <f>SUMIF($D$6:$AJ$6,"IA-2",D174:AJ174)+AN174+AO174</f>
      </c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68"/>
      <c r="BB174" s="168"/>
      <c r="BC174" s="168"/>
      <c r="BD174" s="168"/>
      <c r="BE174" s="168"/>
      <c r="BF174" s="169"/>
      <c r="BG174" s="170"/>
      <c r="BH174" s="46"/>
      <c r="BI174" s="155">
        <f>SUMIF($D$7:$BG$7,"1",$D174:$BG174)</f>
        <v>0</v>
      </c>
      <c r="BJ174" s="142">
        <f>SUMIFS($D$9:$BG$9,$D$7:$BG$7,"1",$D174:$BG174,"&gt;"&amp;-1)</f>
        <v>0</v>
      </c>
      <c r="BK174" s="143">
        <f t="shared" si="0"/>
        <v>0</v>
      </c>
      <c r="BL174" s="144">
        <f>SUMIF($D$7:$BG$7,"2",$D174:$BG174)</f>
        <v>0</v>
      </c>
      <c r="BM174" s="142">
        <f>SUMIFS($D$9:$BG$9,$D$7:$BG$7,"2",$D174:$BG174,"&gt;"&amp;-1)</f>
        <v>0</v>
      </c>
      <c r="BN174" s="143">
        <f t="shared" si="1"/>
        <v>0</v>
      </c>
      <c r="BO174" s="144">
        <f>SUMIF($D$7:$BG$7,"3",$D174:$BG174)</f>
        <v>0</v>
      </c>
      <c r="BP174" s="142">
        <f>SUMIFS($D$9:$BG$9,$D$7:$BG$7,"3",$D174:$BG174,"&gt;"&amp;-1)</f>
        <v>0</v>
      </c>
      <c r="BQ174" s="143">
        <f t="shared" si="2"/>
        <v>0</v>
      </c>
      <c r="BR174" s="144">
        <f>SUMIF($D$7:$BG$7,"4",$D174:$BG174)</f>
        <v>0</v>
      </c>
      <c r="BS174" s="142">
        <f>SUMIFS($D$9:$BG$9,$D$7:$BG$7,"4",$D174:$BG174,"&gt;"&amp;-1)</f>
        <v>0</v>
      </c>
      <c r="BT174" s="143">
        <f t="shared" si="3"/>
        <v>0</v>
      </c>
      <c r="BU174" s="144">
        <f>SUMIF($D$7:$BG$7,"5",$D174:$BG174)</f>
        <v>0</v>
      </c>
      <c r="BV174" s="142">
        <f>SUMIFS($D$9:$BG$9,$D$7:$BG$7,"5",$D174:$BG174,"&gt;"&amp;-1)</f>
        <v>0</v>
      </c>
      <c r="BW174" s="143">
        <f t="shared" si="4"/>
        <v>0</v>
      </c>
      <c r="BX174" s="144">
        <f>SUMIF($D$7:$BG$7,"6",$D174:$BG174)</f>
        <v>0</v>
      </c>
      <c r="BY174" s="142">
        <f>SUMIFS($D$9:$BG$9,$D$7:$BG$7,"6",$D174:$BG174,"&gt;"&amp;-1)</f>
        <v>0</v>
      </c>
      <c r="BZ174" s="143">
        <f t="shared" si="5"/>
        <v>0</v>
      </c>
    </row>
    <row r="175" ht="15.75" customHeight="1" spans="1:78" x14ac:dyDescent="0.25">
      <c r="A175" s="1">
        <v>163</v>
      </c>
      <c r="B175" s="1" t="s">
        <v>377</v>
      </c>
      <c r="C175" s="1" t="s">
        <v>378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>
        <f>SUMIF($D$6:$AJ$6,"IA-1",D175:AJ175)+AK175+AL175</f>
      </c>
      <c r="AN175" s="1"/>
      <c r="AO175" s="1"/>
      <c r="AP175" s="1">
        <f>SUMIF($D$6:$AJ$6,"IA-2",D175:AJ175)+AN175+AO175</f>
      </c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68"/>
      <c r="BB175" s="168"/>
      <c r="BC175" s="168"/>
      <c r="BD175" s="168"/>
      <c r="BE175" s="168"/>
      <c r="BF175" s="169"/>
      <c r="BG175" s="170"/>
      <c r="BH175" s="46"/>
      <c r="BI175" s="155">
        <f>SUMIF($D$7:$BG$7,"1",$D175:$BG175)</f>
        <v>0</v>
      </c>
      <c r="BJ175" s="142">
        <f>SUMIFS($D$9:$BG$9,$D$7:$BG$7,"1",$D175:$BG175,"&gt;"&amp;-1)</f>
        <v>0</v>
      </c>
      <c r="BK175" s="143">
        <f t="shared" si="0"/>
        <v>0</v>
      </c>
      <c r="BL175" s="144">
        <f>SUMIF($D$7:$BG$7,"2",$D175:$BG175)</f>
        <v>0</v>
      </c>
      <c r="BM175" s="142">
        <f>SUMIFS($D$9:$BG$9,$D$7:$BG$7,"2",$D175:$BG175,"&gt;"&amp;-1)</f>
        <v>0</v>
      </c>
      <c r="BN175" s="143">
        <f t="shared" si="1"/>
        <v>0</v>
      </c>
      <c r="BO175" s="144">
        <f>SUMIF($D$7:$BG$7,"3",$D175:$BG175)</f>
        <v>0</v>
      </c>
      <c r="BP175" s="142">
        <f>SUMIFS($D$9:$BG$9,$D$7:$BG$7,"3",$D175:$BG175,"&gt;"&amp;-1)</f>
        <v>0</v>
      </c>
      <c r="BQ175" s="143">
        <f t="shared" si="2"/>
        <v>0</v>
      </c>
      <c r="BR175" s="144">
        <f>SUMIF($D$7:$BG$7,"4",$D175:$BG175)</f>
        <v>0</v>
      </c>
      <c r="BS175" s="142">
        <f>SUMIFS($D$9:$BG$9,$D$7:$BG$7,"4",$D175:$BG175,"&gt;"&amp;-1)</f>
        <v>0</v>
      </c>
      <c r="BT175" s="143">
        <f t="shared" si="3"/>
        <v>0</v>
      </c>
      <c r="BU175" s="144">
        <f>SUMIF($D$7:$BG$7,"5",$D175:$BG175)</f>
        <v>0</v>
      </c>
      <c r="BV175" s="142">
        <f>SUMIFS($D$9:$BG$9,$D$7:$BG$7,"5",$D175:$BG175,"&gt;"&amp;-1)</f>
        <v>0</v>
      </c>
      <c r="BW175" s="143">
        <f t="shared" si="4"/>
        <v>0</v>
      </c>
      <c r="BX175" s="144">
        <f>SUMIF($D$7:$BG$7,"6",$D175:$BG175)</f>
        <v>0</v>
      </c>
      <c r="BY175" s="142">
        <f>SUMIFS($D$9:$BG$9,$D$7:$BG$7,"6",$D175:$BG175,"&gt;"&amp;-1)</f>
        <v>0</v>
      </c>
      <c r="BZ175" s="143">
        <f t="shared" si="5"/>
        <v>0</v>
      </c>
    </row>
    <row r="176" ht="15.75" customHeight="1" spans="1:78" x14ac:dyDescent="0.25">
      <c r="A176" s="1">
        <v>164</v>
      </c>
      <c r="B176" s="1" t="s">
        <v>379</v>
      </c>
      <c r="C176" s="1" t="s">
        <v>380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>
        <f>SUMIF($D$6:$AJ$6,"IA-1",D176:AJ176)+AK176+AL176</f>
      </c>
      <c r="AN176" s="1"/>
      <c r="AO176" s="1"/>
      <c r="AP176" s="1">
        <f>SUMIF($D$6:$AJ$6,"IA-2",D176:AJ176)+AN176+AO176</f>
      </c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68"/>
      <c r="BB176" s="168"/>
      <c r="BC176" s="168"/>
      <c r="BD176" s="168"/>
      <c r="BE176" s="168"/>
      <c r="BF176" s="169"/>
      <c r="BG176" s="170"/>
      <c r="BH176" s="46"/>
      <c r="BI176" s="155">
        <f>SUMIF($D$7:$BG$7,"1",$D176:$BG176)</f>
        <v>0</v>
      </c>
      <c r="BJ176" s="142">
        <f>SUMIFS($D$9:$BG$9,$D$7:$BG$7,"1",$D176:$BG176,"&gt;"&amp;-1)</f>
        <v>0</v>
      </c>
      <c r="BK176" s="143">
        <f t="shared" si="0"/>
        <v>0</v>
      </c>
      <c r="BL176" s="144">
        <f>SUMIF($D$7:$BG$7,"2",$D176:$BG176)</f>
        <v>0</v>
      </c>
      <c r="BM176" s="142">
        <f>SUMIFS($D$9:$BG$9,$D$7:$BG$7,"2",$D176:$BG176,"&gt;"&amp;-1)</f>
        <v>0</v>
      </c>
      <c r="BN176" s="143">
        <f t="shared" si="1"/>
        <v>0</v>
      </c>
      <c r="BO176" s="144">
        <f>SUMIF($D$7:$BG$7,"3",$D176:$BG176)</f>
        <v>0</v>
      </c>
      <c r="BP176" s="142">
        <f>SUMIFS($D$9:$BG$9,$D$7:$BG$7,"3",$D176:$BG176,"&gt;"&amp;-1)</f>
        <v>0</v>
      </c>
      <c r="BQ176" s="143">
        <f t="shared" si="2"/>
        <v>0</v>
      </c>
      <c r="BR176" s="144">
        <f>SUMIF($D$7:$BG$7,"4",$D176:$BG176)</f>
        <v>0</v>
      </c>
      <c r="BS176" s="142">
        <f>SUMIFS($D$9:$BG$9,$D$7:$BG$7,"4",$D176:$BG176,"&gt;"&amp;-1)</f>
        <v>0</v>
      </c>
      <c r="BT176" s="143">
        <f t="shared" si="3"/>
        <v>0</v>
      </c>
      <c r="BU176" s="144">
        <f>SUMIF($D$7:$BG$7,"5",$D176:$BG176)</f>
        <v>0</v>
      </c>
      <c r="BV176" s="142">
        <f>SUMIFS($D$9:$BG$9,$D$7:$BG$7,"5",$D176:$BG176,"&gt;"&amp;-1)</f>
        <v>0</v>
      </c>
      <c r="BW176" s="143">
        <f t="shared" si="4"/>
        <v>0</v>
      </c>
      <c r="BX176" s="144">
        <f>SUMIF($D$7:$BG$7,"6",$D176:$BG176)</f>
        <v>0</v>
      </c>
      <c r="BY176" s="142">
        <f>SUMIFS($D$9:$BG$9,$D$7:$BG$7,"6",$D176:$BG176,"&gt;"&amp;-1)</f>
        <v>0</v>
      </c>
      <c r="BZ176" s="143">
        <f t="shared" si="5"/>
        <v>0</v>
      </c>
    </row>
    <row r="177" ht="15.75" customHeight="1" spans="1:78" x14ac:dyDescent="0.25">
      <c r="A177" s="1">
        <v>165</v>
      </c>
      <c r="B177" s="1" t="s">
        <v>381</v>
      </c>
      <c r="C177" s="1" t="s">
        <v>382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>
        <f>SUMIF($D$6:$AJ$6,"IA-1",D177:AJ177)+AK177+AL177</f>
      </c>
      <c r="AN177" s="1"/>
      <c r="AO177" s="1"/>
      <c r="AP177" s="1">
        <f>SUMIF($D$6:$AJ$6,"IA-2",D177:AJ177)+AN177+AO177</f>
      </c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68"/>
      <c r="BB177" s="168"/>
      <c r="BC177" s="168"/>
      <c r="BD177" s="168"/>
      <c r="BE177" s="168"/>
      <c r="BF177" s="169"/>
      <c r="BG177" s="170"/>
      <c r="BH177" s="46"/>
      <c r="BI177" s="155">
        <f>SUMIF($D$7:$BG$7,"1",$D177:$BG177)</f>
        <v>0</v>
      </c>
      <c r="BJ177" s="142">
        <f>SUMIFS($D$9:$BG$9,$D$7:$BG$7,"1",$D177:$BG177,"&gt;"&amp;-1)</f>
        <v>0</v>
      </c>
      <c r="BK177" s="143">
        <f t="shared" si="0"/>
        <v>0</v>
      </c>
      <c r="BL177" s="144">
        <f>SUMIF($D$7:$BG$7,"2",$D177:$BG177)</f>
        <v>0</v>
      </c>
      <c r="BM177" s="142">
        <f>SUMIFS($D$9:$BG$9,$D$7:$BG$7,"2",$D177:$BG177,"&gt;"&amp;-1)</f>
        <v>0</v>
      </c>
      <c r="BN177" s="143">
        <f t="shared" si="1"/>
        <v>0</v>
      </c>
      <c r="BO177" s="144">
        <f>SUMIF($D$7:$BG$7,"3",$D177:$BG177)</f>
        <v>0</v>
      </c>
      <c r="BP177" s="142">
        <f>SUMIFS($D$9:$BG$9,$D$7:$BG$7,"3",$D177:$BG177,"&gt;"&amp;-1)</f>
        <v>0</v>
      </c>
      <c r="BQ177" s="143">
        <f t="shared" si="2"/>
        <v>0</v>
      </c>
      <c r="BR177" s="144">
        <f>SUMIF($D$7:$BG$7,"4",$D177:$BG177)</f>
        <v>0</v>
      </c>
      <c r="BS177" s="142">
        <f>SUMIFS($D$9:$BG$9,$D$7:$BG$7,"4",$D177:$BG177,"&gt;"&amp;-1)</f>
        <v>0</v>
      </c>
      <c r="BT177" s="143">
        <f t="shared" si="3"/>
        <v>0</v>
      </c>
      <c r="BU177" s="144">
        <f>SUMIF($D$7:$BG$7,"5",$D177:$BG177)</f>
        <v>0</v>
      </c>
      <c r="BV177" s="142">
        <f>SUMIFS($D$9:$BG$9,$D$7:$BG$7,"5",$D177:$BG177,"&gt;"&amp;-1)</f>
        <v>0</v>
      </c>
      <c r="BW177" s="143">
        <f t="shared" si="4"/>
        <v>0</v>
      </c>
      <c r="BX177" s="144">
        <f>SUMIF($D$7:$BG$7,"6",$D177:$BG177)</f>
        <v>0</v>
      </c>
      <c r="BY177" s="142">
        <f>SUMIFS($D$9:$BG$9,$D$7:$BG$7,"6",$D177:$BG177,"&gt;"&amp;-1)</f>
        <v>0</v>
      </c>
      <c r="BZ177" s="143">
        <f t="shared" si="5"/>
        <v>0</v>
      </c>
    </row>
    <row r="178" ht="15.75" customHeight="1" spans="1:78" x14ac:dyDescent="0.25">
      <c r="A178" s="1">
        <v>166</v>
      </c>
      <c r="B178" s="1" t="s">
        <v>383</v>
      </c>
      <c r="C178" s="1" t="s">
        <v>384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>
        <f>SUMIF($D$6:$AJ$6,"IA-1",D178:AJ178)+AK178+AL178</f>
      </c>
      <c r="AN178" s="1"/>
      <c r="AO178" s="1"/>
      <c r="AP178" s="1">
        <f>SUMIF($D$6:$AJ$6,"IA-2",D178:AJ178)+AN178+AO178</f>
      </c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68"/>
      <c r="BB178" s="168"/>
      <c r="BC178" s="168"/>
      <c r="BD178" s="168"/>
      <c r="BE178" s="168"/>
      <c r="BF178" s="169"/>
      <c r="BG178" s="170"/>
      <c r="BH178" s="46"/>
      <c r="BI178" s="155">
        <f>SUMIF($D$7:$BG$7,"1",$D178:$BG178)</f>
        <v>0</v>
      </c>
      <c r="BJ178" s="142">
        <f>SUMIFS($D$9:$BG$9,$D$7:$BG$7,"1",$D178:$BG178,"&gt;"&amp;-1)</f>
        <v>0</v>
      </c>
      <c r="BK178" s="143">
        <f t="shared" si="0"/>
        <v>0</v>
      </c>
      <c r="BL178" s="144">
        <f>SUMIF($D$7:$BG$7,"2",$D178:$BG178)</f>
        <v>0</v>
      </c>
      <c r="BM178" s="142">
        <f>SUMIFS($D$9:$BG$9,$D$7:$BG$7,"2",$D178:$BG178,"&gt;"&amp;-1)</f>
        <v>0</v>
      </c>
      <c r="BN178" s="143">
        <f t="shared" si="1"/>
        <v>0</v>
      </c>
      <c r="BO178" s="144">
        <f>SUMIF($D$7:$BG$7,"3",$D178:$BG178)</f>
        <v>0</v>
      </c>
      <c r="BP178" s="142">
        <f>SUMIFS($D$9:$BG$9,$D$7:$BG$7,"3",$D178:$BG178,"&gt;"&amp;-1)</f>
        <v>0</v>
      </c>
      <c r="BQ178" s="143">
        <f t="shared" si="2"/>
        <v>0</v>
      </c>
      <c r="BR178" s="144">
        <f>SUMIF($D$7:$BG$7,"4",$D178:$BG178)</f>
        <v>0</v>
      </c>
      <c r="BS178" s="142">
        <f>SUMIFS($D$9:$BG$9,$D$7:$BG$7,"4",$D178:$BG178,"&gt;"&amp;-1)</f>
        <v>0</v>
      </c>
      <c r="BT178" s="143">
        <f t="shared" si="3"/>
        <v>0</v>
      </c>
      <c r="BU178" s="144">
        <f>SUMIF($D$7:$BG$7,"5",$D178:$BG178)</f>
        <v>0</v>
      </c>
      <c r="BV178" s="142">
        <f>SUMIFS($D$9:$BG$9,$D$7:$BG$7,"5",$D178:$BG178,"&gt;"&amp;-1)</f>
        <v>0</v>
      </c>
      <c r="BW178" s="143">
        <f t="shared" si="4"/>
        <v>0</v>
      </c>
      <c r="BX178" s="144">
        <f>SUMIF($D$7:$BG$7,"6",$D178:$BG178)</f>
        <v>0</v>
      </c>
      <c r="BY178" s="142">
        <f>SUMIFS($D$9:$BG$9,$D$7:$BG$7,"6",$D178:$BG178,"&gt;"&amp;-1)</f>
        <v>0</v>
      </c>
      <c r="BZ178" s="143">
        <f t="shared" si="5"/>
        <v>0</v>
      </c>
    </row>
    <row r="179" ht="15.75" customHeight="1" spans="1:78" x14ac:dyDescent="0.25">
      <c r="A179" s="1">
        <v>167</v>
      </c>
      <c r="B179" s="1" t="s">
        <v>385</v>
      </c>
      <c r="C179" s="1" t="s">
        <v>386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>
        <f>SUMIF($D$6:$AJ$6,"IA-1",D179:AJ179)+AK179+AL179</f>
      </c>
      <c r="AN179" s="1"/>
      <c r="AO179" s="1"/>
      <c r="AP179" s="1">
        <f>SUMIF($D$6:$AJ$6,"IA-2",D179:AJ179)+AN179+AO179</f>
      </c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68"/>
      <c r="BB179" s="168"/>
      <c r="BC179" s="168"/>
      <c r="BD179" s="168"/>
      <c r="BE179" s="168"/>
      <c r="BF179" s="169"/>
      <c r="BG179" s="170"/>
      <c r="BH179" s="46"/>
      <c r="BI179" s="155">
        <f>SUMIF($D$7:$BG$7,"1",$D179:$BG179)</f>
        <v>0</v>
      </c>
      <c r="BJ179" s="142">
        <f>SUMIFS($D$9:$BG$9,$D$7:$BG$7,"1",$D179:$BG179,"&gt;"&amp;-1)</f>
        <v>0</v>
      </c>
      <c r="BK179" s="143">
        <f t="shared" si="0"/>
        <v>0</v>
      </c>
      <c r="BL179" s="144">
        <f>SUMIF($D$7:$BG$7,"2",$D179:$BG179)</f>
        <v>0</v>
      </c>
      <c r="BM179" s="142">
        <f>SUMIFS($D$9:$BG$9,$D$7:$BG$7,"2",$D179:$BG179,"&gt;"&amp;-1)</f>
        <v>0</v>
      </c>
      <c r="BN179" s="143">
        <f t="shared" si="1"/>
        <v>0</v>
      </c>
      <c r="BO179" s="144">
        <f>SUMIF($D$7:$BG$7,"3",$D179:$BG179)</f>
        <v>0</v>
      </c>
      <c r="BP179" s="142">
        <f>SUMIFS($D$9:$BG$9,$D$7:$BG$7,"3",$D179:$BG179,"&gt;"&amp;-1)</f>
        <v>0</v>
      </c>
      <c r="BQ179" s="143">
        <f t="shared" si="2"/>
        <v>0</v>
      </c>
      <c r="BR179" s="144">
        <f>SUMIF($D$7:$BG$7,"4",$D179:$BG179)</f>
        <v>0</v>
      </c>
      <c r="BS179" s="142">
        <f>SUMIFS($D$9:$BG$9,$D$7:$BG$7,"4",$D179:$BG179,"&gt;"&amp;-1)</f>
        <v>0</v>
      </c>
      <c r="BT179" s="143">
        <f t="shared" si="3"/>
        <v>0</v>
      </c>
      <c r="BU179" s="144">
        <f>SUMIF($D$7:$BG$7,"5",$D179:$BG179)</f>
        <v>0</v>
      </c>
      <c r="BV179" s="142">
        <f>SUMIFS($D$9:$BG$9,$D$7:$BG$7,"5",$D179:$BG179,"&gt;"&amp;-1)</f>
        <v>0</v>
      </c>
      <c r="BW179" s="143">
        <f t="shared" si="4"/>
        <v>0</v>
      </c>
      <c r="BX179" s="144">
        <f>SUMIF($D$7:$BG$7,"6",$D179:$BG179)</f>
        <v>0</v>
      </c>
      <c r="BY179" s="142">
        <f>SUMIFS($D$9:$BG$9,$D$7:$BG$7,"6",$D179:$BG179,"&gt;"&amp;-1)</f>
        <v>0</v>
      </c>
      <c r="BZ179" s="143">
        <f t="shared" si="5"/>
        <v>0</v>
      </c>
    </row>
    <row r="180" ht="15.75" customHeight="1" spans="1:78" x14ac:dyDescent="0.25">
      <c r="A180" s="1">
        <v>168</v>
      </c>
      <c r="B180" s="1" t="s">
        <v>387</v>
      </c>
      <c r="C180" s="1" t="s">
        <v>388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>
        <f>SUMIF($D$6:$AJ$6,"IA-1",D180:AJ180)+AK180+AL180</f>
      </c>
      <c r="AN180" s="1"/>
      <c r="AO180" s="1"/>
      <c r="AP180" s="1">
        <f>SUMIF($D$6:$AJ$6,"IA-2",D180:AJ180)+AN180+AO180</f>
      </c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68"/>
      <c r="BB180" s="168"/>
      <c r="BC180" s="168"/>
      <c r="BD180" s="168"/>
      <c r="BE180" s="168"/>
      <c r="BF180" s="169"/>
      <c r="BG180" s="170"/>
      <c r="BH180" s="46"/>
      <c r="BI180" s="155">
        <f>SUMIF($D$7:$BG$7,"1",$D180:$BG180)</f>
        <v>0</v>
      </c>
      <c r="BJ180" s="142">
        <f>SUMIFS($D$9:$BG$9,$D$7:$BG$7,"1",$D180:$BG180,"&gt;"&amp;-1)</f>
        <v>0</v>
      </c>
      <c r="BK180" s="143">
        <f t="shared" si="0"/>
        <v>0</v>
      </c>
      <c r="BL180" s="144">
        <f>SUMIF($D$7:$BG$7,"2",$D180:$BG180)</f>
        <v>0</v>
      </c>
      <c r="BM180" s="142">
        <f>SUMIFS($D$9:$BG$9,$D$7:$BG$7,"2",$D180:$BG180,"&gt;"&amp;-1)</f>
        <v>0</v>
      </c>
      <c r="BN180" s="143">
        <f t="shared" si="1"/>
        <v>0</v>
      </c>
      <c r="BO180" s="144">
        <f>SUMIF($D$7:$BG$7,"3",$D180:$BG180)</f>
        <v>0</v>
      </c>
      <c r="BP180" s="142">
        <f>SUMIFS($D$9:$BG$9,$D$7:$BG$7,"3",$D180:$BG180,"&gt;"&amp;-1)</f>
        <v>0</v>
      </c>
      <c r="BQ180" s="143">
        <f t="shared" si="2"/>
        <v>0</v>
      </c>
      <c r="BR180" s="144">
        <f>SUMIF($D$7:$BG$7,"4",$D180:$BG180)</f>
        <v>0</v>
      </c>
      <c r="BS180" s="142">
        <f>SUMIFS($D$9:$BG$9,$D$7:$BG$7,"4",$D180:$BG180,"&gt;"&amp;-1)</f>
        <v>0</v>
      </c>
      <c r="BT180" s="143">
        <f t="shared" si="3"/>
        <v>0</v>
      </c>
      <c r="BU180" s="144">
        <f>SUMIF($D$7:$BG$7,"5",$D180:$BG180)</f>
        <v>0</v>
      </c>
      <c r="BV180" s="142">
        <f>SUMIFS($D$9:$BG$9,$D$7:$BG$7,"5",$D180:$BG180,"&gt;"&amp;-1)</f>
        <v>0</v>
      </c>
      <c r="BW180" s="143">
        <f t="shared" si="4"/>
        <v>0</v>
      </c>
      <c r="BX180" s="144">
        <f>SUMIF($D$7:$BG$7,"6",$D180:$BG180)</f>
        <v>0</v>
      </c>
      <c r="BY180" s="142">
        <f>SUMIFS($D$9:$BG$9,$D$7:$BG$7,"6",$D180:$BG180,"&gt;"&amp;-1)</f>
        <v>0</v>
      </c>
      <c r="BZ180" s="143">
        <f t="shared" si="5"/>
        <v>0</v>
      </c>
    </row>
    <row r="181" ht="15.75" customHeight="1" spans="1:78" x14ac:dyDescent="0.25">
      <c r="A181" s="1">
        <v>169</v>
      </c>
      <c r="B181" s="1" t="s">
        <v>389</v>
      </c>
      <c r="C181" s="1" t="s">
        <v>390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>
        <f>SUMIF($D$6:$AJ$6,"IA-1",D181:AJ181)+AK181+AL181</f>
      </c>
      <c r="AN181" s="1"/>
      <c r="AO181" s="1"/>
      <c r="AP181" s="1">
        <f>SUMIF($D$6:$AJ$6,"IA-2",D181:AJ181)+AN181+AO181</f>
      </c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68"/>
      <c r="BB181" s="168"/>
      <c r="BC181" s="168"/>
      <c r="BD181" s="168"/>
      <c r="BE181" s="168"/>
      <c r="BF181" s="169"/>
      <c r="BG181" s="170"/>
      <c r="BH181" s="46"/>
      <c r="BI181" s="155">
        <f>SUMIF($D$7:$BG$7,"1",$D181:$BG181)</f>
        <v>0</v>
      </c>
      <c r="BJ181" s="142">
        <f>SUMIFS($D$9:$BG$9,$D$7:$BG$7,"1",$D181:$BG181,"&gt;"&amp;-1)</f>
        <v>0</v>
      </c>
      <c r="BK181" s="143">
        <f t="shared" si="0"/>
        <v>0</v>
      </c>
      <c r="BL181" s="144">
        <f>SUMIF($D$7:$BG$7,"2",$D181:$BG181)</f>
        <v>0</v>
      </c>
      <c r="BM181" s="142">
        <f>SUMIFS($D$9:$BG$9,$D$7:$BG$7,"2",$D181:$BG181,"&gt;"&amp;-1)</f>
        <v>0</v>
      </c>
      <c r="BN181" s="143">
        <f t="shared" si="1"/>
        <v>0</v>
      </c>
      <c r="BO181" s="144">
        <f>SUMIF($D$7:$BG$7,"3",$D181:$BG181)</f>
        <v>0</v>
      </c>
      <c r="BP181" s="142">
        <f>SUMIFS($D$9:$BG$9,$D$7:$BG$7,"3",$D181:$BG181,"&gt;"&amp;-1)</f>
        <v>0</v>
      </c>
      <c r="BQ181" s="143">
        <f t="shared" si="2"/>
        <v>0</v>
      </c>
      <c r="BR181" s="144">
        <f>SUMIF($D$7:$BG$7,"4",$D181:$BG181)</f>
        <v>0</v>
      </c>
      <c r="BS181" s="142">
        <f>SUMIFS($D$9:$BG$9,$D$7:$BG$7,"4",$D181:$BG181,"&gt;"&amp;-1)</f>
        <v>0</v>
      </c>
      <c r="BT181" s="143">
        <f t="shared" si="3"/>
        <v>0</v>
      </c>
      <c r="BU181" s="144">
        <f>SUMIF($D$7:$BG$7,"5",$D181:$BG181)</f>
        <v>0</v>
      </c>
      <c r="BV181" s="142">
        <f>SUMIFS($D$9:$BG$9,$D$7:$BG$7,"5",$D181:$BG181,"&gt;"&amp;-1)</f>
        <v>0</v>
      </c>
      <c r="BW181" s="143">
        <f t="shared" si="4"/>
        <v>0</v>
      </c>
      <c r="BX181" s="144">
        <f>SUMIF($D$7:$BG$7,"6",$D181:$BG181)</f>
        <v>0</v>
      </c>
      <c r="BY181" s="142">
        <f>SUMIFS($D$9:$BG$9,$D$7:$BG$7,"6",$D181:$BG181,"&gt;"&amp;-1)</f>
        <v>0</v>
      </c>
      <c r="BZ181" s="143">
        <f t="shared" si="5"/>
        <v>0</v>
      </c>
    </row>
    <row r="182" ht="15.75" customHeight="1" spans="1:78" x14ac:dyDescent="0.25">
      <c r="A182" s="1">
        <v>170</v>
      </c>
      <c r="B182" s="1" t="s">
        <v>391</v>
      </c>
      <c r="C182" s="1" t="s">
        <v>392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>
        <f>SUMIF($D$6:$AJ$6,"IA-1",D182:AJ182)+AK182+AL182</f>
      </c>
      <c r="AN182" s="1"/>
      <c r="AO182" s="1"/>
      <c r="AP182" s="1">
        <f>SUMIF($D$6:$AJ$6,"IA-2",D182:AJ182)+AN182+AO182</f>
      </c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68"/>
      <c r="BB182" s="168"/>
      <c r="BC182" s="168"/>
      <c r="BD182" s="168"/>
      <c r="BE182" s="168"/>
      <c r="BF182" s="169"/>
      <c r="BG182" s="170"/>
      <c r="BH182" s="46"/>
      <c r="BI182" s="155">
        <f>SUMIF($D$7:$BG$7,"1",$D182:$BG182)</f>
        <v>0</v>
      </c>
      <c r="BJ182" s="142">
        <f>SUMIFS($D$9:$BG$9,$D$7:$BG$7,"1",$D182:$BG182,"&gt;"&amp;-1)</f>
        <v>0</v>
      </c>
      <c r="BK182" s="143">
        <f t="shared" si="0"/>
        <v>0</v>
      </c>
      <c r="BL182" s="144">
        <f>SUMIF($D$7:$BG$7,"2",$D182:$BG182)</f>
        <v>0</v>
      </c>
      <c r="BM182" s="142">
        <f>SUMIFS($D$9:$BG$9,$D$7:$BG$7,"2",$D182:$BG182,"&gt;"&amp;-1)</f>
        <v>0</v>
      </c>
      <c r="BN182" s="143">
        <f t="shared" si="1"/>
        <v>0</v>
      </c>
      <c r="BO182" s="144">
        <f>SUMIF($D$7:$BG$7,"3",$D182:$BG182)</f>
        <v>0</v>
      </c>
      <c r="BP182" s="142">
        <f>SUMIFS($D$9:$BG$9,$D$7:$BG$7,"3",$D182:$BG182,"&gt;"&amp;-1)</f>
        <v>0</v>
      </c>
      <c r="BQ182" s="143">
        <f t="shared" si="2"/>
        <v>0</v>
      </c>
      <c r="BR182" s="144">
        <f>SUMIF($D$7:$BG$7,"4",$D182:$BG182)</f>
        <v>0</v>
      </c>
      <c r="BS182" s="142">
        <f>SUMIFS($D$9:$BG$9,$D$7:$BG$7,"4",$D182:$BG182,"&gt;"&amp;-1)</f>
        <v>0</v>
      </c>
      <c r="BT182" s="143">
        <f t="shared" si="3"/>
        <v>0</v>
      </c>
      <c r="BU182" s="144">
        <f>SUMIF($D$7:$BG$7,"5",$D182:$BG182)</f>
        <v>0</v>
      </c>
      <c r="BV182" s="142">
        <f>SUMIFS($D$9:$BG$9,$D$7:$BG$7,"5",$D182:$BG182,"&gt;"&amp;-1)</f>
        <v>0</v>
      </c>
      <c r="BW182" s="143">
        <f t="shared" si="4"/>
        <v>0</v>
      </c>
      <c r="BX182" s="144">
        <f>SUMIF($D$7:$BG$7,"6",$D182:$BG182)</f>
        <v>0</v>
      </c>
      <c r="BY182" s="142">
        <f>SUMIFS($D$9:$BG$9,$D$7:$BG$7,"6",$D182:$BG182,"&gt;"&amp;-1)</f>
        <v>0</v>
      </c>
      <c r="BZ182" s="143">
        <f t="shared" si="5"/>
        <v>0</v>
      </c>
    </row>
    <row r="183" ht="15.75" customHeight="1" spans="1:78" x14ac:dyDescent="0.25">
      <c r="A183" s="1">
        <v>171</v>
      </c>
      <c r="B183" s="1" t="s">
        <v>393</v>
      </c>
      <c r="C183" s="1" t="s">
        <v>394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>
        <f>SUMIF($D$6:$AJ$6,"IA-1",D183:AJ183)+AK183+AL183</f>
      </c>
      <c r="AN183" s="1"/>
      <c r="AO183" s="1"/>
      <c r="AP183" s="1">
        <f>SUMIF($D$6:$AJ$6,"IA-2",D183:AJ183)+AN183+AO183</f>
      </c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68"/>
      <c r="BB183" s="168"/>
      <c r="BC183" s="168"/>
      <c r="BD183" s="168"/>
      <c r="BE183" s="168"/>
      <c r="BF183" s="169"/>
      <c r="BG183" s="170"/>
      <c r="BH183" s="46"/>
      <c r="BI183" s="155">
        <f>SUMIF($D$7:$BG$7,"1",$D183:$BG183)</f>
        <v>0</v>
      </c>
      <c r="BJ183" s="142">
        <f>SUMIFS($D$9:$BG$9,$D$7:$BG$7,"1",$D183:$BG183,"&gt;"&amp;-1)</f>
        <v>0</v>
      </c>
      <c r="BK183" s="143">
        <f t="shared" si="0"/>
        <v>0</v>
      </c>
      <c r="BL183" s="144">
        <f>SUMIF($D$7:$BG$7,"2",$D183:$BG183)</f>
        <v>0</v>
      </c>
      <c r="BM183" s="142">
        <f>SUMIFS($D$9:$BG$9,$D$7:$BG$7,"2",$D183:$BG183,"&gt;"&amp;-1)</f>
        <v>0</v>
      </c>
      <c r="BN183" s="143">
        <f t="shared" si="1"/>
        <v>0</v>
      </c>
      <c r="BO183" s="144">
        <f>SUMIF($D$7:$BG$7,"3",$D183:$BG183)</f>
        <v>0</v>
      </c>
      <c r="BP183" s="142">
        <f>SUMIFS($D$9:$BG$9,$D$7:$BG$7,"3",$D183:$BG183,"&gt;"&amp;-1)</f>
        <v>0</v>
      </c>
      <c r="BQ183" s="143">
        <f t="shared" si="2"/>
        <v>0</v>
      </c>
      <c r="BR183" s="144">
        <f>SUMIF($D$7:$BG$7,"4",$D183:$BG183)</f>
        <v>0</v>
      </c>
      <c r="BS183" s="142">
        <f>SUMIFS($D$9:$BG$9,$D$7:$BG$7,"4",$D183:$BG183,"&gt;"&amp;-1)</f>
        <v>0</v>
      </c>
      <c r="BT183" s="143">
        <f t="shared" si="3"/>
        <v>0</v>
      </c>
      <c r="BU183" s="144">
        <f>SUMIF($D$7:$BG$7,"5",$D183:$BG183)</f>
        <v>0</v>
      </c>
      <c r="BV183" s="142">
        <f>SUMIFS($D$9:$BG$9,$D$7:$BG$7,"5",$D183:$BG183,"&gt;"&amp;-1)</f>
        <v>0</v>
      </c>
      <c r="BW183" s="143">
        <f t="shared" si="4"/>
        <v>0</v>
      </c>
      <c r="BX183" s="144">
        <f>SUMIF($D$7:$BG$7,"6",$D183:$BG183)</f>
        <v>0</v>
      </c>
      <c r="BY183" s="142">
        <f>SUMIFS($D$9:$BG$9,$D$7:$BG$7,"6",$D183:$BG183,"&gt;"&amp;-1)</f>
        <v>0</v>
      </c>
      <c r="BZ183" s="143">
        <f t="shared" si="5"/>
        <v>0</v>
      </c>
    </row>
    <row r="184" ht="15.75" customHeight="1" spans="1:78" x14ac:dyDescent="0.25">
      <c r="A184" s="1">
        <v>172</v>
      </c>
      <c r="B184" s="1" t="s">
        <v>395</v>
      </c>
      <c r="C184" s="1" t="s">
        <v>396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>
        <f>SUMIF($D$6:$AJ$6,"IA-1",D184:AJ184)+AK184+AL184</f>
      </c>
      <c r="AN184" s="1"/>
      <c r="AO184" s="1"/>
      <c r="AP184" s="1">
        <f>SUMIF($D$6:$AJ$6,"IA-2",D184:AJ184)+AN184+AO184</f>
      </c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68"/>
      <c r="BB184" s="168"/>
      <c r="BC184" s="168"/>
      <c r="BD184" s="168"/>
      <c r="BE184" s="168"/>
      <c r="BF184" s="169"/>
      <c r="BG184" s="170"/>
      <c r="BH184" s="46"/>
      <c r="BI184" s="155">
        <f>SUMIF($D$7:$BG$7,"1",$D184:$BG184)</f>
        <v>0</v>
      </c>
      <c r="BJ184" s="142">
        <f>SUMIFS($D$9:$BG$9,$D$7:$BG$7,"1",$D184:$BG184,"&gt;"&amp;-1)</f>
        <v>0</v>
      </c>
      <c r="BK184" s="143">
        <f t="shared" si="0"/>
        <v>0</v>
      </c>
      <c r="BL184" s="144">
        <f>SUMIF($D$7:$BG$7,"2",$D184:$BG184)</f>
        <v>0</v>
      </c>
      <c r="BM184" s="142">
        <f>SUMIFS($D$9:$BG$9,$D$7:$BG$7,"2",$D184:$BG184,"&gt;"&amp;-1)</f>
        <v>0</v>
      </c>
      <c r="BN184" s="143">
        <f t="shared" si="1"/>
        <v>0</v>
      </c>
      <c r="BO184" s="144">
        <f>SUMIF($D$7:$BG$7,"3",$D184:$BG184)</f>
        <v>0</v>
      </c>
      <c r="BP184" s="142">
        <f>SUMIFS($D$9:$BG$9,$D$7:$BG$7,"3",$D184:$BG184,"&gt;"&amp;-1)</f>
        <v>0</v>
      </c>
      <c r="BQ184" s="143">
        <f t="shared" si="2"/>
        <v>0</v>
      </c>
      <c r="BR184" s="144">
        <f>SUMIF($D$7:$BG$7,"4",$D184:$BG184)</f>
        <v>0</v>
      </c>
      <c r="BS184" s="142">
        <f>SUMIFS($D$9:$BG$9,$D$7:$BG$7,"4",$D184:$BG184,"&gt;"&amp;-1)</f>
        <v>0</v>
      </c>
      <c r="BT184" s="143">
        <f t="shared" si="3"/>
        <v>0</v>
      </c>
      <c r="BU184" s="144">
        <f>SUMIF($D$7:$BG$7,"5",$D184:$BG184)</f>
        <v>0</v>
      </c>
      <c r="BV184" s="142">
        <f>SUMIFS($D$9:$BG$9,$D$7:$BG$7,"5",$D184:$BG184,"&gt;"&amp;-1)</f>
        <v>0</v>
      </c>
      <c r="BW184" s="143">
        <f t="shared" si="4"/>
        <v>0</v>
      </c>
      <c r="BX184" s="144">
        <f>SUMIF($D$7:$BG$7,"6",$D184:$BG184)</f>
        <v>0</v>
      </c>
      <c r="BY184" s="142">
        <f>SUMIFS($D$9:$BG$9,$D$7:$BG$7,"6",$D184:$BG184,"&gt;"&amp;-1)</f>
        <v>0</v>
      </c>
      <c r="BZ184" s="143">
        <f t="shared" si="5"/>
        <v>0</v>
      </c>
    </row>
    <row r="185" ht="15.75" customHeight="1" spans="1:78" x14ac:dyDescent="0.25">
      <c r="A185" s="1">
        <v>173</v>
      </c>
      <c r="B185" s="1" t="s">
        <v>397</v>
      </c>
      <c r="C185" s="1" t="s">
        <v>398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>
        <f>SUMIF($D$6:$AJ$6,"IA-1",D185:AJ185)+AK185+AL185</f>
      </c>
      <c r="AN185" s="1"/>
      <c r="AO185" s="1"/>
      <c r="AP185" s="1">
        <f>SUMIF($D$6:$AJ$6,"IA-2",D185:AJ185)+AN185+AO185</f>
      </c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68"/>
      <c r="BB185" s="168"/>
      <c r="BC185" s="168"/>
      <c r="BD185" s="168"/>
      <c r="BE185" s="168"/>
      <c r="BF185" s="169"/>
      <c r="BG185" s="170"/>
      <c r="BH185" s="46"/>
      <c r="BI185" s="155">
        <f>SUMIF($D$7:$BG$7,"1",$D185:$BG185)</f>
        <v>0</v>
      </c>
      <c r="BJ185" s="142">
        <f>SUMIFS($D$9:$BG$9,$D$7:$BG$7,"1",$D185:$BG185,"&gt;"&amp;-1)</f>
        <v>0</v>
      </c>
      <c r="BK185" s="143">
        <f t="shared" si="0"/>
        <v>0</v>
      </c>
      <c r="BL185" s="144">
        <f>SUMIF($D$7:$BG$7,"2",$D185:$BG185)</f>
        <v>0</v>
      </c>
      <c r="BM185" s="142">
        <f>SUMIFS($D$9:$BG$9,$D$7:$BG$7,"2",$D185:$BG185,"&gt;"&amp;-1)</f>
        <v>0</v>
      </c>
      <c r="BN185" s="143">
        <f t="shared" si="1"/>
        <v>0</v>
      </c>
      <c r="BO185" s="144">
        <f>SUMIF($D$7:$BG$7,"3",$D185:$BG185)</f>
        <v>0</v>
      </c>
      <c r="BP185" s="142">
        <f>SUMIFS($D$9:$BG$9,$D$7:$BG$7,"3",$D185:$BG185,"&gt;"&amp;-1)</f>
        <v>0</v>
      </c>
      <c r="BQ185" s="143">
        <f t="shared" si="2"/>
        <v>0</v>
      </c>
      <c r="BR185" s="144">
        <f>SUMIF($D$7:$BG$7,"4",$D185:$BG185)</f>
        <v>0</v>
      </c>
      <c r="BS185" s="142">
        <f>SUMIFS($D$9:$BG$9,$D$7:$BG$7,"4",$D185:$BG185,"&gt;"&amp;-1)</f>
        <v>0</v>
      </c>
      <c r="BT185" s="143">
        <f t="shared" si="3"/>
        <v>0</v>
      </c>
      <c r="BU185" s="144">
        <f>SUMIF($D$7:$BG$7,"5",$D185:$BG185)</f>
        <v>0</v>
      </c>
      <c r="BV185" s="142">
        <f>SUMIFS($D$9:$BG$9,$D$7:$BG$7,"5",$D185:$BG185,"&gt;"&amp;-1)</f>
        <v>0</v>
      </c>
      <c r="BW185" s="143">
        <f t="shared" si="4"/>
        <v>0</v>
      </c>
      <c r="BX185" s="144">
        <f>SUMIF($D$7:$BG$7,"6",$D185:$BG185)</f>
        <v>0</v>
      </c>
      <c r="BY185" s="142">
        <f>SUMIFS($D$9:$BG$9,$D$7:$BG$7,"6",$D185:$BG185,"&gt;"&amp;-1)</f>
        <v>0</v>
      </c>
      <c r="BZ185" s="143">
        <f t="shared" si="5"/>
        <v>0</v>
      </c>
    </row>
    <row r="186" ht="15.75" customHeight="1" spans="1:1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68"/>
      <c r="BB186" s="168"/>
      <c r="BC186" s="168"/>
      <c r="BD186" s="168"/>
      <c r="BE186" s="168"/>
      <c r="BF186" s="169"/>
      <c r="BG186" s="170"/>
      <c r="BH186" s="46"/>
      <c r="BI186" s="155"/>
      <c r="BJ186" s="142"/>
      <c r="BK186" s="143"/>
      <c r="BL186" s="144"/>
      <c r="BM186" s="142"/>
      <c r="BN186" s="143"/>
      <c r="BO186" s="144"/>
      <c r="BP186" s="142"/>
      <c r="BQ186" s="143"/>
      <c r="BR186" s="144"/>
      <c r="BS186" s="142"/>
      <c r="BT186" s="143"/>
      <c r="BU186" s="144"/>
      <c r="BV186" s="142"/>
      <c r="BW186" s="143"/>
      <c r="BX186" s="144"/>
      <c r="BY186" s="142"/>
      <c r="BZ186" s="143"/>
    </row>
    <row r="187" ht="15.75" customHeight="1" spans="1:1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68"/>
      <c r="BB187" s="168"/>
      <c r="BC187" s="168"/>
      <c r="BD187" s="168"/>
      <c r="BE187" s="168"/>
      <c r="BF187" s="169"/>
      <c r="BG187" s="170"/>
      <c r="BH187" s="46"/>
      <c r="BI187" s="155"/>
      <c r="BJ187" s="142"/>
      <c r="BK187" s="143"/>
      <c r="BL187" s="144"/>
      <c r="BM187" s="142"/>
      <c r="BN187" s="143"/>
      <c r="BO187" s="144"/>
      <c r="BP187" s="142"/>
      <c r="BQ187" s="143"/>
      <c r="BR187" s="144"/>
      <c r="BS187" s="142"/>
      <c r="BT187" s="143"/>
      <c r="BU187" s="144"/>
      <c r="BV187" s="142"/>
      <c r="BW187" s="143"/>
      <c r="BX187" s="144"/>
      <c r="BY187" s="142"/>
      <c r="BZ187" s="143"/>
    </row>
    <row r="188" ht="15.75" customHeight="1" spans="1:1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68"/>
      <c r="BB188" s="168"/>
      <c r="BC188" s="168"/>
      <c r="BD188" s="168"/>
      <c r="BE188" s="168"/>
      <c r="BF188" s="169"/>
      <c r="BG188" s="170"/>
      <c r="BH188" s="46"/>
      <c r="BI188" s="155"/>
      <c r="BJ188" s="142"/>
      <c r="BK188" s="143"/>
      <c r="BL188" s="144"/>
      <c r="BM188" s="142"/>
      <c r="BN188" s="143"/>
      <c r="BO188" s="144"/>
      <c r="BP188" s="142"/>
      <c r="BQ188" s="143"/>
      <c r="BR188" s="144"/>
      <c r="BS188" s="142"/>
      <c r="BT188" s="143"/>
      <c r="BU188" s="144"/>
      <c r="BV188" s="142"/>
      <c r="BW188" s="143"/>
      <c r="BX188" s="144"/>
      <c r="BY188" s="142"/>
      <c r="BZ188" s="143"/>
    </row>
    <row r="189" ht="15.75" customHeight="1" spans="1:1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68"/>
      <c r="BB189" s="168"/>
      <c r="BC189" s="168"/>
      <c r="BD189" s="168"/>
      <c r="BE189" s="168"/>
      <c r="BF189" s="169"/>
      <c r="BG189" s="170"/>
      <c r="BH189" s="46"/>
      <c r="BI189" s="155"/>
      <c r="BJ189" s="142"/>
      <c r="BK189" s="143"/>
      <c r="BL189" s="144"/>
      <c r="BM189" s="142"/>
      <c r="BN189" s="143"/>
      <c r="BO189" s="144"/>
      <c r="BP189" s="142"/>
      <c r="BQ189" s="143"/>
      <c r="BR189" s="144"/>
      <c r="BS189" s="142"/>
      <c r="BT189" s="143"/>
      <c r="BU189" s="144"/>
      <c r="BV189" s="142"/>
      <c r="BW189" s="143"/>
      <c r="BX189" s="144"/>
      <c r="BY189" s="142"/>
      <c r="BZ189" s="143"/>
    </row>
    <row r="190" ht="15.75" customHeight="1" spans="1:1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68"/>
      <c r="BB190" s="168"/>
      <c r="BC190" s="168"/>
      <c r="BD190" s="168"/>
      <c r="BE190" s="168"/>
      <c r="BF190" s="169"/>
      <c r="BG190" s="170"/>
      <c r="BH190" s="46"/>
      <c r="BI190" s="155"/>
      <c r="BJ190" s="142"/>
      <c r="BK190" s="143"/>
      <c r="BL190" s="144"/>
      <c r="BM190" s="142"/>
      <c r="BN190" s="143"/>
      <c r="BO190" s="144"/>
      <c r="BP190" s="142"/>
      <c r="BQ190" s="143"/>
      <c r="BR190" s="144"/>
      <c r="BS190" s="142"/>
      <c r="BT190" s="143"/>
      <c r="BU190" s="144"/>
      <c r="BV190" s="142"/>
      <c r="BW190" s="143"/>
      <c r="BX190" s="144"/>
      <c r="BY190" s="142"/>
      <c r="BZ190" s="143"/>
    </row>
    <row r="191" ht="15.75" customHeight="1" spans="1:1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68"/>
      <c r="BB191" s="168"/>
      <c r="BC191" s="168"/>
      <c r="BD191" s="168"/>
      <c r="BE191" s="168"/>
      <c r="BF191" s="169"/>
      <c r="BG191" s="170"/>
      <c r="BH191" s="46"/>
      <c r="BI191" s="155"/>
      <c r="BJ191" s="142"/>
      <c r="BK191" s="143"/>
      <c r="BL191" s="144"/>
      <c r="BM191" s="142"/>
      <c r="BN191" s="143"/>
      <c r="BO191" s="144"/>
      <c r="BP191" s="142"/>
      <c r="BQ191" s="143"/>
      <c r="BR191" s="144"/>
      <c r="BS191" s="142"/>
      <c r="BT191" s="143"/>
      <c r="BU191" s="144"/>
      <c r="BV191" s="142"/>
      <c r="BW191" s="143"/>
      <c r="BX191" s="144"/>
      <c r="BY191" s="142"/>
      <c r="BZ191" s="143"/>
    </row>
    <row r="192" ht="15.75" customHeight="1" spans="1:1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68"/>
      <c r="BB192" s="168"/>
      <c r="BC192" s="168"/>
      <c r="BD192" s="168"/>
      <c r="BE192" s="168"/>
      <c r="BF192" s="169"/>
      <c r="BG192" s="170"/>
      <c r="BH192" s="46"/>
      <c r="BI192" s="155"/>
      <c r="BJ192" s="142"/>
      <c r="BK192" s="143"/>
      <c r="BL192" s="144"/>
      <c r="BM192" s="142"/>
      <c r="BN192" s="143"/>
      <c r="BO192" s="144"/>
      <c r="BP192" s="142"/>
      <c r="BQ192" s="143"/>
      <c r="BR192" s="144"/>
      <c r="BS192" s="142"/>
      <c r="BT192" s="143"/>
      <c r="BU192" s="144"/>
      <c r="BV192" s="142"/>
      <c r="BW192" s="143"/>
      <c r="BX192" s="144"/>
      <c r="BY192" s="142"/>
      <c r="BZ192" s="143"/>
    </row>
    <row r="193" ht="15.75" customHeight="1" spans="1:1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68"/>
      <c r="BB193" s="168"/>
      <c r="BC193" s="168"/>
      <c r="BD193" s="168"/>
      <c r="BE193" s="168"/>
      <c r="BF193" s="169"/>
      <c r="BG193" s="170"/>
      <c r="BH193" s="46"/>
      <c r="BI193" s="155"/>
      <c r="BJ193" s="142"/>
      <c r="BK193" s="143"/>
      <c r="BL193" s="144"/>
      <c r="BM193" s="142"/>
      <c r="BN193" s="143"/>
      <c r="BO193" s="144"/>
      <c r="BP193" s="142"/>
      <c r="BQ193" s="143"/>
      <c r="BR193" s="144"/>
      <c r="BS193" s="142"/>
      <c r="BT193" s="143"/>
      <c r="BU193" s="144"/>
      <c r="BV193" s="142"/>
      <c r="BW193" s="143"/>
      <c r="BX193" s="144"/>
      <c r="BY193" s="142"/>
      <c r="BZ193" s="143"/>
    </row>
    <row r="194" ht="15.75" customHeight="1" spans="1:1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68"/>
      <c r="BB194" s="168"/>
      <c r="BC194" s="168"/>
      <c r="BD194" s="168"/>
      <c r="BE194" s="168"/>
      <c r="BF194" s="169"/>
      <c r="BG194" s="170"/>
      <c r="BH194" s="46"/>
      <c r="BI194" s="155"/>
      <c r="BJ194" s="142"/>
      <c r="BK194" s="143"/>
      <c r="BL194" s="144"/>
      <c r="BM194" s="142"/>
      <c r="BN194" s="143"/>
      <c r="BO194" s="144"/>
      <c r="BP194" s="142"/>
      <c r="BQ194" s="143"/>
      <c r="BR194" s="144"/>
      <c r="BS194" s="142"/>
      <c r="BT194" s="143"/>
      <c r="BU194" s="144"/>
      <c r="BV194" s="142"/>
      <c r="BW194" s="143"/>
      <c r="BX194" s="144"/>
      <c r="BY194" s="142"/>
      <c r="BZ194" s="143"/>
    </row>
    <row r="195" ht="15.75" customHeight="1" spans="1:1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68"/>
      <c r="BB195" s="168"/>
      <c r="BC195" s="168"/>
      <c r="BD195" s="168"/>
      <c r="BE195" s="168"/>
      <c r="BF195" s="169"/>
      <c r="BG195" s="170"/>
      <c r="BH195" s="46"/>
      <c r="BI195" s="155"/>
      <c r="BJ195" s="142"/>
      <c r="BK195" s="143"/>
      <c r="BL195" s="144"/>
      <c r="BM195" s="142"/>
      <c r="BN195" s="143"/>
      <c r="BO195" s="144"/>
      <c r="BP195" s="142"/>
      <c r="BQ195" s="143"/>
      <c r="BR195" s="144"/>
      <c r="BS195" s="142"/>
      <c r="BT195" s="143"/>
      <c r="BU195" s="144"/>
      <c r="BV195" s="142"/>
      <c r="BW195" s="143"/>
      <c r="BX195" s="144"/>
      <c r="BY195" s="142"/>
      <c r="BZ195" s="143"/>
    </row>
    <row r="196" ht="15.75" customHeight="1" spans="1:1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68"/>
      <c r="BB196" s="168"/>
      <c r="BC196" s="168"/>
      <c r="BD196" s="168"/>
      <c r="BE196" s="168"/>
      <c r="BF196" s="169"/>
      <c r="BG196" s="170"/>
      <c r="BH196" s="46"/>
      <c r="BI196" s="155"/>
      <c r="BJ196" s="142"/>
      <c r="BK196" s="143"/>
      <c r="BL196" s="144"/>
      <c r="BM196" s="142"/>
      <c r="BN196" s="143"/>
      <c r="BO196" s="144"/>
      <c r="BP196" s="142"/>
      <c r="BQ196" s="143"/>
      <c r="BR196" s="144"/>
      <c r="BS196" s="142"/>
      <c r="BT196" s="143"/>
      <c r="BU196" s="144"/>
      <c r="BV196" s="142"/>
      <c r="BW196" s="143"/>
      <c r="BX196" s="144"/>
      <c r="BY196" s="142"/>
      <c r="BZ196" s="143"/>
    </row>
    <row r="197" ht="15.75" customHeight="1" spans="1:1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68"/>
      <c r="BB197" s="168"/>
      <c r="BC197" s="168"/>
      <c r="BD197" s="168"/>
      <c r="BE197" s="168"/>
      <c r="BF197" s="169"/>
      <c r="BG197" s="170"/>
      <c r="BH197" s="46"/>
      <c r="BI197" s="155"/>
      <c r="BJ197" s="142"/>
      <c r="BK197" s="143"/>
      <c r="BL197" s="144"/>
      <c r="BM197" s="142"/>
      <c r="BN197" s="143"/>
      <c r="BO197" s="144"/>
      <c r="BP197" s="142"/>
      <c r="BQ197" s="143"/>
      <c r="BR197" s="144"/>
      <c r="BS197" s="142"/>
      <c r="BT197" s="143"/>
      <c r="BU197" s="144"/>
      <c r="BV197" s="142"/>
      <c r="BW197" s="143"/>
      <c r="BX197" s="144"/>
      <c r="BY197" s="142"/>
      <c r="BZ197" s="143"/>
    </row>
    <row r="198" ht="15.75" customHeight="1" spans="1:1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68"/>
      <c r="BB198" s="168"/>
      <c r="BC198" s="168"/>
      <c r="BD198" s="168"/>
      <c r="BE198" s="168"/>
      <c r="BF198" s="169"/>
      <c r="BG198" s="170"/>
      <c r="BH198" s="46"/>
      <c r="BI198" s="155"/>
      <c r="BJ198" s="142"/>
      <c r="BK198" s="143"/>
      <c r="BL198" s="144"/>
      <c r="BM198" s="142"/>
      <c r="BN198" s="143"/>
      <c r="BO198" s="144"/>
      <c r="BP198" s="142"/>
      <c r="BQ198" s="143"/>
      <c r="BR198" s="144"/>
      <c r="BS198" s="142"/>
      <c r="BT198" s="143"/>
      <c r="BU198" s="144"/>
      <c r="BV198" s="142"/>
      <c r="BW198" s="143"/>
      <c r="BX198" s="144"/>
      <c r="BY198" s="142"/>
      <c r="BZ198" s="143"/>
    </row>
    <row r="199" ht="15.75" customHeight="1" spans="1:1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68"/>
      <c r="BB199" s="168"/>
      <c r="BC199" s="168"/>
      <c r="BD199" s="168"/>
      <c r="BE199" s="168"/>
      <c r="BF199" s="169"/>
      <c r="BG199" s="170"/>
      <c r="BH199" s="46"/>
      <c r="BI199" s="155"/>
      <c r="BJ199" s="142"/>
      <c r="BK199" s="143"/>
      <c r="BL199" s="144"/>
      <c r="BM199" s="142"/>
      <c r="BN199" s="143"/>
      <c r="BO199" s="144"/>
      <c r="BP199" s="142"/>
      <c r="BQ199" s="143"/>
      <c r="BR199" s="144"/>
      <c r="BS199" s="142"/>
      <c r="BT199" s="143"/>
      <c r="BU199" s="144"/>
      <c r="BV199" s="142"/>
      <c r="BW199" s="143"/>
      <c r="BX199" s="144"/>
      <c r="BY199" s="142"/>
      <c r="BZ199" s="143"/>
    </row>
    <row r="200" ht="15.75" customHeight="1" spans="1:100" x14ac:dyDescent="0.25">
      <c r="A200" s="17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75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68"/>
      <c r="BB200" s="168"/>
      <c r="BC200" s="168"/>
      <c r="BD200" s="168"/>
      <c r="BE200" s="168"/>
      <c r="BF200" s="169"/>
      <c r="BG200" s="170"/>
      <c r="BH200" s="46"/>
      <c r="BI200" s="155"/>
      <c r="BJ200" s="142"/>
      <c r="BK200" s="143"/>
      <c r="BL200" s="144"/>
      <c r="BM200" s="142"/>
      <c r="BN200" s="143"/>
      <c r="BO200" s="144"/>
      <c r="BP200" s="142"/>
      <c r="BQ200" s="143"/>
      <c r="BR200" s="144"/>
      <c r="BS200" s="142"/>
      <c r="BT200" s="143"/>
      <c r="BU200" s="144"/>
      <c r="BV200" s="142"/>
      <c r="BW200" s="143"/>
      <c r="BX200" s="144"/>
      <c r="BY200" s="142"/>
      <c r="BZ200" s="143"/>
    </row>
    <row r="201" ht="15.75" customHeight="1" spans="1:100" x14ac:dyDescent="0.25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167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  <c r="BG201" s="167"/>
      <c r="BH201" s="167"/>
      <c r="BI201" s="46"/>
      <c r="BJ201" s="46"/>
      <c r="BK201" s="176"/>
      <c r="BL201" s="167"/>
      <c r="BM201" s="167"/>
      <c r="BN201" s="167"/>
      <c r="BO201" s="167"/>
      <c r="BP201" s="167"/>
      <c r="BQ201" s="167"/>
      <c r="BR201" s="167"/>
      <c r="BS201" s="167"/>
      <c r="BT201" s="167"/>
      <c r="BU201" s="167"/>
      <c r="BV201" s="167"/>
      <c r="BW201" s="167"/>
      <c r="BX201" s="167"/>
      <c r="BY201" s="167"/>
      <c r="BZ201" s="167"/>
    </row>
    <row r="202" ht="15.75" customHeight="1" spans="1:100" x14ac:dyDescent="0.25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67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  <c r="BG202" s="167"/>
      <c r="BH202" s="167"/>
      <c r="BI202" s="46"/>
      <c r="BJ202" s="46"/>
      <c r="BK202" s="176"/>
      <c r="BL202" s="167"/>
      <c r="BM202" s="167"/>
      <c r="BN202" s="167"/>
      <c r="BO202" s="167"/>
      <c r="BP202" s="167"/>
      <c r="BQ202" s="167"/>
      <c r="BR202" s="167"/>
      <c r="BS202" s="167"/>
      <c r="BT202" s="167"/>
      <c r="BU202" s="167"/>
      <c r="BV202" s="167"/>
      <c r="BW202" s="167"/>
      <c r="BX202" s="167"/>
      <c r="BY202" s="167"/>
      <c r="BZ202" s="167"/>
    </row>
    <row r="203" ht="15.75" customHeight="1" spans="1:100" x14ac:dyDescent="0.25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46"/>
      <c r="BJ203" s="46"/>
      <c r="BK203" s="176"/>
      <c r="BL203" s="167"/>
      <c r="BM203" s="167"/>
      <c r="BN203" s="167"/>
      <c r="BO203" s="167"/>
      <c r="BP203" s="167"/>
      <c r="BQ203" s="167"/>
      <c r="BR203" s="167"/>
      <c r="BS203" s="167"/>
      <c r="BT203" s="167"/>
      <c r="BU203" s="167"/>
      <c r="BV203" s="167"/>
      <c r="BW203" s="167"/>
      <c r="BX203" s="167"/>
      <c r="BY203" s="167"/>
      <c r="BZ203" s="167"/>
    </row>
    <row r="204" ht="15.75" customHeight="1" spans="1:100" x14ac:dyDescent="0.25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46"/>
      <c r="BJ204" s="46"/>
      <c r="BK204" s="176"/>
      <c r="BL204" s="167"/>
      <c r="BM204" s="167"/>
      <c r="BN204" s="167"/>
      <c r="BO204" s="167"/>
      <c r="BP204" s="167"/>
      <c r="BQ204" s="167"/>
      <c r="BR204" s="167"/>
      <c r="BS204" s="167"/>
      <c r="BT204" s="167"/>
      <c r="BU204" s="167"/>
      <c r="BV204" s="167"/>
      <c r="BW204" s="167"/>
      <c r="BX204" s="167"/>
      <c r="BY204" s="167"/>
      <c r="BZ204" s="167"/>
    </row>
    <row r="205" ht="15.75" customHeight="1" spans="1:100" x14ac:dyDescent="0.2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46"/>
      <c r="BJ205" s="46"/>
      <c r="BK205" s="176"/>
      <c r="BL205" s="167"/>
      <c r="BM205" s="167"/>
      <c r="BN205" s="167"/>
      <c r="BO205" s="167"/>
      <c r="BP205" s="167"/>
      <c r="BQ205" s="167"/>
      <c r="BR205" s="167"/>
      <c r="BS205" s="167"/>
      <c r="BT205" s="167"/>
      <c r="BU205" s="167"/>
      <c r="BV205" s="167"/>
      <c r="BW205" s="167"/>
      <c r="BX205" s="167"/>
      <c r="BY205" s="167"/>
      <c r="BZ205" s="167"/>
    </row>
    <row r="206" ht="15.75" customHeight="1" spans="1:100" x14ac:dyDescent="0.25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67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  <c r="BG206" s="167"/>
      <c r="BH206" s="167"/>
      <c r="BI206" s="46"/>
      <c r="BJ206" s="46"/>
      <c r="BK206" s="176"/>
      <c r="BL206" s="167"/>
      <c r="BM206" s="167"/>
      <c r="BN206" s="167"/>
      <c r="BO206" s="167"/>
      <c r="BP206" s="167"/>
      <c r="BQ206" s="167"/>
      <c r="BR206" s="167"/>
      <c r="BS206" s="167"/>
      <c r="BT206" s="167"/>
      <c r="BU206" s="167"/>
      <c r="BV206" s="167"/>
      <c r="BW206" s="167"/>
      <c r="BX206" s="167"/>
      <c r="BY206" s="167"/>
      <c r="BZ206" s="167"/>
    </row>
    <row r="207" ht="15.75" customHeight="1" spans="1:100" x14ac:dyDescent="0.25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46"/>
      <c r="BJ207" s="46"/>
      <c r="BK207" s="176"/>
      <c r="BL207" s="167"/>
      <c r="BM207" s="167"/>
      <c r="BN207" s="167"/>
      <c r="BO207" s="167"/>
      <c r="BP207" s="167"/>
      <c r="BQ207" s="167"/>
      <c r="BR207" s="167"/>
      <c r="BS207" s="167"/>
      <c r="BT207" s="167"/>
      <c r="BU207" s="167"/>
      <c r="BV207" s="167"/>
      <c r="BW207" s="167"/>
      <c r="BX207" s="167"/>
      <c r="BY207" s="167"/>
      <c r="BZ207" s="167"/>
    </row>
    <row r="208" ht="15.75" customHeight="1" spans="1:100" x14ac:dyDescent="0.25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46"/>
      <c r="BJ208" s="46"/>
      <c r="BK208" s="176"/>
      <c r="BL208" s="167"/>
      <c r="BM208" s="167"/>
      <c r="BN208" s="167"/>
      <c r="BO208" s="167"/>
      <c r="BP208" s="167"/>
      <c r="BQ208" s="167"/>
      <c r="BR208" s="167"/>
      <c r="BS208" s="167"/>
      <c r="BT208" s="167"/>
      <c r="BU208" s="167"/>
      <c r="BV208" s="167"/>
      <c r="BW208" s="167"/>
      <c r="BX208" s="167"/>
      <c r="BY208" s="167"/>
      <c r="BZ208" s="167"/>
    </row>
    <row r="209" ht="15.75" customHeight="1" spans="1:100" x14ac:dyDescent="0.25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46"/>
      <c r="BJ209" s="46"/>
      <c r="BK209" s="176"/>
      <c r="BL209" s="167"/>
      <c r="BM209" s="167"/>
      <c r="BN209" s="167"/>
      <c r="BO209" s="167"/>
      <c r="BP209" s="167"/>
      <c r="BQ209" s="167"/>
      <c r="BR209" s="167"/>
      <c r="BS209" s="167"/>
      <c r="BT209" s="167"/>
      <c r="BU209" s="167"/>
      <c r="BV209" s="167"/>
      <c r="BW209" s="167"/>
      <c r="BX209" s="167"/>
      <c r="BY209" s="167"/>
      <c r="BZ209" s="167"/>
    </row>
    <row r="210" ht="15.75" customHeight="1" spans="1:100" x14ac:dyDescent="0.25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46"/>
      <c r="BJ210" s="46"/>
      <c r="BK210" s="176"/>
      <c r="BL210" s="167"/>
      <c r="BM210" s="167"/>
      <c r="BN210" s="167"/>
      <c r="BO210" s="167"/>
      <c r="BP210" s="167"/>
      <c r="BQ210" s="167"/>
      <c r="BR210" s="167"/>
      <c r="BS210" s="167"/>
      <c r="BT210" s="167"/>
      <c r="BU210" s="167"/>
      <c r="BV210" s="167"/>
      <c r="BW210" s="167"/>
      <c r="BX210" s="167"/>
      <c r="BY210" s="167"/>
      <c r="BZ210" s="167"/>
    </row>
    <row r="211" ht="15.75" customHeight="1" spans="1:100" x14ac:dyDescent="0.25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46"/>
      <c r="BJ211" s="46"/>
      <c r="BK211" s="176"/>
      <c r="BL211" s="167"/>
      <c r="BM211" s="167"/>
      <c r="BN211" s="167"/>
      <c r="BO211" s="167"/>
      <c r="BP211" s="167"/>
      <c r="BQ211" s="167"/>
      <c r="BR211" s="167"/>
      <c r="BS211" s="167"/>
      <c r="BT211" s="167"/>
      <c r="BU211" s="167"/>
      <c r="BV211" s="167"/>
      <c r="BW211" s="167"/>
      <c r="BX211" s="167"/>
      <c r="BY211" s="167"/>
      <c r="BZ211" s="167"/>
    </row>
    <row r="212" ht="15.75" customHeight="1" spans="1:100" x14ac:dyDescent="0.25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46"/>
      <c r="BJ212" s="46"/>
      <c r="BK212" s="176"/>
      <c r="BL212" s="167"/>
      <c r="BM212" s="167"/>
      <c r="BN212" s="167"/>
      <c r="BO212" s="167"/>
      <c r="BP212" s="167"/>
      <c r="BQ212" s="167"/>
      <c r="BR212" s="167"/>
      <c r="BS212" s="167"/>
      <c r="BT212" s="167"/>
      <c r="BU212" s="167"/>
      <c r="BV212" s="167"/>
      <c r="BW212" s="167"/>
      <c r="BX212" s="167"/>
      <c r="BY212" s="167"/>
      <c r="BZ212" s="167"/>
    </row>
    <row r="213" ht="15.75" customHeight="1" spans="1:100" x14ac:dyDescent="0.25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46"/>
      <c r="BJ213" s="46"/>
      <c r="BK213" s="176"/>
      <c r="BL213" s="167"/>
      <c r="BM213" s="167"/>
      <c r="BN213" s="167"/>
      <c r="BO213" s="167"/>
      <c r="BP213" s="167"/>
      <c r="BQ213" s="167"/>
      <c r="BR213" s="167"/>
      <c r="BS213" s="167"/>
      <c r="BT213" s="167"/>
      <c r="BU213" s="167"/>
      <c r="BV213" s="167"/>
      <c r="BW213" s="167"/>
      <c r="BX213" s="167"/>
      <c r="BY213" s="167"/>
      <c r="BZ213" s="167"/>
    </row>
    <row r="214" ht="15.75" customHeight="1" spans="1:100" x14ac:dyDescent="0.25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  <c r="BG214" s="167"/>
      <c r="BH214" s="167"/>
      <c r="BI214" s="46"/>
      <c r="BJ214" s="46"/>
      <c r="BK214" s="176"/>
      <c r="BL214" s="167"/>
      <c r="BM214" s="167"/>
      <c r="BN214" s="167"/>
      <c r="BO214" s="167"/>
      <c r="BP214" s="167"/>
      <c r="BQ214" s="167"/>
      <c r="BR214" s="167"/>
      <c r="BS214" s="167"/>
      <c r="BT214" s="167"/>
      <c r="BU214" s="167"/>
      <c r="BV214" s="167"/>
      <c r="BW214" s="167"/>
      <c r="BX214" s="167"/>
      <c r="BY214" s="167"/>
      <c r="BZ214" s="167"/>
    </row>
    <row r="215" ht="15.75" customHeight="1" spans="1:100" x14ac:dyDescent="0.2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  <c r="BG215" s="167"/>
      <c r="BH215" s="167"/>
      <c r="BI215" s="46"/>
      <c r="BJ215" s="46"/>
      <c r="BK215" s="176"/>
      <c r="BL215" s="167"/>
      <c r="BM215" s="167"/>
      <c r="BN215" s="167"/>
      <c r="BO215" s="167"/>
      <c r="BP215" s="167"/>
      <c r="BQ215" s="167"/>
      <c r="BR215" s="167"/>
      <c r="BS215" s="167"/>
      <c r="BT215" s="167"/>
      <c r="BU215" s="167"/>
      <c r="BV215" s="167"/>
      <c r="BW215" s="167"/>
      <c r="BX215" s="167"/>
      <c r="BY215" s="167"/>
      <c r="BZ215" s="167"/>
    </row>
    <row r="216" ht="15.75" customHeight="1" spans="1:100" x14ac:dyDescent="0.25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  <c r="BG216" s="167"/>
      <c r="BH216" s="167"/>
      <c r="BI216" s="46"/>
      <c r="BJ216" s="46"/>
      <c r="BK216" s="176"/>
      <c r="BL216" s="167"/>
      <c r="BM216" s="167"/>
      <c r="BN216" s="167"/>
      <c r="BO216" s="167"/>
      <c r="BP216" s="167"/>
      <c r="BQ216" s="167"/>
      <c r="BR216" s="167"/>
      <c r="BS216" s="167"/>
      <c r="BT216" s="167"/>
      <c r="BU216" s="167"/>
      <c r="BV216" s="167"/>
      <c r="BW216" s="167"/>
      <c r="BX216" s="167"/>
      <c r="BY216" s="167"/>
      <c r="BZ216" s="167"/>
    </row>
    <row r="217" ht="15.75" customHeight="1" spans="1:100" x14ac:dyDescent="0.25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  <c r="BG217" s="167"/>
      <c r="BH217" s="167"/>
      <c r="BI217" s="46"/>
      <c r="BJ217" s="46"/>
      <c r="BK217" s="176"/>
      <c r="BL217" s="167"/>
      <c r="BM217" s="167"/>
      <c r="BN217" s="167"/>
      <c r="BO217" s="167"/>
      <c r="BP217" s="167"/>
      <c r="BQ217" s="167"/>
      <c r="BR217" s="167"/>
      <c r="BS217" s="167"/>
      <c r="BT217" s="167"/>
      <c r="BU217" s="167"/>
      <c r="BV217" s="167"/>
      <c r="BW217" s="167"/>
      <c r="BX217" s="167"/>
      <c r="BY217" s="167"/>
      <c r="BZ217" s="167"/>
    </row>
    <row r="218" ht="15.75" customHeight="1" spans="1:100" x14ac:dyDescent="0.25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  <c r="BG218" s="167"/>
      <c r="BH218" s="167"/>
      <c r="BI218" s="46"/>
      <c r="BJ218" s="46"/>
      <c r="BK218" s="176"/>
      <c r="BL218" s="167"/>
      <c r="BM218" s="167"/>
      <c r="BN218" s="167"/>
      <c r="BO218" s="167"/>
      <c r="BP218" s="167"/>
      <c r="BQ218" s="167"/>
      <c r="BR218" s="167"/>
      <c r="BS218" s="167"/>
      <c r="BT218" s="167"/>
      <c r="BU218" s="167"/>
      <c r="BV218" s="167"/>
      <c r="BW218" s="167"/>
      <c r="BX218" s="167"/>
      <c r="BY218" s="167"/>
      <c r="BZ218" s="167"/>
    </row>
    <row r="219" ht="15.75" customHeight="1" spans="1:100" x14ac:dyDescent="0.25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  <c r="AP219" s="167"/>
      <c r="AQ219" s="167"/>
      <c r="AR219" s="167"/>
      <c r="AS219" s="167"/>
      <c r="AT219" s="167"/>
      <c r="AU219" s="167"/>
      <c r="AV219" s="167"/>
      <c r="AW219" s="167"/>
      <c r="AX219" s="167"/>
      <c r="AY219" s="167"/>
      <c r="AZ219" s="167"/>
      <c r="BA219" s="167"/>
      <c r="BB219" s="167"/>
      <c r="BC219" s="167"/>
      <c r="BD219" s="167"/>
      <c r="BE219" s="167"/>
      <c r="BF219" s="167"/>
      <c r="BG219" s="167"/>
      <c r="BH219" s="167"/>
      <c r="BI219" s="46"/>
      <c r="BJ219" s="46"/>
      <c r="BK219" s="176"/>
      <c r="BL219" s="167"/>
      <c r="BM219" s="167"/>
      <c r="BN219" s="167"/>
      <c r="BO219" s="167"/>
      <c r="BP219" s="167"/>
      <c r="BQ219" s="167"/>
      <c r="BR219" s="167"/>
      <c r="BS219" s="167"/>
      <c r="BT219" s="167"/>
      <c r="BU219" s="167"/>
      <c r="BV219" s="167"/>
      <c r="BW219" s="167"/>
      <c r="BX219" s="167"/>
      <c r="BY219" s="167"/>
      <c r="BZ219" s="167"/>
    </row>
    <row r="220" ht="15.75" customHeight="1" spans="1:100" x14ac:dyDescent="0.25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  <c r="AP220" s="167"/>
      <c r="AQ220" s="167"/>
      <c r="AR220" s="167"/>
      <c r="AS220" s="167"/>
      <c r="AT220" s="167"/>
      <c r="AU220" s="167"/>
      <c r="AV220" s="167"/>
      <c r="AW220" s="167"/>
      <c r="AX220" s="167"/>
      <c r="AY220" s="167"/>
      <c r="AZ220" s="167"/>
      <c r="BA220" s="167"/>
      <c r="BB220" s="167"/>
      <c r="BC220" s="167"/>
      <c r="BD220" s="167"/>
      <c r="BE220" s="167"/>
      <c r="BF220" s="167"/>
      <c r="BG220" s="167"/>
      <c r="BH220" s="167"/>
      <c r="BI220" s="46"/>
      <c r="BJ220" s="46"/>
      <c r="BK220" s="176"/>
      <c r="BL220" s="167"/>
      <c r="BM220" s="167"/>
      <c r="BN220" s="167"/>
      <c r="BO220" s="167"/>
      <c r="BP220" s="167"/>
      <c r="BQ220" s="167"/>
      <c r="BR220" s="167"/>
      <c r="BS220" s="167"/>
      <c r="BT220" s="167"/>
      <c r="BU220" s="167"/>
      <c r="BV220" s="167"/>
      <c r="BW220" s="167"/>
      <c r="BX220" s="167"/>
      <c r="BY220" s="167"/>
      <c r="BZ220" s="167"/>
    </row>
    <row r="221" ht="15.75" customHeight="1" spans="1:100" x14ac:dyDescent="0.25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167"/>
      <c r="BA221" s="167"/>
      <c r="BB221" s="167"/>
      <c r="BC221" s="167"/>
      <c r="BD221" s="167"/>
      <c r="BE221" s="167"/>
      <c r="BF221" s="167"/>
      <c r="BG221" s="167"/>
      <c r="BH221" s="167"/>
      <c r="BI221" s="46"/>
      <c r="BJ221" s="46"/>
      <c r="BK221" s="176"/>
      <c r="BL221" s="167"/>
      <c r="BM221" s="167"/>
      <c r="BN221" s="167"/>
      <c r="BO221" s="167"/>
      <c r="BP221" s="167"/>
      <c r="BQ221" s="167"/>
      <c r="BR221" s="167"/>
      <c r="BS221" s="167"/>
      <c r="BT221" s="167"/>
      <c r="BU221" s="167"/>
      <c r="BV221" s="167"/>
      <c r="BW221" s="167"/>
      <c r="BX221" s="167"/>
      <c r="BY221" s="167"/>
      <c r="BZ221" s="167"/>
    </row>
    <row r="222" ht="15.75" customHeight="1" spans="1:100" x14ac:dyDescent="0.25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  <c r="AP222" s="167"/>
      <c r="AQ222" s="167"/>
      <c r="AR222" s="167"/>
      <c r="AS222" s="167"/>
      <c r="AT222" s="167"/>
      <c r="AU222" s="167"/>
      <c r="AV222" s="167"/>
      <c r="AW222" s="167"/>
      <c r="AX222" s="167"/>
      <c r="AY222" s="167"/>
      <c r="AZ222" s="167"/>
      <c r="BA222" s="167"/>
      <c r="BB222" s="167"/>
      <c r="BC222" s="167"/>
      <c r="BD222" s="167"/>
      <c r="BE222" s="167"/>
      <c r="BF222" s="167"/>
      <c r="BG222" s="167"/>
      <c r="BH222" s="167"/>
      <c r="BI222" s="46"/>
      <c r="BJ222" s="46"/>
      <c r="BK222" s="176"/>
      <c r="BL222" s="167"/>
      <c r="BM222" s="167"/>
      <c r="BN222" s="167"/>
      <c r="BO222" s="167"/>
      <c r="BP222" s="167"/>
      <c r="BQ222" s="167"/>
      <c r="BR222" s="167"/>
      <c r="BS222" s="167"/>
      <c r="BT222" s="167"/>
      <c r="BU222" s="167"/>
      <c r="BV222" s="167"/>
      <c r="BW222" s="167"/>
      <c r="BX222" s="167"/>
      <c r="BY222" s="167"/>
      <c r="BZ222" s="167"/>
    </row>
    <row r="223" ht="15.75" customHeight="1" spans="1:100" x14ac:dyDescent="0.25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67"/>
      <c r="AT223" s="167"/>
      <c r="AU223" s="167"/>
      <c r="AV223" s="167"/>
      <c r="AW223" s="167"/>
      <c r="AX223" s="167"/>
      <c r="AY223" s="167"/>
      <c r="AZ223" s="167"/>
      <c r="BA223" s="167"/>
      <c r="BB223" s="167"/>
      <c r="BC223" s="167"/>
      <c r="BD223" s="167"/>
      <c r="BE223" s="167"/>
      <c r="BF223" s="167"/>
      <c r="BG223" s="167"/>
      <c r="BH223" s="167"/>
      <c r="BI223" s="46"/>
      <c r="BJ223" s="46"/>
      <c r="BK223" s="176"/>
      <c r="BL223" s="167"/>
      <c r="BM223" s="167"/>
      <c r="BN223" s="167"/>
      <c r="BO223" s="167"/>
      <c r="BP223" s="167"/>
      <c r="BQ223" s="167"/>
      <c r="BR223" s="167"/>
      <c r="BS223" s="167"/>
      <c r="BT223" s="167"/>
      <c r="BU223" s="167"/>
      <c r="BV223" s="167"/>
      <c r="BW223" s="167"/>
      <c r="BX223" s="167"/>
      <c r="BY223" s="167"/>
      <c r="BZ223" s="167"/>
    </row>
    <row r="224" ht="15.75" customHeight="1" spans="1:100" x14ac:dyDescent="0.25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67"/>
      <c r="AU224" s="167"/>
      <c r="AV224" s="167"/>
      <c r="AW224" s="167"/>
      <c r="AX224" s="167"/>
      <c r="AY224" s="167"/>
      <c r="AZ224" s="167"/>
      <c r="BA224" s="167"/>
      <c r="BB224" s="167"/>
      <c r="BC224" s="167"/>
      <c r="BD224" s="167"/>
      <c r="BE224" s="167"/>
      <c r="BF224" s="167"/>
      <c r="BG224" s="167"/>
      <c r="BH224" s="167"/>
      <c r="BI224" s="46"/>
      <c r="BJ224" s="46"/>
      <c r="BK224" s="176"/>
      <c r="BL224" s="167"/>
      <c r="BM224" s="167"/>
      <c r="BN224" s="167"/>
      <c r="BO224" s="167"/>
      <c r="BP224" s="167"/>
      <c r="BQ224" s="167"/>
      <c r="BR224" s="167"/>
      <c r="BS224" s="167"/>
      <c r="BT224" s="167"/>
      <c r="BU224" s="167"/>
      <c r="BV224" s="167"/>
      <c r="BW224" s="167"/>
      <c r="BX224" s="167"/>
      <c r="BY224" s="167"/>
      <c r="BZ224" s="167"/>
    </row>
    <row r="225" ht="15.75" customHeight="1" spans="1:100" x14ac:dyDescent="0.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  <c r="AP225" s="167"/>
      <c r="AQ225" s="167"/>
      <c r="AR225" s="167"/>
      <c r="AS225" s="167"/>
      <c r="AT225" s="167"/>
      <c r="AU225" s="167"/>
      <c r="AV225" s="167"/>
      <c r="AW225" s="167"/>
      <c r="AX225" s="167"/>
      <c r="AY225" s="167"/>
      <c r="AZ225" s="167"/>
      <c r="BA225" s="167"/>
      <c r="BB225" s="167"/>
      <c r="BC225" s="167"/>
      <c r="BD225" s="167"/>
      <c r="BE225" s="167"/>
      <c r="BF225" s="167"/>
      <c r="BG225" s="167"/>
      <c r="BH225" s="167"/>
      <c r="BI225" s="46"/>
      <c r="BJ225" s="46"/>
      <c r="BK225" s="176"/>
      <c r="BL225" s="167"/>
      <c r="BM225" s="167"/>
      <c r="BN225" s="167"/>
      <c r="BO225" s="167"/>
      <c r="BP225" s="167"/>
      <c r="BQ225" s="167"/>
      <c r="BR225" s="167"/>
      <c r="BS225" s="167"/>
      <c r="BT225" s="167"/>
      <c r="BU225" s="167"/>
      <c r="BV225" s="167"/>
      <c r="BW225" s="167"/>
      <c r="BX225" s="167"/>
      <c r="BY225" s="167"/>
      <c r="BZ225" s="167"/>
    </row>
    <row r="226" ht="15.75" customHeight="1" spans="1:100" x14ac:dyDescent="0.25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7"/>
      <c r="BH226" s="167"/>
      <c r="BI226" s="46"/>
      <c r="BJ226" s="46"/>
      <c r="BK226" s="176"/>
      <c r="BL226" s="167"/>
      <c r="BM226" s="167"/>
      <c r="BN226" s="167"/>
      <c r="BO226" s="167"/>
      <c r="BP226" s="167"/>
      <c r="BQ226" s="167"/>
      <c r="BR226" s="167"/>
      <c r="BS226" s="167"/>
      <c r="BT226" s="167"/>
      <c r="BU226" s="167"/>
      <c r="BV226" s="167"/>
      <c r="BW226" s="167"/>
      <c r="BX226" s="167"/>
      <c r="BY226" s="167"/>
      <c r="BZ226" s="167"/>
    </row>
    <row r="227" ht="15.75" customHeight="1" spans="1:100" x14ac:dyDescent="0.25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  <c r="AP227" s="167"/>
      <c r="AQ227" s="167"/>
      <c r="AR227" s="167"/>
      <c r="AS227" s="167"/>
      <c r="AT227" s="167"/>
      <c r="AU227" s="167"/>
      <c r="AV227" s="167"/>
      <c r="AW227" s="167"/>
      <c r="AX227" s="167"/>
      <c r="AY227" s="167"/>
      <c r="AZ227" s="167"/>
      <c r="BA227" s="167"/>
      <c r="BB227" s="167"/>
      <c r="BC227" s="167"/>
      <c r="BD227" s="167"/>
      <c r="BE227" s="167"/>
      <c r="BF227" s="167"/>
      <c r="BG227" s="167"/>
      <c r="BH227" s="167"/>
      <c r="BI227" s="46"/>
      <c r="BJ227" s="46"/>
      <c r="BK227" s="176"/>
      <c r="BL227" s="167"/>
      <c r="BM227" s="167"/>
      <c r="BN227" s="167"/>
      <c r="BO227" s="167"/>
      <c r="BP227" s="167"/>
      <c r="BQ227" s="167"/>
      <c r="BR227" s="167"/>
      <c r="BS227" s="167"/>
      <c r="BT227" s="167"/>
      <c r="BU227" s="167"/>
      <c r="BV227" s="167"/>
      <c r="BW227" s="167"/>
      <c r="BX227" s="167"/>
      <c r="BY227" s="167"/>
      <c r="BZ227" s="167"/>
    </row>
    <row r="228" ht="15.75" customHeight="1" spans="1:100" x14ac:dyDescent="0.25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  <c r="AP228" s="167"/>
      <c r="AQ228" s="167"/>
      <c r="AR228" s="167"/>
      <c r="AS228" s="167"/>
      <c r="AT228" s="167"/>
      <c r="AU228" s="167"/>
      <c r="AV228" s="167"/>
      <c r="AW228" s="167"/>
      <c r="AX228" s="167"/>
      <c r="AY228" s="167"/>
      <c r="AZ228" s="167"/>
      <c r="BA228" s="167"/>
      <c r="BB228" s="167"/>
      <c r="BC228" s="167"/>
      <c r="BD228" s="167"/>
      <c r="BE228" s="167"/>
      <c r="BF228" s="167"/>
      <c r="BG228" s="167"/>
      <c r="BH228" s="167"/>
      <c r="BI228" s="46"/>
      <c r="BJ228" s="46"/>
      <c r="BK228" s="176"/>
      <c r="BL228" s="167"/>
      <c r="BM228" s="167"/>
      <c r="BN228" s="167"/>
      <c r="BO228" s="167"/>
      <c r="BP228" s="167"/>
      <c r="BQ228" s="167"/>
      <c r="BR228" s="167"/>
      <c r="BS228" s="167"/>
      <c r="BT228" s="167"/>
      <c r="BU228" s="167"/>
      <c r="BV228" s="167"/>
      <c r="BW228" s="167"/>
      <c r="BX228" s="167"/>
      <c r="BY228" s="167"/>
      <c r="BZ228" s="167"/>
    </row>
    <row r="229" ht="15.75" customHeight="1" spans="1:100" x14ac:dyDescent="0.25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  <c r="AP229" s="167"/>
      <c r="AQ229" s="167"/>
      <c r="AR229" s="167"/>
      <c r="AS229" s="167"/>
      <c r="AT229" s="167"/>
      <c r="AU229" s="167"/>
      <c r="AV229" s="167"/>
      <c r="AW229" s="167"/>
      <c r="AX229" s="167"/>
      <c r="AY229" s="167"/>
      <c r="AZ229" s="167"/>
      <c r="BA229" s="167"/>
      <c r="BB229" s="167"/>
      <c r="BC229" s="167"/>
      <c r="BD229" s="167"/>
      <c r="BE229" s="167"/>
      <c r="BF229" s="167"/>
      <c r="BG229" s="167"/>
      <c r="BH229" s="167"/>
      <c r="BI229" s="46"/>
      <c r="BJ229" s="46"/>
      <c r="BK229" s="176"/>
      <c r="BL229" s="167"/>
      <c r="BM229" s="167"/>
      <c r="BN229" s="167"/>
      <c r="BO229" s="167"/>
      <c r="BP229" s="167"/>
      <c r="BQ229" s="167"/>
      <c r="BR229" s="167"/>
      <c r="BS229" s="167"/>
      <c r="BT229" s="167"/>
      <c r="BU229" s="167"/>
      <c r="BV229" s="167"/>
      <c r="BW229" s="167"/>
      <c r="BX229" s="167"/>
      <c r="BY229" s="167"/>
      <c r="BZ229" s="167"/>
    </row>
    <row r="230" ht="15.75" customHeight="1" spans="1:100" x14ac:dyDescent="0.25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  <c r="AP230" s="167"/>
      <c r="AQ230" s="167"/>
      <c r="AR230" s="167"/>
      <c r="AS230" s="167"/>
      <c r="AT230" s="167"/>
      <c r="AU230" s="167"/>
      <c r="AV230" s="167"/>
      <c r="AW230" s="167"/>
      <c r="AX230" s="167"/>
      <c r="AY230" s="167"/>
      <c r="AZ230" s="167"/>
      <c r="BA230" s="167"/>
      <c r="BB230" s="167"/>
      <c r="BC230" s="167"/>
      <c r="BD230" s="167"/>
      <c r="BE230" s="167"/>
      <c r="BF230" s="167"/>
      <c r="BG230" s="167"/>
      <c r="BH230" s="167"/>
      <c r="BI230" s="46"/>
      <c r="BJ230" s="46"/>
      <c r="BK230" s="176"/>
      <c r="BL230" s="167"/>
      <c r="BM230" s="167"/>
      <c r="BN230" s="167"/>
      <c r="BO230" s="167"/>
      <c r="BP230" s="167"/>
      <c r="BQ230" s="167"/>
      <c r="BR230" s="167"/>
      <c r="BS230" s="167"/>
      <c r="BT230" s="167"/>
      <c r="BU230" s="167"/>
      <c r="BV230" s="167"/>
      <c r="BW230" s="167"/>
      <c r="BX230" s="167"/>
      <c r="BY230" s="167"/>
      <c r="BZ230" s="167"/>
    </row>
    <row r="231" ht="15.75" customHeight="1" spans="1:100" x14ac:dyDescent="0.25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67"/>
      <c r="AU231" s="167"/>
      <c r="AV231" s="167"/>
      <c r="AW231" s="167"/>
      <c r="AX231" s="167"/>
      <c r="AY231" s="167"/>
      <c r="AZ231" s="167"/>
      <c r="BA231" s="167"/>
      <c r="BB231" s="167"/>
      <c r="BC231" s="167"/>
      <c r="BD231" s="167"/>
      <c r="BE231" s="167"/>
      <c r="BF231" s="167"/>
      <c r="BG231" s="167"/>
      <c r="BH231" s="167"/>
      <c r="BI231" s="46"/>
      <c r="BJ231" s="46"/>
      <c r="BK231" s="176"/>
      <c r="BL231" s="167"/>
      <c r="BM231" s="167"/>
      <c r="BN231" s="167"/>
      <c r="BO231" s="167"/>
      <c r="BP231" s="167"/>
      <c r="BQ231" s="167"/>
      <c r="BR231" s="167"/>
      <c r="BS231" s="167"/>
      <c r="BT231" s="167"/>
      <c r="BU231" s="167"/>
      <c r="BV231" s="167"/>
      <c r="BW231" s="167"/>
      <c r="BX231" s="167"/>
      <c r="BY231" s="167"/>
      <c r="BZ231" s="167"/>
    </row>
    <row r="232" ht="15.75" customHeight="1" spans="1:100" x14ac:dyDescent="0.25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7"/>
      <c r="AU232" s="167"/>
      <c r="AV232" s="167"/>
      <c r="AW232" s="167"/>
      <c r="AX232" s="167"/>
      <c r="AY232" s="167"/>
      <c r="AZ232" s="167"/>
      <c r="BA232" s="167"/>
      <c r="BB232" s="167"/>
      <c r="BC232" s="167"/>
      <c r="BD232" s="167"/>
      <c r="BE232" s="167"/>
      <c r="BF232" s="167"/>
      <c r="BG232" s="167"/>
      <c r="BH232" s="167"/>
      <c r="BI232" s="46"/>
      <c r="BJ232" s="46"/>
      <c r="BK232" s="176"/>
      <c r="BL232" s="167"/>
      <c r="BM232" s="167"/>
      <c r="BN232" s="167"/>
      <c r="BO232" s="167"/>
      <c r="BP232" s="167"/>
      <c r="BQ232" s="167"/>
      <c r="BR232" s="167"/>
      <c r="BS232" s="167"/>
      <c r="BT232" s="167"/>
      <c r="BU232" s="167"/>
      <c r="BV232" s="167"/>
      <c r="BW232" s="167"/>
      <c r="BX232" s="167"/>
      <c r="BY232" s="167"/>
      <c r="BZ232" s="167"/>
    </row>
    <row r="233" ht="15.75" customHeight="1" spans="1:100" x14ac:dyDescent="0.25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67"/>
      <c r="AU233" s="167"/>
      <c r="AV233" s="167"/>
      <c r="AW233" s="167"/>
      <c r="AX233" s="167"/>
      <c r="AY233" s="167"/>
      <c r="AZ233" s="167"/>
      <c r="BA233" s="167"/>
      <c r="BB233" s="167"/>
      <c r="BC233" s="167"/>
      <c r="BD233" s="167"/>
      <c r="BE233" s="167"/>
      <c r="BF233" s="167"/>
      <c r="BG233" s="167"/>
      <c r="BH233" s="167"/>
      <c r="BI233" s="46"/>
      <c r="BJ233" s="46"/>
      <c r="BK233" s="176"/>
      <c r="BL233" s="167"/>
      <c r="BM233" s="167"/>
      <c r="BN233" s="167"/>
      <c r="BO233" s="167"/>
      <c r="BP233" s="167"/>
      <c r="BQ233" s="167"/>
      <c r="BR233" s="167"/>
      <c r="BS233" s="167"/>
      <c r="BT233" s="167"/>
      <c r="BU233" s="167"/>
      <c r="BV233" s="167"/>
      <c r="BW233" s="167"/>
      <c r="BX233" s="167"/>
      <c r="BY233" s="167"/>
      <c r="BZ233" s="167"/>
    </row>
    <row r="234" ht="15.75" customHeight="1" spans="1:100" x14ac:dyDescent="0.25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  <c r="AP234" s="167"/>
      <c r="AQ234" s="167"/>
      <c r="AR234" s="167"/>
      <c r="AS234" s="167"/>
      <c r="AT234" s="167"/>
      <c r="AU234" s="167"/>
      <c r="AV234" s="167"/>
      <c r="AW234" s="167"/>
      <c r="AX234" s="167"/>
      <c r="AY234" s="167"/>
      <c r="AZ234" s="167"/>
      <c r="BA234" s="167"/>
      <c r="BB234" s="167"/>
      <c r="BC234" s="167"/>
      <c r="BD234" s="167"/>
      <c r="BE234" s="167"/>
      <c r="BF234" s="167"/>
      <c r="BG234" s="167"/>
      <c r="BH234" s="167"/>
      <c r="BI234" s="46"/>
      <c r="BJ234" s="46"/>
      <c r="BK234" s="176"/>
      <c r="BL234" s="167"/>
      <c r="BM234" s="167"/>
      <c r="BN234" s="167"/>
      <c r="BO234" s="167"/>
      <c r="BP234" s="167"/>
      <c r="BQ234" s="167"/>
      <c r="BR234" s="167"/>
      <c r="BS234" s="167"/>
      <c r="BT234" s="167"/>
      <c r="BU234" s="167"/>
      <c r="BV234" s="167"/>
      <c r="BW234" s="167"/>
      <c r="BX234" s="167"/>
      <c r="BY234" s="167"/>
      <c r="BZ234" s="167"/>
    </row>
    <row r="235" ht="15.75" customHeight="1" spans="1:100" x14ac:dyDescent="0.2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  <c r="AP235" s="167"/>
      <c r="AQ235" s="167"/>
      <c r="AR235" s="167"/>
      <c r="AS235" s="167"/>
      <c r="AT235" s="167"/>
      <c r="AU235" s="167"/>
      <c r="AV235" s="167"/>
      <c r="AW235" s="167"/>
      <c r="AX235" s="167"/>
      <c r="AY235" s="167"/>
      <c r="AZ235" s="167"/>
      <c r="BA235" s="167"/>
      <c r="BB235" s="167"/>
      <c r="BC235" s="167"/>
      <c r="BD235" s="167"/>
      <c r="BE235" s="167"/>
      <c r="BF235" s="167"/>
      <c r="BG235" s="167"/>
      <c r="BH235" s="167"/>
      <c r="BI235" s="46"/>
      <c r="BJ235" s="46"/>
      <c r="BK235" s="176"/>
      <c r="BL235" s="167"/>
      <c r="BM235" s="167"/>
      <c r="BN235" s="167"/>
      <c r="BO235" s="167"/>
      <c r="BP235" s="167"/>
      <c r="BQ235" s="167"/>
      <c r="BR235" s="167"/>
      <c r="BS235" s="167"/>
      <c r="BT235" s="167"/>
      <c r="BU235" s="167"/>
      <c r="BV235" s="167"/>
      <c r="BW235" s="167"/>
      <c r="BX235" s="167"/>
      <c r="BY235" s="167"/>
      <c r="BZ235" s="167"/>
    </row>
    <row r="236" ht="15.75" customHeight="1" spans="1:100" x14ac:dyDescent="0.25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  <c r="AP236" s="167"/>
      <c r="AQ236" s="167"/>
      <c r="AR236" s="167"/>
      <c r="AS236" s="167"/>
      <c r="AT236" s="167"/>
      <c r="AU236" s="167"/>
      <c r="AV236" s="167"/>
      <c r="AW236" s="167"/>
      <c r="AX236" s="167"/>
      <c r="AY236" s="167"/>
      <c r="AZ236" s="167"/>
      <c r="BA236" s="167"/>
      <c r="BB236" s="167"/>
      <c r="BC236" s="167"/>
      <c r="BD236" s="167"/>
      <c r="BE236" s="167"/>
      <c r="BF236" s="167"/>
      <c r="BG236" s="167"/>
      <c r="BH236" s="167"/>
      <c r="BI236" s="46"/>
      <c r="BJ236" s="46"/>
      <c r="BK236" s="176"/>
      <c r="BL236" s="167"/>
      <c r="BM236" s="167"/>
      <c r="BN236" s="167"/>
      <c r="BO236" s="167"/>
      <c r="BP236" s="167"/>
      <c r="BQ236" s="167"/>
      <c r="BR236" s="167"/>
      <c r="BS236" s="167"/>
      <c r="BT236" s="167"/>
      <c r="BU236" s="167"/>
      <c r="BV236" s="167"/>
      <c r="BW236" s="167"/>
      <c r="BX236" s="167"/>
      <c r="BY236" s="167"/>
      <c r="BZ236" s="167"/>
    </row>
    <row r="237" ht="15.75" customHeight="1" spans="1:100" x14ac:dyDescent="0.25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  <c r="AP237" s="167"/>
      <c r="AQ237" s="167"/>
      <c r="AR237" s="167"/>
      <c r="AS237" s="167"/>
      <c r="AT237" s="167"/>
      <c r="AU237" s="167"/>
      <c r="AV237" s="167"/>
      <c r="AW237" s="167"/>
      <c r="AX237" s="167"/>
      <c r="AY237" s="167"/>
      <c r="AZ237" s="167"/>
      <c r="BA237" s="167"/>
      <c r="BB237" s="167"/>
      <c r="BC237" s="167"/>
      <c r="BD237" s="167"/>
      <c r="BE237" s="167"/>
      <c r="BF237" s="167"/>
      <c r="BG237" s="167"/>
      <c r="BH237" s="167"/>
      <c r="BI237" s="46"/>
      <c r="BJ237" s="46"/>
      <c r="BK237" s="176"/>
      <c r="BL237" s="167"/>
      <c r="BM237" s="167"/>
      <c r="BN237" s="167"/>
      <c r="BO237" s="167"/>
      <c r="BP237" s="167"/>
      <c r="BQ237" s="167"/>
      <c r="BR237" s="167"/>
      <c r="BS237" s="167"/>
      <c r="BT237" s="167"/>
      <c r="BU237" s="167"/>
      <c r="BV237" s="167"/>
      <c r="BW237" s="167"/>
      <c r="BX237" s="167"/>
      <c r="BY237" s="167"/>
      <c r="BZ237" s="167"/>
    </row>
    <row r="238" ht="15.75" customHeight="1" spans="1:100" x14ac:dyDescent="0.25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  <c r="AP238" s="167"/>
      <c r="AQ238" s="167"/>
      <c r="AR238" s="167"/>
      <c r="AS238" s="167"/>
      <c r="AT238" s="167"/>
      <c r="AU238" s="167"/>
      <c r="AV238" s="167"/>
      <c r="AW238" s="167"/>
      <c r="AX238" s="167"/>
      <c r="AY238" s="167"/>
      <c r="AZ238" s="167"/>
      <c r="BA238" s="167"/>
      <c r="BB238" s="167"/>
      <c r="BC238" s="167"/>
      <c r="BD238" s="167"/>
      <c r="BE238" s="167"/>
      <c r="BF238" s="167"/>
      <c r="BG238" s="167"/>
      <c r="BH238" s="167"/>
      <c r="BI238" s="46"/>
      <c r="BJ238" s="46"/>
      <c r="BK238" s="176"/>
      <c r="BL238" s="167"/>
      <c r="BM238" s="167"/>
      <c r="BN238" s="167"/>
      <c r="BO238" s="167"/>
      <c r="BP238" s="167"/>
      <c r="BQ238" s="167"/>
      <c r="BR238" s="167"/>
      <c r="BS238" s="167"/>
      <c r="BT238" s="167"/>
      <c r="BU238" s="167"/>
      <c r="BV238" s="167"/>
      <c r="BW238" s="167"/>
      <c r="BX238" s="167"/>
      <c r="BY238" s="167"/>
      <c r="BZ238" s="167"/>
    </row>
    <row r="239" ht="15.75" customHeight="1" spans="1:100" x14ac:dyDescent="0.25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  <c r="AP239" s="167"/>
      <c r="AQ239" s="167"/>
      <c r="AR239" s="167"/>
      <c r="AS239" s="167"/>
      <c r="AT239" s="167"/>
      <c r="AU239" s="167"/>
      <c r="AV239" s="167"/>
      <c r="AW239" s="167"/>
      <c r="AX239" s="167"/>
      <c r="AY239" s="167"/>
      <c r="AZ239" s="167"/>
      <c r="BA239" s="167"/>
      <c r="BB239" s="167"/>
      <c r="BC239" s="167"/>
      <c r="BD239" s="167"/>
      <c r="BE239" s="167"/>
      <c r="BF239" s="167"/>
      <c r="BG239" s="167"/>
      <c r="BH239" s="167"/>
      <c r="BI239" s="46"/>
      <c r="BJ239" s="46"/>
      <c r="BK239" s="176"/>
      <c r="BL239" s="167"/>
      <c r="BM239" s="167"/>
      <c r="BN239" s="167"/>
      <c r="BO239" s="167"/>
      <c r="BP239" s="167"/>
      <c r="BQ239" s="167"/>
      <c r="BR239" s="167"/>
      <c r="BS239" s="167"/>
      <c r="BT239" s="167"/>
      <c r="BU239" s="167"/>
      <c r="BV239" s="167"/>
      <c r="BW239" s="167"/>
      <c r="BX239" s="167"/>
      <c r="BY239" s="167"/>
      <c r="BZ239" s="167"/>
    </row>
    <row r="240" ht="15.75" customHeight="1" spans="1:100" x14ac:dyDescent="0.25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  <c r="AP240" s="167"/>
      <c r="AQ240" s="167"/>
      <c r="AR240" s="167"/>
      <c r="AS240" s="167"/>
      <c r="AT240" s="167"/>
      <c r="AU240" s="167"/>
      <c r="AV240" s="167"/>
      <c r="AW240" s="167"/>
      <c r="AX240" s="167"/>
      <c r="AY240" s="167"/>
      <c r="AZ240" s="167"/>
      <c r="BA240" s="167"/>
      <c r="BB240" s="167"/>
      <c r="BC240" s="167"/>
      <c r="BD240" s="167"/>
      <c r="BE240" s="167"/>
      <c r="BF240" s="167"/>
      <c r="BG240" s="167"/>
      <c r="BH240" s="167"/>
      <c r="BI240" s="46"/>
      <c r="BJ240" s="46"/>
      <c r="BK240" s="176"/>
      <c r="BL240" s="167"/>
      <c r="BM240" s="167"/>
      <c r="BN240" s="167"/>
      <c r="BO240" s="167"/>
      <c r="BP240" s="167"/>
      <c r="BQ240" s="167"/>
      <c r="BR240" s="167"/>
      <c r="BS240" s="167"/>
      <c r="BT240" s="167"/>
      <c r="BU240" s="167"/>
      <c r="BV240" s="167"/>
      <c r="BW240" s="167"/>
      <c r="BX240" s="167"/>
      <c r="BY240" s="167"/>
      <c r="BZ240" s="167"/>
    </row>
    <row r="241" ht="15.75" customHeight="1" spans="1:100" x14ac:dyDescent="0.25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7"/>
      <c r="AU241" s="167"/>
      <c r="AV241" s="167"/>
      <c r="AW241" s="167"/>
      <c r="AX241" s="167"/>
      <c r="AY241" s="167"/>
      <c r="AZ241" s="167"/>
      <c r="BA241" s="167"/>
      <c r="BB241" s="167"/>
      <c r="BC241" s="167"/>
      <c r="BD241" s="167"/>
      <c r="BE241" s="167"/>
      <c r="BF241" s="167"/>
      <c r="BG241" s="167"/>
      <c r="BH241" s="167"/>
      <c r="BI241" s="46"/>
      <c r="BJ241" s="46"/>
      <c r="BK241" s="176"/>
      <c r="BL241" s="167"/>
      <c r="BM241" s="167"/>
      <c r="BN241" s="167"/>
      <c r="BO241" s="167"/>
      <c r="BP241" s="167"/>
      <c r="BQ241" s="167"/>
      <c r="BR241" s="167"/>
      <c r="BS241" s="167"/>
      <c r="BT241" s="167"/>
      <c r="BU241" s="167"/>
      <c r="BV241" s="167"/>
      <c r="BW241" s="167"/>
      <c r="BX241" s="167"/>
      <c r="BY241" s="167"/>
      <c r="BZ241" s="167"/>
    </row>
    <row r="242" ht="15.75" customHeight="1" spans="1:100" x14ac:dyDescent="0.25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67"/>
      <c r="AU242" s="167"/>
      <c r="AV242" s="167"/>
      <c r="AW242" s="167"/>
      <c r="AX242" s="167"/>
      <c r="AY242" s="167"/>
      <c r="AZ242" s="167"/>
      <c r="BA242" s="167"/>
      <c r="BB242" s="167"/>
      <c r="BC242" s="167"/>
      <c r="BD242" s="167"/>
      <c r="BE242" s="167"/>
      <c r="BF242" s="167"/>
      <c r="BG242" s="167"/>
      <c r="BH242" s="167"/>
      <c r="BI242" s="46"/>
      <c r="BJ242" s="46"/>
      <c r="BK242" s="176"/>
      <c r="BL242" s="167"/>
      <c r="BM242" s="167"/>
      <c r="BN242" s="167"/>
      <c r="BO242" s="167"/>
      <c r="BP242" s="167"/>
      <c r="BQ242" s="167"/>
      <c r="BR242" s="167"/>
      <c r="BS242" s="167"/>
      <c r="BT242" s="167"/>
      <c r="BU242" s="167"/>
      <c r="BV242" s="167"/>
      <c r="BW242" s="167"/>
      <c r="BX242" s="167"/>
      <c r="BY242" s="167"/>
      <c r="BZ242" s="167"/>
    </row>
    <row r="243" ht="15.75" customHeight="1" spans="1:100" x14ac:dyDescent="0.25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67"/>
      <c r="AU243" s="167"/>
      <c r="AV243" s="167"/>
      <c r="AW243" s="167"/>
      <c r="AX243" s="167"/>
      <c r="AY243" s="167"/>
      <c r="AZ243" s="167"/>
      <c r="BA243" s="167"/>
      <c r="BB243" s="167"/>
      <c r="BC243" s="167"/>
      <c r="BD243" s="167"/>
      <c r="BE243" s="167"/>
      <c r="BF243" s="167"/>
      <c r="BG243" s="167"/>
      <c r="BH243" s="167"/>
      <c r="BI243" s="46"/>
      <c r="BJ243" s="46"/>
      <c r="BK243" s="176"/>
      <c r="BL243" s="167"/>
      <c r="BM243" s="167"/>
      <c r="BN243" s="167"/>
      <c r="BO243" s="167"/>
      <c r="BP243" s="167"/>
      <c r="BQ243" s="167"/>
      <c r="BR243" s="167"/>
      <c r="BS243" s="167"/>
      <c r="BT243" s="167"/>
      <c r="BU243" s="167"/>
      <c r="BV243" s="167"/>
      <c r="BW243" s="167"/>
      <c r="BX243" s="167"/>
      <c r="BY243" s="167"/>
      <c r="BZ243" s="167"/>
    </row>
    <row r="244" ht="15.75" customHeight="1" spans="1:100" x14ac:dyDescent="0.25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  <c r="AP244" s="167"/>
      <c r="AQ244" s="167"/>
      <c r="AR244" s="167"/>
      <c r="AS244" s="167"/>
      <c r="AT244" s="167"/>
      <c r="AU244" s="167"/>
      <c r="AV244" s="167"/>
      <c r="AW244" s="167"/>
      <c r="AX244" s="167"/>
      <c r="AY244" s="167"/>
      <c r="AZ244" s="167"/>
      <c r="BA244" s="167"/>
      <c r="BB244" s="167"/>
      <c r="BC244" s="167"/>
      <c r="BD244" s="167"/>
      <c r="BE244" s="167"/>
      <c r="BF244" s="167"/>
      <c r="BG244" s="167"/>
      <c r="BH244" s="167"/>
      <c r="BI244" s="46"/>
      <c r="BJ244" s="46"/>
      <c r="BK244" s="176"/>
      <c r="BL244" s="167"/>
      <c r="BM244" s="167"/>
      <c r="BN244" s="167"/>
      <c r="BO244" s="167"/>
      <c r="BP244" s="167"/>
      <c r="BQ244" s="167"/>
      <c r="BR244" s="167"/>
      <c r="BS244" s="167"/>
      <c r="BT244" s="167"/>
      <c r="BU244" s="167"/>
      <c r="BV244" s="167"/>
      <c r="BW244" s="167"/>
      <c r="BX244" s="167"/>
      <c r="BY244" s="167"/>
      <c r="BZ244" s="167"/>
    </row>
    <row r="245" ht="15.75" customHeight="1" spans="1:100" x14ac:dyDescent="0.2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  <c r="AP245" s="167"/>
      <c r="AQ245" s="167"/>
      <c r="AR245" s="167"/>
      <c r="AS245" s="167"/>
      <c r="AT245" s="167"/>
      <c r="AU245" s="167"/>
      <c r="AV245" s="167"/>
      <c r="AW245" s="167"/>
      <c r="AX245" s="167"/>
      <c r="AY245" s="167"/>
      <c r="AZ245" s="167"/>
      <c r="BA245" s="167"/>
      <c r="BB245" s="167"/>
      <c r="BC245" s="167"/>
      <c r="BD245" s="167"/>
      <c r="BE245" s="167"/>
      <c r="BF245" s="167"/>
      <c r="BG245" s="167"/>
      <c r="BH245" s="167"/>
      <c r="BI245" s="46"/>
      <c r="BJ245" s="46"/>
      <c r="BK245" s="176"/>
      <c r="BL245" s="167"/>
      <c r="BM245" s="167"/>
      <c r="BN245" s="167"/>
      <c r="BO245" s="167"/>
      <c r="BP245" s="167"/>
      <c r="BQ245" s="167"/>
      <c r="BR245" s="167"/>
      <c r="BS245" s="167"/>
      <c r="BT245" s="167"/>
      <c r="BU245" s="167"/>
      <c r="BV245" s="167"/>
      <c r="BW245" s="167"/>
      <c r="BX245" s="167"/>
      <c r="BY245" s="167"/>
      <c r="BZ245" s="167"/>
    </row>
    <row r="246" ht="15.75" customHeight="1" spans="1:100" x14ac:dyDescent="0.25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  <c r="AP246" s="167"/>
      <c r="AQ246" s="167"/>
      <c r="AR246" s="167"/>
      <c r="AS246" s="167"/>
      <c r="AT246" s="167"/>
      <c r="AU246" s="167"/>
      <c r="AV246" s="167"/>
      <c r="AW246" s="167"/>
      <c r="AX246" s="167"/>
      <c r="AY246" s="167"/>
      <c r="AZ246" s="167"/>
      <c r="BA246" s="167"/>
      <c r="BB246" s="167"/>
      <c r="BC246" s="167"/>
      <c r="BD246" s="167"/>
      <c r="BE246" s="167"/>
      <c r="BF246" s="167"/>
      <c r="BG246" s="167"/>
      <c r="BH246" s="167"/>
      <c r="BI246" s="46"/>
      <c r="BJ246" s="46"/>
      <c r="BK246" s="176"/>
      <c r="BL246" s="167"/>
      <c r="BM246" s="167"/>
      <c r="BN246" s="167"/>
      <c r="BO246" s="167"/>
      <c r="BP246" s="167"/>
      <c r="BQ246" s="167"/>
      <c r="BR246" s="167"/>
      <c r="BS246" s="167"/>
      <c r="BT246" s="167"/>
      <c r="BU246" s="167"/>
      <c r="BV246" s="167"/>
      <c r="BW246" s="167"/>
      <c r="BX246" s="167"/>
      <c r="BY246" s="167"/>
      <c r="BZ246" s="167"/>
    </row>
    <row r="247" ht="15.75" customHeight="1" spans="1:100" x14ac:dyDescent="0.25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  <c r="AP247" s="167"/>
      <c r="AQ247" s="167"/>
      <c r="AR247" s="167"/>
      <c r="AS247" s="167"/>
      <c r="AT247" s="167"/>
      <c r="AU247" s="167"/>
      <c r="AV247" s="167"/>
      <c r="AW247" s="167"/>
      <c r="AX247" s="167"/>
      <c r="AY247" s="167"/>
      <c r="AZ247" s="167"/>
      <c r="BA247" s="167"/>
      <c r="BB247" s="167"/>
      <c r="BC247" s="167"/>
      <c r="BD247" s="167"/>
      <c r="BE247" s="167"/>
      <c r="BF247" s="167"/>
      <c r="BG247" s="167"/>
      <c r="BH247" s="167"/>
      <c r="BI247" s="46"/>
      <c r="BJ247" s="46"/>
      <c r="BK247" s="176"/>
      <c r="BL247" s="167"/>
      <c r="BM247" s="167"/>
      <c r="BN247" s="167"/>
      <c r="BO247" s="167"/>
      <c r="BP247" s="167"/>
      <c r="BQ247" s="167"/>
      <c r="BR247" s="167"/>
      <c r="BS247" s="167"/>
      <c r="BT247" s="167"/>
      <c r="BU247" s="167"/>
      <c r="BV247" s="167"/>
      <c r="BW247" s="167"/>
      <c r="BX247" s="167"/>
      <c r="BY247" s="167"/>
      <c r="BZ247" s="167"/>
    </row>
    <row r="248" ht="15.75" customHeight="1" spans="1:100" x14ac:dyDescent="0.25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  <c r="BC248" s="167"/>
      <c r="BD248" s="167"/>
      <c r="BE248" s="167"/>
      <c r="BF248" s="167"/>
      <c r="BG248" s="167"/>
      <c r="BH248" s="167"/>
      <c r="BI248" s="46"/>
      <c r="BJ248" s="46"/>
      <c r="BK248" s="176"/>
      <c r="BL248" s="167"/>
      <c r="BM248" s="167"/>
      <c r="BN248" s="167"/>
      <c r="BO248" s="167"/>
      <c r="BP248" s="167"/>
      <c r="BQ248" s="167"/>
      <c r="BR248" s="167"/>
      <c r="BS248" s="167"/>
      <c r="BT248" s="167"/>
      <c r="BU248" s="167"/>
      <c r="BV248" s="167"/>
      <c r="BW248" s="167"/>
      <c r="BX248" s="167"/>
      <c r="BY248" s="167"/>
      <c r="BZ248" s="167"/>
    </row>
    <row r="249" ht="15.75" customHeight="1" spans="1:100" x14ac:dyDescent="0.25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  <c r="AP249" s="167"/>
      <c r="AQ249" s="167"/>
      <c r="AR249" s="167"/>
      <c r="AS249" s="167"/>
      <c r="AT249" s="167"/>
      <c r="AU249" s="167"/>
      <c r="AV249" s="167"/>
      <c r="AW249" s="167"/>
      <c r="AX249" s="167"/>
      <c r="AY249" s="167"/>
      <c r="AZ249" s="167"/>
      <c r="BA249" s="167"/>
      <c r="BB249" s="167"/>
      <c r="BC249" s="167"/>
      <c r="BD249" s="167"/>
      <c r="BE249" s="167"/>
      <c r="BF249" s="167"/>
      <c r="BG249" s="167"/>
      <c r="BH249" s="167"/>
      <c r="BI249" s="46"/>
      <c r="BJ249" s="46"/>
      <c r="BK249" s="176"/>
      <c r="BL249" s="167"/>
      <c r="BM249" s="167"/>
      <c r="BN249" s="167"/>
      <c r="BO249" s="167"/>
      <c r="BP249" s="167"/>
      <c r="BQ249" s="167"/>
      <c r="BR249" s="167"/>
      <c r="BS249" s="167"/>
      <c r="BT249" s="167"/>
      <c r="BU249" s="167"/>
      <c r="BV249" s="167"/>
      <c r="BW249" s="167"/>
      <c r="BX249" s="167"/>
      <c r="BY249" s="167"/>
      <c r="BZ249" s="167"/>
    </row>
    <row r="250" ht="15.75" customHeight="1" spans="1:100" x14ac:dyDescent="0.25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167"/>
      <c r="BA250" s="167"/>
      <c r="BB250" s="167"/>
      <c r="BC250" s="167"/>
      <c r="BD250" s="167"/>
      <c r="BE250" s="167"/>
      <c r="BF250" s="167"/>
      <c r="BG250" s="167"/>
      <c r="BH250" s="167"/>
      <c r="BI250" s="46"/>
      <c r="BJ250" s="46"/>
      <c r="BK250" s="176"/>
      <c r="BL250" s="167"/>
      <c r="BM250" s="167"/>
      <c r="BN250" s="167"/>
      <c r="BO250" s="167"/>
      <c r="BP250" s="167"/>
      <c r="BQ250" s="167"/>
      <c r="BR250" s="167"/>
      <c r="BS250" s="167"/>
      <c r="BT250" s="167"/>
      <c r="BU250" s="167"/>
      <c r="BV250" s="167"/>
      <c r="BW250" s="167"/>
      <c r="BX250" s="167"/>
      <c r="BY250" s="167"/>
      <c r="BZ250" s="167"/>
    </row>
    <row r="251" ht="15.75" customHeight="1" spans="1:100" x14ac:dyDescent="0.25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  <c r="AP251" s="167"/>
      <c r="AQ251" s="167"/>
      <c r="AR251" s="167"/>
      <c r="AS251" s="167"/>
      <c r="AT251" s="167"/>
      <c r="AU251" s="167"/>
      <c r="AV251" s="167"/>
      <c r="AW251" s="167"/>
      <c r="AX251" s="167"/>
      <c r="AY251" s="167"/>
      <c r="AZ251" s="167"/>
      <c r="BA251" s="167"/>
      <c r="BB251" s="167"/>
      <c r="BC251" s="167"/>
      <c r="BD251" s="167"/>
      <c r="BE251" s="167"/>
      <c r="BF251" s="167"/>
      <c r="BG251" s="167"/>
      <c r="BH251" s="167"/>
      <c r="BI251" s="46"/>
      <c r="BJ251" s="46"/>
      <c r="BK251" s="176"/>
      <c r="BL251" s="167"/>
      <c r="BM251" s="167"/>
      <c r="BN251" s="167"/>
      <c r="BO251" s="167"/>
      <c r="BP251" s="167"/>
      <c r="BQ251" s="167"/>
      <c r="BR251" s="167"/>
      <c r="BS251" s="167"/>
      <c r="BT251" s="167"/>
      <c r="BU251" s="167"/>
      <c r="BV251" s="167"/>
      <c r="BW251" s="167"/>
      <c r="BX251" s="167"/>
      <c r="BY251" s="167"/>
      <c r="BZ251" s="167"/>
    </row>
    <row r="252" ht="15.75" customHeight="1" spans="1:100" x14ac:dyDescent="0.25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  <c r="AP252" s="167"/>
      <c r="AQ252" s="167"/>
      <c r="AR252" s="167"/>
      <c r="AS252" s="167"/>
      <c r="AT252" s="167"/>
      <c r="AU252" s="167"/>
      <c r="AV252" s="167"/>
      <c r="AW252" s="167"/>
      <c r="AX252" s="167"/>
      <c r="AY252" s="167"/>
      <c r="AZ252" s="167"/>
      <c r="BA252" s="167"/>
      <c r="BB252" s="167"/>
      <c r="BC252" s="167"/>
      <c r="BD252" s="167"/>
      <c r="BE252" s="167"/>
      <c r="BF252" s="167"/>
      <c r="BG252" s="167"/>
      <c r="BH252" s="167"/>
      <c r="BI252" s="46"/>
      <c r="BJ252" s="46"/>
      <c r="BK252" s="176"/>
      <c r="BL252" s="167"/>
      <c r="BM252" s="167"/>
      <c r="BN252" s="167"/>
      <c r="BO252" s="167"/>
      <c r="BP252" s="167"/>
      <c r="BQ252" s="167"/>
      <c r="BR252" s="167"/>
      <c r="BS252" s="167"/>
      <c r="BT252" s="167"/>
      <c r="BU252" s="167"/>
      <c r="BV252" s="167"/>
      <c r="BW252" s="167"/>
      <c r="BX252" s="167"/>
      <c r="BY252" s="167"/>
      <c r="BZ252" s="167"/>
    </row>
    <row r="253" ht="15.75" customHeight="1" spans="1:100" x14ac:dyDescent="0.25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  <c r="AP253" s="167"/>
      <c r="AQ253" s="167"/>
      <c r="AR253" s="167"/>
      <c r="AS253" s="167"/>
      <c r="AT253" s="167"/>
      <c r="AU253" s="167"/>
      <c r="AV253" s="167"/>
      <c r="AW253" s="167"/>
      <c r="AX253" s="167"/>
      <c r="AY253" s="167"/>
      <c r="AZ253" s="167"/>
      <c r="BA253" s="167"/>
      <c r="BB253" s="167"/>
      <c r="BC253" s="167"/>
      <c r="BD253" s="167"/>
      <c r="BE253" s="167"/>
      <c r="BF253" s="167"/>
      <c r="BG253" s="167"/>
      <c r="BH253" s="167"/>
      <c r="BI253" s="46"/>
      <c r="BJ253" s="46"/>
      <c r="BK253" s="176"/>
      <c r="BL253" s="167"/>
      <c r="BM253" s="167"/>
      <c r="BN253" s="167"/>
      <c r="BO253" s="167"/>
      <c r="BP253" s="167"/>
      <c r="BQ253" s="167"/>
      <c r="BR253" s="167"/>
      <c r="BS253" s="167"/>
      <c r="BT253" s="167"/>
      <c r="BU253" s="167"/>
      <c r="BV253" s="167"/>
      <c r="BW253" s="167"/>
      <c r="BX253" s="167"/>
      <c r="BY253" s="167"/>
      <c r="BZ253" s="167"/>
    </row>
    <row r="254" ht="15.75" customHeight="1" spans="1:100" x14ac:dyDescent="0.25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167"/>
      <c r="AU254" s="167"/>
      <c r="AV254" s="167"/>
      <c r="AW254" s="167"/>
      <c r="AX254" s="167"/>
      <c r="AY254" s="167"/>
      <c r="AZ254" s="167"/>
      <c r="BA254" s="167"/>
      <c r="BB254" s="167"/>
      <c r="BC254" s="167"/>
      <c r="BD254" s="167"/>
      <c r="BE254" s="167"/>
      <c r="BF254" s="167"/>
      <c r="BG254" s="167"/>
      <c r="BH254" s="167"/>
      <c r="BI254" s="46"/>
      <c r="BJ254" s="46"/>
      <c r="BK254" s="176"/>
      <c r="BL254" s="167"/>
      <c r="BM254" s="167"/>
      <c r="BN254" s="167"/>
      <c r="BO254" s="167"/>
      <c r="BP254" s="167"/>
      <c r="BQ254" s="167"/>
      <c r="BR254" s="167"/>
      <c r="BS254" s="167"/>
      <c r="BT254" s="167"/>
      <c r="BU254" s="167"/>
      <c r="BV254" s="167"/>
      <c r="BW254" s="167"/>
      <c r="BX254" s="167"/>
      <c r="BY254" s="167"/>
      <c r="BZ254" s="167"/>
    </row>
    <row r="255" ht="15.75" customHeight="1" spans="1:100" x14ac:dyDescent="0.2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46"/>
      <c r="BJ255" s="46"/>
      <c r="BK255" s="176"/>
      <c r="BL255" s="167"/>
      <c r="BM255" s="167"/>
      <c r="BN255" s="167"/>
      <c r="BO255" s="167"/>
      <c r="BP255" s="167"/>
      <c r="BQ255" s="167"/>
      <c r="BR255" s="167"/>
      <c r="BS255" s="167"/>
      <c r="BT255" s="167"/>
      <c r="BU255" s="167"/>
      <c r="BV255" s="167"/>
      <c r="BW255" s="167"/>
      <c r="BX255" s="167"/>
      <c r="BY255" s="167"/>
      <c r="BZ255" s="167"/>
    </row>
    <row r="256" ht="15.75" customHeight="1" spans="1:100" x14ac:dyDescent="0.25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46"/>
      <c r="BJ256" s="46"/>
      <c r="BK256" s="176"/>
      <c r="BL256" s="167"/>
      <c r="BM256" s="167"/>
      <c r="BN256" s="167"/>
      <c r="BO256" s="167"/>
      <c r="BP256" s="167"/>
      <c r="BQ256" s="167"/>
      <c r="BR256" s="167"/>
      <c r="BS256" s="167"/>
      <c r="BT256" s="167"/>
      <c r="BU256" s="167"/>
      <c r="BV256" s="167"/>
      <c r="BW256" s="167"/>
      <c r="BX256" s="167"/>
      <c r="BY256" s="167"/>
      <c r="BZ256" s="167"/>
    </row>
    <row r="257" ht="15.75" customHeight="1" spans="1:100" x14ac:dyDescent="0.25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46"/>
      <c r="BJ257" s="46"/>
      <c r="BK257" s="176"/>
      <c r="BL257" s="167"/>
      <c r="BM257" s="167"/>
      <c r="BN257" s="167"/>
      <c r="BO257" s="167"/>
      <c r="BP257" s="167"/>
      <c r="BQ257" s="167"/>
      <c r="BR257" s="167"/>
      <c r="BS257" s="167"/>
      <c r="BT257" s="167"/>
      <c r="BU257" s="167"/>
      <c r="BV257" s="167"/>
      <c r="BW257" s="167"/>
      <c r="BX257" s="167"/>
      <c r="BY257" s="167"/>
      <c r="BZ257" s="167"/>
    </row>
    <row r="258" ht="15.75" customHeight="1" spans="1:100" x14ac:dyDescent="0.25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46"/>
      <c r="BJ258" s="46"/>
      <c r="BK258" s="176"/>
      <c r="BL258" s="167"/>
      <c r="BM258" s="167"/>
      <c r="BN258" s="167"/>
      <c r="BO258" s="167"/>
      <c r="BP258" s="167"/>
      <c r="BQ258" s="167"/>
      <c r="BR258" s="167"/>
      <c r="BS258" s="167"/>
      <c r="BT258" s="167"/>
      <c r="BU258" s="167"/>
      <c r="BV258" s="167"/>
      <c r="BW258" s="167"/>
      <c r="BX258" s="167"/>
      <c r="BY258" s="167"/>
      <c r="BZ258" s="167"/>
    </row>
    <row r="259" ht="15.75" customHeight="1" spans="1:100" x14ac:dyDescent="0.25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46"/>
      <c r="BJ259" s="46"/>
      <c r="BK259" s="176"/>
      <c r="BL259" s="167"/>
      <c r="BM259" s="167"/>
      <c r="BN259" s="167"/>
      <c r="BO259" s="167"/>
      <c r="BP259" s="167"/>
      <c r="BQ259" s="167"/>
      <c r="BR259" s="167"/>
      <c r="BS259" s="167"/>
      <c r="BT259" s="167"/>
      <c r="BU259" s="167"/>
      <c r="BV259" s="167"/>
      <c r="BW259" s="167"/>
      <c r="BX259" s="167"/>
      <c r="BY259" s="167"/>
      <c r="BZ259" s="167"/>
    </row>
    <row r="260" ht="15.75" customHeight="1" spans="1:100" x14ac:dyDescent="0.25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46"/>
      <c r="BJ260" s="46"/>
      <c r="BK260" s="176"/>
      <c r="BL260" s="167"/>
      <c r="BM260" s="167"/>
      <c r="BN260" s="167"/>
      <c r="BO260" s="167"/>
      <c r="BP260" s="167"/>
      <c r="BQ260" s="167"/>
      <c r="BR260" s="167"/>
      <c r="BS260" s="167"/>
      <c r="BT260" s="167"/>
      <c r="BU260" s="167"/>
      <c r="BV260" s="167"/>
      <c r="BW260" s="167"/>
      <c r="BX260" s="167"/>
      <c r="BY260" s="167"/>
      <c r="BZ260" s="167"/>
    </row>
    <row r="261" ht="15.75" customHeight="1" spans="1:100" x14ac:dyDescent="0.25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46"/>
      <c r="BJ261" s="46"/>
      <c r="BK261" s="176"/>
      <c r="BL261" s="167"/>
      <c r="BM261" s="167"/>
      <c r="BN261" s="167"/>
      <c r="BO261" s="167"/>
      <c r="BP261" s="167"/>
      <c r="BQ261" s="167"/>
      <c r="BR261" s="167"/>
      <c r="BS261" s="167"/>
      <c r="BT261" s="167"/>
      <c r="BU261" s="167"/>
      <c r="BV261" s="167"/>
      <c r="BW261" s="167"/>
      <c r="BX261" s="167"/>
      <c r="BY261" s="167"/>
      <c r="BZ261" s="167"/>
    </row>
    <row r="262" ht="15.75" customHeight="1" spans="1:100" x14ac:dyDescent="0.25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46"/>
      <c r="BJ262" s="46"/>
      <c r="BK262" s="176"/>
      <c r="BL262" s="167"/>
      <c r="BM262" s="167"/>
      <c r="BN262" s="167"/>
      <c r="BO262" s="167"/>
      <c r="BP262" s="167"/>
      <c r="BQ262" s="167"/>
      <c r="BR262" s="167"/>
      <c r="BS262" s="167"/>
      <c r="BT262" s="167"/>
      <c r="BU262" s="167"/>
      <c r="BV262" s="167"/>
      <c r="BW262" s="167"/>
      <c r="BX262" s="167"/>
      <c r="BY262" s="167"/>
      <c r="BZ262" s="167"/>
    </row>
    <row r="263" ht="15.75" customHeight="1" spans="1:100" x14ac:dyDescent="0.25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46"/>
      <c r="BJ263" s="46"/>
      <c r="BK263" s="176"/>
      <c r="BL263" s="167"/>
      <c r="BM263" s="167"/>
      <c r="BN263" s="167"/>
      <c r="BO263" s="167"/>
      <c r="BP263" s="167"/>
      <c r="BQ263" s="167"/>
      <c r="BR263" s="167"/>
      <c r="BS263" s="167"/>
      <c r="BT263" s="167"/>
      <c r="BU263" s="167"/>
      <c r="BV263" s="167"/>
      <c r="BW263" s="167"/>
      <c r="BX263" s="167"/>
      <c r="BY263" s="167"/>
      <c r="BZ263" s="167"/>
    </row>
    <row r="264" ht="15.75" customHeight="1" spans="1:100" x14ac:dyDescent="0.25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46"/>
      <c r="BJ264" s="46"/>
      <c r="BK264" s="176"/>
      <c r="BL264" s="167"/>
      <c r="BM264" s="167"/>
      <c r="BN264" s="167"/>
      <c r="BO264" s="167"/>
      <c r="BP264" s="167"/>
      <c r="BQ264" s="167"/>
      <c r="BR264" s="167"/>
      <c r="BS264" s="167"/>
      <c r="BT264" s="167"/>
      <c r="BU264" s="167"/>
      <c r="BV264" s="167"/>
      <c r="BW264" s="167"/>
      <c r="BX264" s="167"/>
      <c r="BY264" s="167"/>
      <c r="BZ264" s="167"/>
    </row>
    <row r="265" ht="15.75" customHeight="1" spans="1:100" x14ac:dyDescent="0.2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46"/>
      <c r="BJ265" s="46"/>
      <c r="BK265" s="176"/>
      <c r="BL265" s="167"/>
      <c r="BM265" s="167"/>
      <c r="BN265" s="167"/>
      <c r="BO265" s="167"/>
      <c r="BP265" s="167"/>
      <c r="BQ265" s="167"/>
      <c r="BR265" s="167"/>
      <c r="BS265" s="167"/>
      <c r="BT265" s="167"/>
      <c r="BU265" s="167"/>
      <c r="BV265" s="167"/>
      <c r="BW265" s="167"/>
      <c r="BX265" s="167"/>
      <c r="BY265" s="167"/>
      <c r="BZ265" s="167"/>
    </row>
    <row r="266" ht="15.75" customHeight="1" spans="1:100" x14ac:dyDescent="0.25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46"/>
      <c r="BJ266" s="46"/>
      <c r="BK266" s="176"/>
      <c r="BL266" s="167"/>
      <c r="BM266" s="167"/>
      <c r="BN266" s="167"/>
      <c r="BO266" s="167"/>
      <c r="BP266" s="167"/>
      <c r="BQ266" s="167"/>
      <c r="BR266" s="167"/>
      <c r="BS266" s="167"/>
      <c r="BT266" s="167"/>
      <c r="BU266" s="167"/>
      <c r="BV266" s="167"/>
      <c r="BW266" s="167"/>
      <c r="BX266" s="167"/>
      <c r="BY266" s="167"/>
      <c r="BZ266" s="167"/>
    </row>
    <row r="267" ht="15.75" customHeight="1" spans="1:100" x14ac:dyDescent="0.25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46"/>
      <c r="BJ267" s="46"/>
      <c r="BK267" s="176"/>
      <c r="BL267" s="167"/>
      <c r="BM267" s="167"/>
      <c r="BN267" s="167"/>
      <c r="BO267" s="167"/>
      <c r="BP267" s="167"/>
      <c r="BQ267" s="167"/>
      <c r="BR267" s="167"/>
      <c r="BS267" s="167"/>
      <c r="BT267" s="167"/>
      <c r="BU267" s="167"/>
      <c r="BV267" s="167"/>
      <c r="BW267" s="167"/>
      <c r="BX267" s="167"/>
      <c r="BY267" s="167"/>
      <c r="BZ267" s="167"/>
    </row>
    <row r="268" ht="15.75" customHeight="1" spans="1:100" x14ac:dyDescent="0.25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46"/>
      <c r="BJ268" s="46"/>
      <c r="BK268" s="176"/>
      <c r="BL268" s="167"/>
      <c r="BM268" s="167"/>
      <c r="BN268" s="167"/>
      <c r="BO268" s="167"/>
      <c r="BP268" s="167"/>
      <c r="BQ268" s="167"/>
      <c r="BR268" s="167"/>
      <c r="BS268" s="167"/>
      <c r="BT268" s="167"/>
      <c r="BU268" s="167"/>
      <c r="BV268" s="167"/>
      <c r="BW268" s="167"/>
      <c r="BX268" s="167"/>
      <c r="BY268" s="167"/>
      <c r="BZ268" s="167"/>
    </row>
    <row r="269" ht="15.75" customHeight="1" spans="1:100" x14ac:dyDescent="0.25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46"/>
      <c r="BJ269" s="46"/>
      <c r="BK269" s="176"/>
      <c r="BL269" s="167"/>
      <c r="BM269" s="167"/>
      <c r="BN269" s="167"/>
      <c r="BO269" s="167"/>
      <c r="BP269" s="167"/>
      <c r="BQ269" s="167"/>
      <c r="BR269" s="167"/>
      <c r="BS269" s="167"/>
      <c r="BT269" s="167"/>
      <c r="BU269" s="167"/>
      <c r="BV269" s="167"/>
      <c r="BW269" s="167"/>
      <c r="BX269" s="167"/>
      <c r="BY269" s="167"/>
      <c r="BZ269" s="167"/>
    </row>
    <row r="270" ht="15.75" customHeight="1" spans="1:100" x14ac:dyDescent="0.25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46"/>
      <c r="BJ270" s="46"/>
      <c r="BK270" s="176"/>
      <c r="BL270" s="167"/>
      <c r="BM270" s="167"/>
      <c r="BN270" s="167"/>
      <c r="BO270" s="167"/>
      <c r="BP270" s="167"/>
      <c r="BQ270" s="167"/>
      <c r="BR270" s="167"/>
      <c r="BS270" s="167"/>
      <c r="BT270" s="167"/>
      <c r="BU270" s="167"/>
      <c r="BV270" s="167"/>
      <c r="BW270" s="167"/>
      <c r="BX270" s="167"/>
      <c r="BY270" s="167"/>
      <c r="BZ270" s="167"/>
    </row>
    <row r="271" ht="15.75" customHeight="1" spans="1:100" x14ac:dyDescent="0.25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46"/>
      <c r="BJ271" s="46"/>
      <c r="BK271" s="176"/>
      <c r="BL271" s="167"/>
      <c r="BM271" s="167"/>
      <c r="BN271" s="167"/>
      <c r="BO271" s="167"/>
      <c r="BP271" s="167"/>
      <c r="BQ271" s="167"/>
      <c r="BR271" s="167"/>
      <c r="BS271" s="167"/>
      <c r="BT271" s="167"/>
      <c r="BU271" s="167"/>
      <c r="BV271" s="167"/>
      <c r="BW271" s="167"/>
      <c r="BX271" s="167"/>
      <c r="BY271" s="167"/>
      <c r="BZ271" s="167"/>
    </row>
    <row r="272" ht="15.75" customHeight="1" spans="1:100" x14ac:dyDescent="0.25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46"/>
      <c r="BJ272" s="46"/>
      <c r="BK272" s="176"/>
      <c r="BL272" s="167"/>
      <c r="BM272" s="167"/>
      <c r="BN272" s="167"/>
      <c r="BO272" s="167"/>
      <c r="BP272" s="167"/>
      <c r="BQ272" s="167"/>
      <c r="BR272" s="167"/>
      <c r="BS272" s="167"/>
      <c r="BT272" s="167"/>
      <c r="BU272" s="167"/>
      <c r="BV272" s="167"/>
      <c r="BW272" s="167"/>
      <c r="BX272" s="167"/>
      <c r="BY272" s="167"/>
      <c r="BZ272" s="167"/>
    </row>
    <row r="273" ht="15.75" customHeight="1" spans="1:100" x14ac:dyDescent="0.25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46"/>
      <c r="BJ273" s="46"/>
      <c r="BK273" s="176"/>
      <c r="BL273" s="167"/>
      <c r="BM273" s="167"/>
      <c r="BN273" s="167"/>
      <c r="BO273" s="167"/>
      <c r="BP273" s="167"/>
      <c r="BQ273" s="167"/>
      <c r="BR273" s="167"/>
      <c r="BS273" s="167"/>
      <c r="BT273" s="167"/>
      <c r="BU273" s="167"/>
      <c r="BV273" s="167"/>
      <c r="BW273" s="167"/>
      <c r="BX273" s="167"/>
      <c r="BY273" s="167"/>
      <c r="BZ273" s="167"/>
    </row>
    <row r="274" ht="15.75" customHeight="1" spans="1:100" x14ac:dyDescent="0.25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46"/>
      <c r="BJ274" s="46"/>
      <c r="BK274" s="176"/>
      <c r="BL274" s="167"/>
      <c r="BM274" s="167"/>
      <c r="BN274" s="167"/>
      <c r="BO274" s="167"/>
      <c r="BP274" s="167"/>
      <c r="BQ274" s="167"/>
      <c r="BR274" s="167"/>
      <c r="BS274" s="167"/>
      <c r="BT274" s="167"/>
      <c r="BU274" s="167"/>
      <c r="BV274" s="167"/>
      <c r="BW274" s="167"/>
      <c r="BX274" s="167"/>
      <c r="BY274" s="167"/>
      <c r="BZ274" s="167"/>
    </row>
    <row r="275" ht="15.75" customHeight="1" spans="1:100" x14ac:dyDescent="0.2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46"/>
      <c r="BJ275" s="46"/>
      <c r="BK275" s="176"/>
      <c r="BL275" s="167"/>
      <c r="BM275" s="167"/>
      <c r="BN275" s="167"/>
      <c r="BO275" s="167"/>
      <c r="BP275" s="167"/>
      <c r="BQ275" s="167"/>
      <c r="BR275" s="167"/>
      <c r="BS275" s="167"/>
      <c r="BT275" s="167"/>
      <c r="BU275" s="167"/>
      <c r="BV275" s="167"/>
      <c r="BW275" s="167"/>
      <c r="BX275" s="167"/>
      <c r="BY275" s="167"/>
      <c r="BZ275" s="167"/>
    </row>
    <row r="276" ht="15.75" customHeight="1" spans="1:100" x14ac:dyDescent="0.25">
      <c r="C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W276" s="167"/>
      <c r="X276" s="167"/>
      <c r="Y276" s="167"/>
      <c r="AD276" s="167"/>
      <c r="AE276" s="167"/>
      <c r="AF276" s="167"/>
      <c r="AL276" s="167"/>
      <c r="AM276" s="167"/>
      <c r="AN276" s="167"/>
      <c r="AT276" s="167"/>
      <c r="AU276" s="167"/>
      <c r="AV276" s="167"/>
      <c r="BD276" s="167"/>
      <c r="BE276" s="167"/>
      <c r="BI276" s="46"/>
      <c r="BJ276" s="46"/>
      <c r="BK276" s="176"/>
    </row>
    <row r="277" ht="15.75" customHeight="1" spans="1:100" x14ac:dyDescent="0.25">
      <c r="C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W277" s="167"/>
      <c r="X277" s="167"/>
      <c r="Y277" s="167"/>
      <c r="AD277" s="167"/>
      <c r="AE277" s="167"/>
      <c r="AF277" s="167"/>
      <c r="AL277" s="167"/>
      <c r="AM277" s="167"/>
      <c r="AN277" s="167"/>
      <c r="AT277" s="167"/>
      <c r="AU277" s="167"/>
      <c r="AV277" s="167"/>
      <c r="BD277" s="167"/>
      <c r="BE277" s="167"/>
      <c r="BI277" s="46"/>
      <c r="BJ277" s="46"/>
      <c r="BK277" s="176"/>
    </row>
    <row r="278" ht="15.75" customHeight="1" spans="1:100" x14ac:dyDescent="0.25">
      <c r="C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W278" s="167"/>
      <c r="X278" s="167"/>
      <c r="Y278" s="167"/>
      <c r="AD278" s="167"/>
      <c r="AE278" s="167"/>
      <c r="AF278" s="167"/>
      <c r="AL278" s="167"/>
      <c r="AM278" s="167"/>
      <c r="AN278" s="167"/>
      <c r="AT278" s="167"/>
      <c r="AU278" s="167"/>
      <c r="AV278" s="167"/>
      <c r="BD278" s="167"/>
      <c r="BE278" s="167"/>
      <c r="BI278" s="46"/>
      <c r="BJ278" s="46"/>
      <c r="BK278" s="176"/>
    </row>
    <row r="279" ht="15.75" customHeight="1" spans="1:100" x14ac:dyDescent="0.25">
      <c r="C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W279" s="167"/>
      <c r="X279" s="167"/>
      <c r="Y279" s="167"/>
      <c r="AD279" s="167"/>
      <c r="AE279" s="167"/>
      <c r="AF279" s="167"/>
      <c r="AL279" s="167"/>
      <c r="AM279" s="167"/>
      <c r="AN279" s="167"/>
      <c r="AT279" s="167"/>
      <c r="AU279" s="167"/>
      <c r="AV279" s="167"/>
      <c r="BD279" s="167"/>
      <c r="BE279" s="167"/>
      <c r="BI279" s="46"/>
      <c r="BJ279" s="46"/>
      <c r="BK279" s="176"/>
    </row>
    <row r="280" ht="15.75" customHeight="1" spans="1:100" x14ac:dyDescent="0.25">
      <c r="C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W280" s="167"/>
      <c r="X280" s="167"/>
      <c r="Y280" s="167"/>
      <c r="AD280" s="167"/>
      <c r="AE280" s="167"/>
      <c r="AF280" s="167"/>
      <c r="AL280" s="167"/>
      <c r="AM280" s="167"/>
      <c r="AN280" s="167"/>
      <c r="AT280" s="167"/>
      <c r="AU280" s="167"/>
      <c r="AV280" s="167"/>
      <c r="BD280" s="167"/>
      <c r="BE280" s="167"/>
      <c r="BI280" s="46"/>
      <c r="BJ280" s="46"/>
      <c r="BK280" s="176"/>
    </row>
    <row r="281" ht="15.75" customHeight="1" spans="1:100" x14ac:dyDescent="0.25">
      <c r="C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W281" s="167"/>
      <c r="X281" s="167"/>
      <c r="Y281" s="167"/>
      <c r="AD281" s="167"/>
      <c r="AE281" s="167"/>
      <c r="AF281" s="167"/>
      <c r="AL281" s="167"/>
      <c r="AM281" s="167"/>
      <c r="AN281" s="167"/>
      <c r="AT281" s="167"/>
      <c r="AU281" s="167"/>
      <c r="AV281" s="167"/>
      <c r="BD281" s="167"/>
      <c r="BE281" s="167"/>
      <c r="BI281" s="46"/>
      <c r="BJ281" s="46"/>
      <c r="BK281" s="176"/>
    </row>
    <row r="282" ht="15.75" customHeight="1" spans="1:100" x14ac:dyDescent="0.25">
      <c r="C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W282" s="167"/>
      <c r="X282" s="167"/>
      <c r="Y282" s="167"/>
      <c r="AD282" s="167"/>
      <c r="AE282" s="167"/>
      <c r="AF282" s="167"/>
      <c r="AL282" s="167"/>
      <c r="AM282" s="167"/>
      <c r="AN282" s="167"/>
      <c r="AT282" s="167"/>
      <c r="AU282" s="167"/>
      <c r="AV282" s="167"/>
      <c r="BD282" s="167"/>
      <c r="BE282" s="167"/>
      <c r="BI282" s="46"/>
      <c r="BJ282" s="46"/>
      <c r="BK282" s="176"/>
    </row>
    <row r="283" ht="15.75" customHeight="1" spans="1:100" x14ac:dyDescent="0.25">
      <c r="C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W283" s="167"/>
      <c r="X283" s="167"/>
      <c r="Y283" s="167"/>
      <c r="AD283" s="167"/>
      <c r="AE283" s="167"/>
      <c r="AF283" s="167"/>
      <c r="AL283" s="167"/>
      <c r="AM283" s="167"/>
      <c r="AN283" s="167"/>
      <c r="AT283" s="167"/>
      <c r="AU283" s="167"/>
      <c r="AV283" s="167"/>
      <c r="BD283" s="167"/>
      <c r="BE283" s="167"/>
      <c r="BI283" s="46"/>
      <c r="BJ283" s="46"/>
      <c r="BK283" s="176"/>
    </row>
    <row r="284" ht="15.75" customHeight="1" spans="1:100" x14ac:dyDescent="0.25">
      <c r="C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W284" s="167"/>
      <c r="X284" s="167"/>
      <c r="Y284" s="167"/>
      <c r="AD284" s="167"/>
      <c r="AE284" s="167"/>
      <c r="AF284" s="167"/>
      <c r="AL284" s="167"/>
      <c r="AM284" s="167"/>
      <c r="AN284" s="167"/>
      <c r="AT284" s="167"/>
      <c r="AU284" s="167"/>
      <c r="AV284" s="167"/>
      <c r="BD284" s="167"/>
      <c r="BE284" s="167"/>
      <c r="BI284" s="46"/>
      <c r="BJ284" s="46"/>
      <c r="BK284" s="176"/>
    </row>
    <row r="285" ht="15.75" customHeight="1" spans="1:100" x14ac:dyDescent="0.25">
      <c r="C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W285" s="167"/>
      <c r="X285" s="167"/>
      <c r="Y285" s="167"/>
      <c r="AD285" s="167"/>
      <c r="AE285" s="167"/>
      <c r="AF285" s="167"/>
      <c r="AL285" s="167"/>
      <c r="AM285" s="167"/>
      <c r="AN285" s="167"/>
      <c r="AT285" s="167"/>
      <c r="AU285" s="167"/>
      <c r="AV285" s="167"/>
      <c r="BD285" s="167"/>
      <c r="BE285" s="167"/>
      <c r="BI285" s="46"/>
      <c r="BJ285" s="46"/>
      <c r="BK285" s="176"/>
    </row>
    <row r="286" ht="15.75" customHeight="1" spans="1:100" x14ac:dyDescent="0.25">
      <c r="C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W286" s="167"/>
      <c r="X286" s="167"/>
      <c r="Y286" s="167"/>
      <c r="AD286" s="167"/>
      <c r="AE286" s="167"/>
      <c r="AF286" s="167"/>
      <c r="AL286" s="167"/>
      <c r="AM286" s="167"/>
      <c r="AN286" s="167"/>
      <c r="AT286" s="167"/>
      <c r="AU286" s="167"/>
      <c r="AV286" s="167"/>
      <c r="BD286" s="167"/>
      <c r="BE286" s="167"/>
      <c r="BI286" s="46"/>
      <c r="BJ286" s="46"/>
      <c r="BK286" s="176"/>
    </row>
    <row r="287" ht="15.75" customHeight="1" spans="1:100" x14ac:dyDescent="0.25">
      <c r="C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W287" s="167"/>
      <c r="X287" s="167"/>
      <c r="Y287" s="167"/>
      <c r="AD287" s="167"/>
      <c r="AE287" s="167"/>
      <c r="AF287" s="167"/>
      <c r="AL287" s="167"/>
      <c r="AM287" s="167"/>
      <c r="AN287" s="167"/>
      <c r="AT287" s="167"/>
      <c r="AU287" s="167"/>
      <c r="AV287" s="167"/>
      <c r="BD287" s="167"/>
      <c r="BE287" s="167"/>
      <c r="BI287" s="46"/>
      <c r="BJ287" s="46"/>
      <c r="BK287" s="176"/>
    </row>
    <row r="288" ht="15.75" customHeight="1" spans="1:100" x14ac:dyDescent="0.25">
      <c r="C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W288" s="167"/>
      <c r="X288" s="167"/>
      <c r="Y288" s="167"/>
      <c r="AD288" s="167"/>
      <c r="AE288" s="167"/>
      <c r="AF288" s="167"/>
      <c r="AL288" s="167"/>
      <c r="AM288" s="167"/>
      <c r="AN288" s="167"/>
      <c r="AT288" s="167"/>
      <c r="AU288" s="167"/>
      <c r="AV288" s="167"/>
      <c r="BD288" s="167"/>
      <c r="BE288" s="167"/>
      <c r="BI288" s="46"/>
      <c r="BJ288" s="46"/>
      <c r="BK288" s="176"/>
    </row>
    <row r="289" ht="15.75" customHeight="1" spans="1:100" x14ac:dyDescent="0.25">
      <c r="C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W289" s="167"/>
      <c r="X289" s="167"/>
      <c r="Y289" s="167"/>
      <c r="AD289" s="167"/>
      <c r="AE289" s="167"/>
      <c r="AF289" s="167"/>
      <c r="AL289" s="167"/>
      <c r="AM289" s="167"/>
      <c r="AN289" s="167"/>
      <c r="AT289" s="167"/>
      <c r="AU289" s="167"/>
      <c r="AV289" s="167"/>
      <c r="BD289" s="167"/>
      <c r="BE289" s="167"/>
      <c r="BI289" s="46"/>
      <c r="BJ289" s="46"/>
      <c r="BK289" s="176"/>
    </row>
    <row r="290" ht="15.75" customHeight="1" spans="1:100" x14ac:dyDescent="0.25">
      <c r="C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W290" s="167"/>
      <c r="X290" s="167"/>
      <c r="Y290" s="167"/>
      <c r="AD290" s="167"/>
      <c r="AE290" s="167"/>
      <c r="AF290" s="167"/>
      <c r="AL290" s="167"/>
      <c r="AM290" s="167"/>
      <c r="AN290" s="167"/>
      <c r="AT290" s="167"/>
      <c r="AU290" s="167"/>
      <c r="AV290" s="167"/>
      <c r="BD290" s="167"/>
      <c r="BE290" s="167"/>
      <c r="BI290" s="46"/>
      <c r="BJ290" s="46"/>
      <c r="BK290" s="176"/>
    </row>
    <row r="291" ht="15.75" customHeight="1" spans="1:100" x14ac:dyDescent="0.25">
      <c r="C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W291" s="167"/>
      <c r="X291" s="167"/>
      <c r="Y291" s="167"/>
      <c r="AD291" s="167"/>
      <c r="AE291" s="167"/>
      <c r="AF291" s="167"/>
      <c r="AL291" s="167"/>
      <c r="AM291" s="167"/>
      <c r="AN291" s="167"/>
      <c r="AT291" s="167"/>
      <c r="AU291" s="167"/>
      <c r="AV291" s="167"/>
      <c r="BD291" s="167"/>
      <c r="BE291" s="167"/>
      <c r="BI291" s="46"/>
      <c r="BJ291" s="46"/>
      <c r="BK291" s="176"/>
    </row>
    <row r="292" ht="15.75" customHeight="1" spans="1:100" x14ac:dyDescent="0.25">
      <c r="C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W292" s="167"/>
      <c r="X292" s="167"/>
      <c r="Y292" s="167"/>
      <c r="AD292" s="167"/>
      <c r="AE292" s="167"/>
      <c r="AF292" s="167"/>
      <c r="AL292" s="167"/>
      <c r="AM292" s="167"/>
      <c r="AN292" s="167"/>
      <c r="AT292" s="167"/>
      <c r="AU292" s="167"/>
      <c r="AV292" s="167"/>
      <c r="BD292" s="167"/>
      <c r="BE292" s="167"/>
      <c r="BI292" s="46"/>
      <c r="BJ292" s="46"/>
      <c r="BK292" s="176"/>
    </row>
    <row r="293" ht="15.75" customHeight="1" spans="1:100" x14ac:dyDescent="0.25">
      <c r="C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W293" s="167"/>
      <c r="X293" s="167"/>
      <c r="Y293" s="167"/>
      <c r="AD293" s="167"/>
      <c r="AE293" s="167"/>
      <c r="AF293" s="167"/>
      <c r="AL293" s="167"/>
      <c r="AM293" s="167"/>
      <c r="AN293" s="167"/>
      <c r="AT293" s="167"/>
      <c r="AU293" s="167"/>
      <c r="AV293" s="167"/>
      <c r="BD293" s="167"/>
      <c r="BE293" s="167"/>
      <c r="BI293" s="46"/>
      <c r="BJ293" s="46"/>
      <c r="BK293" s="176"/>
    </row>
    <row r="294" ht="15.75" customHeight="1" spans="1:100" x14ac:dyDescent="0.25">
      <c r="C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W294" s="167"/>
      <c r="X294" s="167"/>
      <c r="Y294" s="167"/>
      <c r="AD294" s="167"/>
      <c r="AE294" s="167"/>
      <c r="AF294" s="167"/>
      <c r="AL294" s="167"/>
      <c r="AM294" s="167"/>
      <c r="AN294" s="167"/>
      <c r="AT294" s="167"/>
      <c r="AU294" s="167"/>
      <c r="AV294" s="167"/>
      <c r="BD294" s="167"/>
      <c r="BE294" s="167"/>
      <c r="BI294" s="46"/>
      <c r="BJ294" s="46"/>
      <c r="BK294" s="176"/>
    </row>
    <row r="295" ht="15.75" customHeight="1" spans="1:100" x14ac:dyDescent="0.25">
      <c r="C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W295" s="167"/>
      <c r="X295" s="167"/>
      <c r="Y295" s="167"/>
      <c r="AD295" s="167"/>
      <c r="AE295" s="167"/>
      <c r="AF295" s="167"/>
      <c r="AL295" s="167"/>
      <c r="AM295" s="167"/>
      <c r="AN295" s="167"/>
      <c r="AT295" s="167"/>
      <c r="AU295" s="167"/>
      <c r="AV295" s="167"/>
      <c r="BD295" s="167"/>
      <c r="BE295" s="167"/>
      <c r="BI295" s="46"/>
      <c r="BJ295" s="46"/>
      <c r="BK295" s="176"/>
    </row>
    <row r="296" ht="15.75" customHeight="1" spans="1:100" x14ac:dyDescent="0.25">
      <c r="C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W296" s="167"/>
      <c r="X296" s="167"/>
      <c r="Y296" s="167"/>
      <c r="AD296" s="167"/>
      <c r="AE296" s="167"/>
      <c r="AF296" s="167"/>
      <c r="AL296" s="167"/>
      <c r="AM296" s="167"/>
      <c r="AN296" s="167"/>
      <c r="AT296" s="167"/>
      <c r="AU296" s="167"/>
      <c r="AV296" s="167"/>
      <c r="BD296" s="167"/>
      <c r="BE296" s="167"/>
      <c r="BI296" s="46"/>
      <c r="BJ296" s="46"/>
      <c r="BK296" s="176"/>
    </row>
    <row r="297" ht="15.75" customHeight="1" spans="1:100" x14ac:dyDescent="0.25">
      <c r="C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W297" s="167"/>
      <c r="X297" s="167"/>
      <c r="Y297" s="167"/>
      <c r="AD297" s="167"/>
      <c r="AE297" s="167"/>
      <c r="AF297" s="167"/>
      <c r="AL297" s="167"/>
      <c r="AM297" s="167"/>
      <c r="AN297" s="167"/>
      <c r="AT297" s="167"/>
      <c r="AU297" s="167"/>
      <c r="AV297" s="167"/>
      <c r="BD297" s="167"/>
      <c r="BE297" s="167"/>
      <c r="BI297" s="46"/>
      <c r="BJ297" s="46"/>
      <c r="BK297" s="176"/>
    </row>
    <row r="298" ht="15.75" customHeight="1" spans="1:100" x14ac:dyDescent="0.25">
      <c r="C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W298" s="167"/>
      <c r="X298" s="167"/>
      <c r="Y298" s="167"/>
      <c r="AD298" s="167"/>
      <c r="AE298" s="167"/>
      <c r="AF298" s="167"/>
      <c r="AL298" s="167"/>
      <c r="AM298" s="167"/>
      <c r="AN298" s="167"/>
      <c r="AT298" s="167"/>
      <c r="AU298" s="167"/>
      <c r="AV298" s="167"/>
      <c r="BD298" s="167"/>
      <c r="BE298" s="167"/>
      <c r="BI298" s="46"/>
      <c r="BJ298" s="46"/>
      <c r="BK298" s="176"/>
    </row>
    <row r="299" ht="15.75" customHeight="1" spans="1:100" x14ac:dyDescent="0.25">
      <c r="C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W299" s="167"/>
      <c r="X299" s="167"/>
      <c r="Y299" s="167"/>
      <c r="AD299" s="167"/>
      <c r="AE299" s="167"/>
      <c r="AF299" s="167"/>
      <c r="AL299" s="167"/>
      <c r="AM299" s="167"/>
      <c r="AN299" s="167"/>
      <c r="AT299" s="167"/>
      <c r="AU299" s="167"/>
      <c r="AV299" s="167"/>
      <c r="BD299" s="167"/>
      <c r="BE299" s="167"/>
      <c r="BI299" s="46"/>
      <c r="BJ299" s="46"/>
      <c r="BK299" s="176"/>
    </row>
    <row r="300" ht="15.75" customHeight="1" spans="1:100" x14ac:dyDescent="0.25">
      <c r="C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W300" s="167"/>
      <c r="X300" s="167"/>
      <c r="Y300" s="167"/>
      <c r="AD300" s="167"/>
      <c r="AE300" s="167"/>
      <c r="AF300" s="167"/>
      <c r="AL300" s="167"/>
      <c r="AM300" s="167"/>
      <c r="AN300" s="167"/>
      <c r="AT300" s="167"/>
      <c r="AU300" s="167"/>
      <c r="AV300" s="167"/>
      <c r="BD300" s="167"/>
      <c r="BE300" s="167"/>
      <c r="BI300" s="46"/>
      <c r="BJ300" s="46"/>
      <c r="BK300" s="176"/>
    </row>
    <row r="301" ht="15.75" customHeight="1" spans="1:100" x14ac:dyDescent="0.25">
      <c r="C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W301" s="167"/>
      <c r="X301" s="167"/>
      <c r="Y301" s="167"/>
      <c r="AD301" s="167"/>
      <c r="AE301" s="167"/>
      <c r="AF301" s="167"/>
      <c r="AL301" s="167"/>
      <c r="AM301" s="167"/>
      <c r="AN301" s="167"/>
      <c r="AT301" s="167"/>
      <c r="AU301" s="167"/>
      <c r="AV301" s="167"/>
      <c r="BD301" s="167"/>
      <c r="BE301" s="167"/>
      <c r="BI301" s="46"/>
      <c r="BJ301" s="46"/>
      <c r="BK301" s="176"/>
    </row>
    <row r="302" ht="15.75" customHeight="1" spans="1:100" x14ac:dyDescent="0.25">
      <c r="C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W302" s="167"/>
      <c r="X302" s="167"/>
      <c r="Y302" s="167"/>
      <c r="AD302" s="167"/>
      <c r="AE302" s="167"/>
      <c r="AF302" s="167"/>
      <c r="AL302" s="167"/>
      <c r="AM302" s="167"/>
      <c r="AN302" s="167"/>
      <c r="AT302" s="167"/>
      <c r="AU302" s="167"/>
      <c r="AV302" s="167"/>
      <c r="BD302" s="167"/>
      <c r="BE302" s="167"/>
      <c r="BI302" s="46"/>
      <c r="BJ302" s="46"/>
      <c r="BK302" s="176"/>
    </row>
    <row r="303" ht="15.75" customHeight="1" spans="1:100" x14ac:dyDescent="0.25">
      <c r="C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W303" s="167"/>
      <c r="X303" s="167"/>
      <c r="Y303" s="167"/>
      <c r="AD303" s="167"/>
      <c r="AE303" s="167"/>
      <c r="AF303" s="167"/>
      <c r="AL303" s="167"/>
      <c r="AM303" s="167"/>
      <c r="AN303" s="167"/>
      <c r="AT303" s="167"/>
      <c r="AU303" s="167"/>
      <c r="AV303" s="167"/>
      <c r="BD303" s="167"/>
      <c r="BE303" s="167"/>
      <c r="BI303" s="46"/>
      <c r="BJ303" s="46"/>
      <c r="BK303" s="176"/>
    </row>
    <row r="304" ht="15.75" customHeight="1" spans="1:100" x14ac:dyDescent="0.25">
      <c r="C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W304" s="167"/>
      <c r="X304" s="167"/>
      <c r="Y304" s="167"/>
      <c r="AD304" s="167"/>
      <c r="AE304" s="167"/>
      <c r="AF304" s="167"/>
      <c r="AL304" s="167"/>
      <c r="AM304" s="167"/>
      <c r="AN304" s="167"/>
      <c r="AT304" s="167"/>
      <c r="AU304" s="167"/>
      <c r="AV304" s="167"/>
      <c r="BD304" s="167"/>
      <c r="BE304" s="167"/>
      <c r="BI304" s="46"/>
      <c r="BJ304" s="46"/>
      <c r="BK304" s="176"/>
    </row>
    <row r="305" ht="15.75" customHeight="1" spans="1:100" x14ac:dyDescent="0.25">
      <c r="C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W305" s="167"/>
      <c r="X305" s="167"/>
      <c r="Y305" s="167"/>
      <c r="AD305" s="167"/>
      <c r="AE305" s="167"/>
      <c r="AF305" s="167"/>
      <c r="AL305" s="167"/>
      <c r="AM305" s="167"/>
      <c r="AN305" s="167"/>
      <c r="AT305" s="167"/>
      <c r="AU305" s="167"/>
      <c r="AV305" s="167"/>
      <c r="BD305" s="167"/>
      <c r="BE305" s="167"/>
      <c r="BI305" s="46"/>
      <c r="BJ305" s="46"/>
      <c r="BK305" s="176"/>
    </row>
    <row r="306" ht="15.75" customHeight="1" spans="1:100" x14ac:dyDescent="0.25">
      <c r="C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W306" s="167"/>
      <c r="X306" s="167"/>
      <c r="Y306" s="167"/>
      <c r="AD306" s="167"/>
      <c r="AE306" s="167"/>
      <c r="AF306" s="167"/>
      <c r="AL306" s="167"/>
      <c r="AM306" s="167"/>
      <c r="AN306" s="167"/>
      <c r="AT306" s="167"/>
      <c r="AU306" s="167"/>
      <c r="AV306" s="167"/>
      <c r="BD306" s="167"/>
      <c r="BE306" s="167"/>
      <c r="BI306" s="46"/>
      <c r="BJ306" s="46"/>
      <c r="BK306" s="176"/>
    </row>
    <row r="307" ht="15.75" customHeight="1" spans="1:100" x14ac:dyDescent="0.25">
      <c r="C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W307" s="167"/>
      <c r="X307" s="167"/>
      <c r="Y307" s="167"/>
      <c r="AD307" s="167"/>
      <c r="AE307" s="167"/>
      <c r="AF307" s="167"/>
      <c r="AL307" s="167"/>
      <c r="AM307" s="167"/>
      <c r="AN307" s="167"/>
      <c r="AT307" s="167"/>
      <c r="AU307" s="167"/>
      <c r="AV307" s="167"/>
      <c r="BD307" s="167"/>
      <c r="BE307" s="167"/>
      <c r="BI307" s="46"/>
      <c r="BJ307" s="46"/>
      <c r="BK307" s="176"/>
    </row>
    <row r="308" ht="15.75" customHeight="1" spans="1:100" x14ac:dyDescent="0.25">
      <c r="C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W308" s="167"/>
      <c r="X308" s="167"/>
      <c r="Y308" s="167"/>
      <c r="AD308" s="167"/>
      <c r="AE308" s="167"/>
      <c r="AF308" s="167"/>
      <c r="AL308" s="167"/>
      <c r="AM308" s="167"/>
      <c r="AN308" s="167"/>
      <c r="AT308" s="167"/>
      <c r="AU308" s="167"/>
      <c r="AV308" s="167"/>
      <c r="BD308" s="167"/>
      <c r="BE308" s="167"/>
      <c r="BI308" s="46"/>
      <c r="BJ308" s="46"/>
      <c r="BK308" s="176"/>
    </row>
    <row r="309" ht="15.75" customHeight="1" spans="1:100" x14ac:dyDescent="0.25">
      <c r="C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W309" s="167"/>
      <c r="X309" s="167"/>
      <c r="Y309" s="167"/>
      <c r="AD309" s="167"/>
      <c r="AE309" s="167"/>
      <c r="AF309" s="167"/>
      <c r="AL309" s="167"/>
      <c r="AM309" s="167"/>
      <c r="AN309" s="167"/>
      <c r="AT309" s="167"/>
      <c r="AU309" s="167"/>
      <c r="AV309" s="167"/>
      <c r="BD309" s="167"/>
      <c r="BE309" s="167"/>
      <c r="BI309" s="46"/>
      <c r="BJ309" s="46"/>
      <c r="BK309" s="176"/>
    </row>
    <row r="310" ht="15.75" customHeight="1" spans="1:100" x14ac:dyDescent="0.25">
      <c r="C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W310" s="167"/>
      <c r="X310" s="167"/>
      <c r="Y310" s="167"/>
      <c r="AD310" s="167"/>
      <c r="AE310" s="167"/>
      <c r="AF310" s="167"/>
      <c r="AL310" s="167"/>
      <c r="AM310" s="167"/>
      <c r="AN310" s="167"/>
      <c r="AT310" s="167"/>
      <c r="AU310" s="167"/>
      <c r="AV310" s="167"/>
      <c r="BD310" s="167"/>
      <c r="BE310" s="167"/>
      <c r="BI310" s="46"/>
      <c r="BJ310" s="46"/>
      <c r="BK310" s="176"/>
    </row>
    <row r="311" ht="15.75" customHeight="1" spans="1:100" x14ac:dyDescent="0.25">
      <c r="C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W311" s="167"/>
      <c r="X311" s="167"/>
      <c r="Y311" s="167"/>
      <c r="AD311" s="167"/>
      <c r="AE311" s="167"/>
      <c r="AF311" s="167"/>
      <c r="AL311" s="167"/>
      <c r="AM311" s="167"/>
      <c r="AN311" s="167"/>
      <c r="AT311" s="167"/>
      <c r="AU311" s="167"/>
      <c r="AV311" s="167"/>
      <c r="BD311" s="167"/>
      <c r="BE311" s="167"/>
      <c r="BI311" s="46"/>
      <c r="BJ311" s="46"/>
      <c r="BK311" s="176"/>
    </row>
    <row r="312" ht="15.75" customHeight="1" spans="1:100" x14ac:dyDescent="0.25">
      <c r="C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W312" s="167"/>
      <c r="X312" s="167"/>
      <c r="Y312" s="167"/>
      <c r="AD312" s="167"/>
      <c r="AE312" s="167"/>
      <c r="AF312" s="167"/>
      <c r="AL312" s="167"/>
      <c r="AM312" s="167"/>
      <c r="AN312" s="167"/>
      <c r="AT312" s="167"/>
      <c r="AU312" s="167"/>
      <c r="AV312" s="167"/>
      <c r="BD312" s="167"/>
      <c r="BE312" s="167"/>
      <c r="BI312" s="46"/>
      <c r="BJ312" s="46"/>
      <c r="BK312" s="176"/>
    </row>
    <row r="313" ht="15.75" customHeight="1" spans="1:100" x14ac:dyDescent="0.25">
      <c r="C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W313" s="167"/>
      <c r="X313" s="167"/>
      <c r="Y313" s="167"/>
      <c r="AD313" s="167"/>
      <c r="AE313" s="167"/>
      <c r="AF313" s="167"/>
      <c r="AL313" s="167"/>
      <c r="AM313" s="167"/>
      <c r="AN313" s="167"/>
      <c r="AT313" s="167"/>
      <c r="AU313" s="167"/>
      <c r="AV313" s="167"/>
      <c r="BD313" s="167"/>
      <c r="BE313" s="167"/>
      <c r="BI313" s="46"/>
      <c r="BJ313" s="46"/>
      <c r="BK313" s="176"/>
    </row>
    <row r="314" ht="15.75" customHeight="1" spans="1:100" x14ac:dyDescent="0.25">
      <c r="C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W314" s="167"/>
      <c r="X314" s="167"/>
      <c r="Y314" s="167"/>
      <c r="AD314" s="167"/>
      <c r="AE314" s="167"/>
      <c r="AF314" s="167"/>
      <c r="AL314" s="167"/>
      <c r="AM314" s="167"/>
      <c r="AN314" s="167"/>
      <c r="AT314" s="167"/>
      <c r="AU314" s="167"/>
      <c r="AV314" s="167"/>
      <c r="BD314" s="167"/>
      <c r="BE314" s="167"/>
      <c r="BI314" s="46"/>
      <c r="BJ314" s="46"/>
      <c r="BK314" s="176"/>
    </row>
    <row r="315" ht="15.75" customHeight="1" spans="1:100" x14ac:dyDescent="0.25">
      <c r="C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W315" s="167"/>
      <c r="X315" s="167"/>
      <c r="Y315" s="167"/>
      <c r="AD315" s="167"/>
      <c r="AE315" s="167"/>
      <c r="AF315" s="167"/>
      <c r="AL315" s="167"/>
      <c r="AM315" s="167"/>
      <c r="AN315" s="167"/>
      <c r="AT315" s="167"/>
      <c r="AU315" s="167"/>
      <c r="AV315" s="167"/>
      <c r="BD315" s="167"/>
      <c r="BE315" s="167"/>
      <c r="BI315" s="46"/>
      <c r="BJ315" s="46"/>
      <c r="BK315" s="176"/>
    </row>
    <row r="316" ht="15.75" customHeight="1" spans="1:100" x14ac:dyDescent="0.25">
      <c r="C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W316" s="167"/>
      <c r="X316" s="167"/>
      <c r="Y316" s="167"/>
      <c r="AD316" s="167"/>
      <c r="AE316" s="167"/>
      <c r="AF316" s="167"/>
      <c r="AL316" s="167"/>
      <c r="AM316" s="167"/>
      <c r="AN316" s="167"/>
      <c r="AT316" s="167"/>
      <c r="AU316" s="167"/>
      <c r="AV316" s="167"/>
      <c r="BD316" s="167"/>
      <c r="BE316" s="167"/>
      <c r="BI316" s="46"/>
      <c r="BJ316" s="46"/>
      <c r="BK316" s="176"/>
    </row>
    <row r="317" ht="15.75" customHeight="1" spans="1:100" x14ac:dyDescent="0.25">
      <c r="C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W317" s="167"/>
      <c r="X317" s="167"/>
      <c r="Y317" s="167"/>
      <c r="AD317" s="167"/>
      <c r="AE317" s="167"/>
      <c r="AF317" s="167"/>
      <c r="AL317" s="167"/>
      <c r="AM317" s="167"/>
      <c r="AN317" s="167"/>
      <c r="AT317" s="167"/>
      <c r="AU317" s="167"/>
      <c r="AV317" s="167"/>
      <c r="BD317" s="167"/>
      <c r="BE317" s="167"/>
      <c r="BI317" s="46"/>
      <c r="BJ317" s="46"/>
      <c r="BK317" s="176"/>
    </row>
    <row r="318" ht="15.75" customHeight="1" spans="1:100" x14ac:dyDescent="0.25">
      <c r="C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W318" s="167"/>
      <c r="X318" s="167"/>
      <c r="Y318" s="167"/>
      <c r="AD318" s="167"/>
      <c r="AE318" s="167"/>
      <c r="AF318" s="167"/>
      <c r="AL318" s="167"/>
      <c r="AM318" s="167"/>
      <c r="AN318" s="167"/>
      <c r="AT318" s="167"/>
      <c r="AU318" s="167"/>
      <c r="AV318" s="167"/>
      <c r="BD318" s="167"/>
      <c r="BE318" s="167"/>
      <c r="BI318" s="46"/>
      <c r="BJ318" s="46"/>
      <c r="BK318" s="176"/>
    </row>
    <row r="319" ht="15.75" customHeight="1" spans="1:100" x14ac:dyDescent="0.25">
      <c r="C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W319" s="167"/>
      <c r="X319" s="167"/>
      <c r="Y319" s="167"/>
      <c r="AD319" s="167"/>
      <c r="AE319" s="167"/>
      <c r="AF319" s="167"/>
      <c r="AL319" s="167"/>
      <c r="AM319" s="167"/>
      <c r="AN319" s="167"/>
      <c r="AT319" s="167"/>
      <c r="AU319" s="167"/>
      <c r="AV319" s="167"/>
      <c r="BD319" s="167"/>
      <c r="BE319" s="167"/>
      <c r="BI319" s="46"/>
      <c r="BJ319" s="46"/>
      <c r="BK319" s="176"/>
    </row>
    <row r="320" ht="15.75" customHeight="1" spans="1:100" x14ac:dyDescent="0.25">
      <c r="C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W320" s="167"/>
      <c r="X320" s="167"/>
      <c r="Y320" s="167"/>
      <c r="AD320" s="167"/>
      <c r="AE320" s="167"/>
      <c r="AF320" s="167"/>
      <c r="AL320" s="167"/>
      <c r="AM320" s="167"/>
      <c r="AN320" s="167"/>
      <c r="AT320" s="167"/>
      <c r="AU320" s="167"/>
      <c r="AV320" s="167"/>
      <c r="BD320" s="167"/>
      <c r="BE320" s="167"/>
      <c r="BI320" s="46"/>
      <c r="BJ320" s="46"/>
      <c r="BK320" s="176"/>
    </row>
    <row r="321" ht="15.75" customHeight="1" spans="1:100" x14ac:dyDescent="0.25">
      <c r="C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W321" s="167"/>
      <c r="X321" s="167"/>
      <c r="Y321" s="167"/>
      <c r="AD321" s="167"/>
      <c r="AE321" s="167"/>
      <c r="AF321" s="167"/>
      <c r="AL321" s="167"/>
      <c r="AM321" s="167"/>
      <c r="AN321" s="167"/>
      <c r="AT321" s="167"/>
      <c r="AU321" s="167"/>
      <c r="AV321" s="167"/>
      <c r="BD321" s="167"/>
      <c r="BE321" s="167"/>
      <c r="BI321" s="46"/>
      <c r="BJ321" s="46"/>
      <c r="BK321" s="176"/>
    </row>
    <row r="322" ht="15.75" customHeight="1" spans="1:100" x14ac:dyDescent="0.25">
      <c r="C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W322" s="167"/>
      <c r="X322" s="167"/>
      <c r="Y322" s="167"/>
      <c r="AD322" s="167"/>
      <c r="AE322" s="167"/>
      <c r="AF322" s="167"/>
      <c r="AL322" s="167"/>
      <c r="AM322" s="167"/>
      <c r="AN322" s="167"/>
      <c r="AT322" s="167"/>
      <c r="AU322" s="167"/>
      <c r="AV322" s="167"/>
      <c r="BD322" s="167"/>
      <c r="BE322" s="167"/>
      <c r="BI322" s="46"/>
      <c r="BJ322" s="46"/>
      <c r="BK322" s="176"/>
    </row>
    <row r="323" ht="15.75" customHeight="1" spans="1:100" x14ac:dyDescent="0.25">
      <c r="C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W323" s="167"/>
      <c r="X323" s="167"/>
      <c r="Y323" s="167"/>
      <c r="AD323" s="167"/>
      <c r="AE323" s="167"/>
      <c r="AF323" s="167"/>
      <c r="AL323" s="167"/>
      <c r="AM323" s="167"/>
      <c r="AN323" s="167"/>
      <c r="AT323" s="167"/>
      <c r="AU323" s="167"/>
      <c r="AV323" s="167"/>
      <c r="BD323" s="167"/>
      <c r="BE323" s="167"/>
      <c r="BI323" s="46"/>
      <c r="BJ323" s="46"/>
      <c r="BK323" s="176"/>
    </row>
    <row r="324" ht="15.75" customHeight="1" spans="1:100" x14ac:dyDescent="0.25">
      <c r="C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W324" s="167"/>
      <c r="X324" s="167"/>
      <c r="Y324" s="167"/>
      <c r="AD324" s="167"/>
      <c r="AE324" s="167"/>
      <c r="AF324" s="167"/>
      <c r="AL324" s="167"/>
      <c r="AM324" s="167"/>
      <c r="AN324" s="167"/>
      <c r="AT324" s="167"/>
      <c r="AU324" s="167"/>
      <c r="AV324" s="167"/>
      <c r="BD324" s="167"/>
      <c r="BE324" s="167"/>
      <c r="BI324" s="46"/>
      <c r="BJ324" s="46"/>
      <c r="BK324" s="176"/>
    </row>
    <row r="325" ht="15.75" customHeight="1" spans="1:100" x14ac:dyDescent="0.25">
      <c r="C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W325" s="167"/>
      <c r="X325" s="167"/>
      <c r="Y325" s="167"/>
      <c r="AD325" s="167"/>
      <c r="AE325" s="167"/>
      <c r="AF325" s="167"/>
      <c r="AL325" s="167"/>
      <c r="AM325" s="167"/>
      <c r="AN325" s="167"/>
      <c r="AT325" s="167"/>
      <c r="AU325" s="167"/>
      <c r="AV325" s="167"/>
      <c r="BD325" s="167"/>
      <c r="BE325" s="167"/>
      <c r="BI325" s="46"/>
      <c r="BJ325" s="46"/>
      <c r="BK325" s="176"/>
    </row>
    <row r="326" ht="15.75" customHeight="1" spans="1:100" x14ac:dyDescent="0.25">
      <c r="C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W326" s="167"/>
      <c r="X326" s="167"/>
      <c r="Y326" s="167"/>
      <c r="AD326" s="167"/>
      <c r="AE326" s="167"/>
      <c r="AF326" s="167"/>
      <c r="AL326" s="167"/>
      <c r="AM326" s="167"/>
      <c r="AN326" s="167"/>
      <c r="AT326" s="167"/>
      <c r="AU326" s="167"/>
      <c r="AV326" s="167"/>
      <c r="BD326" s="167"/>
      <c r="BE326" s="167"/>
      <c r="BI326" s="46"/>
      <c r="BJ326" s="46"/>
      <c r="BK326" s="176"/>
    </row>
    <row r="327" ht="15.75" customHeight="1" spans="1:100" x14ac:dyDescent="0.25">
      <c r="C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W327" s="167"/>
      <c r="X327" s="167"/>
      <c r="Y327" s="167"/>
      <c r="AD327" s="167"/>
      <c r="AE327" s="167"/>
      <c r="AF327" s="167"/>
      <c r="AL327" s="167"/>
      <c r="AM327" s="167"/>
      <c r="AN327" s="167"/>
      <c r="AT327" s="167"/>
      <c r="AU327" s="167"/>
      <c r="AV327" s="167"/>
      <c r="BD327" s="167"/>
      <c r="BE327" s="167"/>
      <c r="BI327" s="46"/>
      <c r="BJ327" s="46"/>
      <c r="BK327" s="176"/>
    </row>
    <row r="328" ht="15.75" customHeight="1" spans="1:100" x14ac:dyDescent="0.25">
      <c r="C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W328" s="167"/>
      <c r="X328" s="167"/>
      <c r="Y328" s="167"/>
      <c r="AD328" s="167"/>
      <c r="AE328" s="167"/>
      <c r="AF328" s="167"/>
      <c r="AL328" s="167"/>
      <c r="AM328" s="167"/>
      <c r="AN328" s="167"/>
      <c r="AT328" s="167"/>
      <c r="AU328" s="167"/>
      <c r="AV328" s="167"/>
      <c r="BD328" s="167"/>
      <c r="BE328" s="167"/>
      <c r="BI328" s="46"/>
      <c r="BJ328" s="46"/>
      <c r="BK328" s="176"/>
    </row>
    <row r="329" ht="15.75" customHeight="1" spans="1:100" x14ac:dyDescent="0.25">
      <c r="C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W329" s="167"/>
      <c r="X329" s="167"/>
      <c r="Y329" s="167"/>
      <c r="AD329" s="167"/>
      <c r="AE329" s="167"/>
      <c r="AF329" s="167"/>
      <c r="AL329" s="167"/>
      <c r="AM329" s="167"/>
      <c r="AN329" s="167"/>
      <c r="AT329" s="167"/>
      <c r="AU329" s="167"/>
      <c r="AV329" s="167"/>
      <c r="BD329" s="167"/>
      <c r="BE329" s="167"/>
      <c r="BI329" s="46"/>
      <c r="BJ329" s="46"/>
      <c r="BK329" s="176"/>
    </row>
    <row r="330" ht="15.75" customHeight="1" spans="1:100" x14ac:dyDescent="0.25">
      <c r="C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W330" s="167"/>
      <c r="X330" s="167"/>
      <c r="Y330" s="167"/>
      <c r="AD330" s="167"/>
      <c r="AE330" s="167"/>
      <c r="AF330" s="167"/>
      <c r="AL330" s="167"/>
      <c r="AM330" s="167"/>
      <c r="AN330" s="167"/>
      <c r="AT330" s="167"/>
      <c r="AU330" s="167"/>
      <c r="AV330" s="167"/>
      <c r="BD330" s="167"/>
      <c r="BE330" s="167"/>
      <c r="BI330" s="46"/>
      <c r="BJ330" s="46"/>
      <c r="BK330" s="176"/>
    </row>
    <row r="331" ht="15.75" customHeight="1" spans="1:100" x14ac:dyDescent="0.25">
      <c r="C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W331" s="167"/>
      <c r="X331" s="167"/>
      <c r="Y331" s="167"/>
      <c r="AD331" s="167"/>
      <c r="AE331" s="167"/>
      <c r="AF331" s="167"/>
      <c r="AL331" s="167"/>
      <c r="AM331" s="167"/>
      <c r="AN331" s="167"/>
      <c r="AT331" s="167"/>
      <c r="AU331" s="167"/>
      <c r="AV331" s="167"/>
      <c r="BD331" s="167"/>
      <c r="BE331" s="167"/>
      <c r="BI331" s="46"/>
      <c r="BJ331" s="46"/>
      <c r="BK331" s="176"/>
    </row>
    <row r="332" ht="15.75" customHeight="1" spans="1:100" x14ac:dyDescent="0.25">
      <c r="C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W332" s="167"/>
      <c r="X332" s="167"/>
      <c r="Y332" s="167"/>
      <c r="AD332" s="167"/>
      <c r="AE332" s="167"/>
      <c r="AF332" s="167"/>
      <c r="AL332" s="167"/>
      <c r="AM332" s="167"/>
      <c r="AN332" s="167"/>
      <c r="AT332" s="167"/>
      <c r="AU332" s="167"/>
      <c r="AV332" s="167"/>
      <c r="BD332" s="167"/>
      <c r="BE332" s="167"/>
      <c r="BI332" s="46"/>
      <c r="BJ332" s="46"/>
      <c r="BK332" s="176"/>
    </row>
    <row r="333" ht="15.75" customHeight="1" spans="1:100" x14ac:dyDescent="0.25">
      <c r="C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W333" s="167"/>
      <c r="X333" s="167"/>
      <c r="Y333" s="167"/>
      <c r="AD333" s="167"/>
      <c r="AE333" s="167"/>
      <c r="AF333" s="167"/>
      <c r="AL333" s="167"/>
      <c r="AM333" s="167"/>
      <c r="AN333" s="167"/>
      <c r="AT333" s="167"/>
      <c r="AU333" s="167"/>
      <c r="AV333" s="167"/>
      <c r="BD333" s="167"/>
      <c r="BE333" s="167"/>
      <c r="BI333" s="46"/>
      <c r="BJ333" s="46"/>
      <c r="BK333" s="176"/>
    </row>
    <row r="334" ht="15.75" customHeight="1" spans="1:100" x14ac:dyDescent="0.25">
      <c r="C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W334" s="167"/>
      <c r="X334" s="167"/>
      <c r="Y334" s="167"/>
      <c r="AD334" s="167"/>
      <c r="AE334" s="167"/>
      <c r="AF334" s="167"/>
      <c r="AL334" s="167"/>
      <c r="AM334" s="167"/>
      <c r="AN334" s="167"/>
      <c r="AT334" s="167"/>
      <c r="AU334" s="167"/>
      <c r="AV334" s="167"/>
      <c r="BD334" s="167"/>
      <c r="BE334" s="167"/>
      <c r="BI334" s="46"/>
      <c r="BJ334" s="46"/>
      <c r="BK334" s="176"/>
    </row>
    <row r="335" ht="15.75" customHeight="1" spans="1:100" x14ac:dyDescent="0.25">
      <c r="C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W335" s="167"/>
      <c r="X335" s="167"/>
      <c r="Y335" s="167"/>
      <c r="AD335" s="167"/>
      <c r="AE335" s="167"/>
      <c r="AF335" s="167"/>
      <c r="AL335" s="167"/>
      <c r="AM335" s="167"/>
      <c r="AN335" s="167"/>
      <c r="AT335" s="167"/>
      <c r="AU335" s="167"/>
      <c r="AV335" s="167"/>
      <c r="BD335" s="167"/>
      <c r="BE335" s="167"/>
      <c r="BI335" s="46"/>
      <c r="BJ335" s="46"/>
      <c r="BK335" s="176"/>
    </row>
    <row r="336" ht="15.75" customHeight="1" spans="1:100" x14ac:dyDescent="0.25">
      <c r="C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W336" s="167"/>
      <c r="X336" s="167"/>
      <c r="Y336" s="167"/>
      <c r="AD336" s="167"/>
      <c r="AE336" s="167"/>
      <c r="AF336" s="167"/>
      <c r="AL336" s="167"/>
      <c r="AM336" s="167"/>
      <c r="AN336" s="167"/>
      <c r="AT336" s="167"/>
      <c r="AU336" s="167"/>
      <c r="AV336" s="167"/>
      <c r="BD336" s="167"/>
      <c r="BE336" s="167"/>
      <c r="BI336" s="46"/>
      <c r="BJ336" s="46"/>
      <c r="BK336" s="176"/>
    </row>
    <row r="337" ht="15.75" customHeight="1" spans="1:100" x14ac:dyDescent="0.25">
      <c r="C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W337" s="167"/>
      <c r="X337" s="167"/>
      <c r="Y337" s="167"/>
      <c r="AD337" s="167"/>
      <c r="AE337" s="167"/>
      <c r="AF337" s="167"/>
      <c r="AL337" s="167"/>
      <c r="AM337" s="167"/>
      <c r="AN337" s="167"/>
      <c r="AT337" s="167"/>
      <c r="AU337" s="167"/>
      <c r="AV337" s="167"/>
      <c r="BD337" s="167"/>
      <c r="BE337" s="167"/>
      <c r="BI337" s="46"/>
      <c r="BJ337" s="46"/>
      <c r="BK337" s="176"/>
    </row>
    <row r="338" ht="15.75" customHeight="1" spans="1:100" x14ac:dyDescent="0.25">
      <c r="C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W338" s="167"/>
      <c r="X338" s="167"/>
      <c r="Y338" s="167"/>
      <c r="AD338" s="167"/>
      <c r="AE338" s="167"/>
      <c r="AF338" s="167"/>
      <c r="AL338" s="167"/>
      <c r="AM338" s="167"/>
      <c r="AN338" s="167"/>
      <c r="AT338" s="167"/>
      <c r="AU338" s="167"/>
      <c r="AV338" s="167"/>
      <c r="BD338" s="167"/>
      <c r="BE338" s="167"/>
      <c r="BI338" s="46"/>
      <c r="BJ338" s="46"/>
      <c r="BK338" s="176"/>
    </row>
    <row r="339" ht="15.75" customHeight="1" spans="1:100" x14ac:dyDescent="0.25">
      <c r="C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W339" s="167"/>
      <c r="X339" s="167"/>
      <c r="Y339" s="167"/>
      <c r="AD339" s="167"/>
      <c r="AE339" s="167"/>
      <c r="AF339" s="167"/>
      <c r="AL339" s="167"/>
      <c r="AM339" s="167"/>
      <c r="AN339" s="167"/>
      <c r="AT339" s="167"/>
      <c r="AU339" s="167"/>
      <c r="AV339" s="167"/>
      <c r="BD339" s="167"/>
      <c r="BE339" s="167"/>
      <c r="BI339" s="46"/>
      <c r="BJ339" s="46"/>
      <c r="BK339" s="176"/>
    </row>
    <row r="340" ht="15.75" customHeight="1" spans="1:100" x14ac:dyDescent="0.25">
      <c r="C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W340" s="167"/>
      <c r="X340" s="167"/>
      <c r="Y340" s="167"/>
      <c r="AD340" s="167"/>
      <c r="AE340" s="167"/>
      <c r="AF340" s="167"/>
      <c r="AL340" s="167"/>
      <c r="AM340" s="167"/>
      <c r="AN340" s="167"/>
      <c r="AT340" s="167"/>
      <c r="AU340" s="167"/>
      <c r="AV340" s="167"/>
      <c r="BD340" s="167"/>
      <c r="BE340" s="167"/>
      <c r="BI340" s="46"/>
      <c r="BJ340" s="46"/>
      <c r="BK340" s="176"/>
    </row>
    <row r="341" ht="15.75" customHeight="1" spans="1:100" x14ac:dyDescent="0.25">
      <c r="C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W341" s="167"/>
      <c r="X341" s="167"/>
      <c r="Y341" s="167"/>
      <c r="AD341" s="167"/>
      <c r="AE341" s="167"/>
      <c r="AF341" s="167"/>
      <c r="AL341" s="167"/>
      <c r="AM341" s="167"/>
      <c r="AN341" s="167"/>
      <c r="AT341" s="167"/>
      <c r="AU341" s="167"/>
      <c r="AV341" s="167"/>
      <c r="BD341" s="167"/>
      <c r="BE341" s="167"/>
      <c r="BI341" s="46"/>
      <c r="BJ341" s="46"/>
      <c r="BK341" s="176"/>
    </row>
    <row r="342" ht="15.75" customHeight="1" spans="1:100" x14ac:dyDescent="0.25">
      <c r="C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W342" s="167"/>
      <c r="X342" s="167"/>
      <c r="Y342" s="167"/>
      <c r="AD342" s="167"/>
      <c r="AE342" s="167"/>
      <c r="AF342" s="167"/>
      <c r="AL342" s="167"/>
      <c r="AM342" s="167"/>
      <c r="AN342" s="167"/>
      <c r="AT342" s="167"/>
      <c r="AU342" s="167"/>
      <c r="AV342" s="167"/>
      <c r="BD342" s="167"/>
      <c r="BE342" s="167"/>
      <c r="BI342" s="46"/>
      <c r="BJ342" s="46"/>
      <c r="BK342" s="176"/>
    </row>
    <row r="343" ht="15.75" customHeight="1" spans="1:100" x14ac:dyDescent="0.25">
      <c r="C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W343" s="167"/>
      <c r="X343" s="167"/>
      <c r="Y343" s="167"/>
      <c r="AD343" s="167"/>
      <c r="AE343" s="167"/>
      <c r="AF343" s="167"/>
      <c r="AL343" s="167"/>
      <c r="AM343" s="167"/>
      <c r="AN343" s="167"/>
      <c r="AT343" s="167"/>
      <c r="AU343" s="167"/>
      <c r="AV343" s="167"/>
      <c r="BD343" s="167"/>
      <c r="BE343" s="167"/>
      <c r="BI343" s="46"/>
      <c r="BJ343" s="46"/>
      <c r="BK343" s="176"/>
    </row>
    <row r="344" ht="15.75" customHeight="1" spans="1:100" x14ac:dyDescent="0.25">
      <c r="C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W344" s="167"/>
      <c r="X344" s="167"/>
      <c r="Y344" s="167"/>
      <c r="AD344" s="167"/>
      <c r="AE344" s="167"/>
      <c r="AF344" s="167"/>
      <c r="AL344" s="167"/>
      <c r="AM344" s="167"/>
      <c r="AN344" s="167"/>
      <c r="AT344" s="167"/>
      <c r="AU344" s="167"/>
      <c r="AV344" s="167"/>
      <c r="BD344" s="167"/>
      <c r="BE344" s="167"/>
      <c r="BI344" s="46"/>
      <c r="BJ344" s="46"/>
      <c r="BK344" s="176"/>
    </row>
    <row r="345" ht="15.75" customHeight="1" spans="1:100" x14ac:dyDescent="0.25">
      <c r="C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W345" s="167"/>
      <c r="X345" s="167"/>
      <c r="Y345" s="167"/>
      <c r="AD345" s="167"/>
      <c r="AE345" s="167"/>
      <c r="AF345" s="167"/>
      <c r="AL345" s="167"/>
      <c r="AM345" s="167"/>
      <c r="AN345" s="167"/>
      <c r="AT345" s="167"/>
      <c r="AU345" s="167"/>
      <c r="AV345" s="167"/>
      <c r="BD345" s="167"/>
      <c r="BE345" s="167"/>
      <c r="BI345" s="46"/>
      <c r="BJ345" s="46"/>
      <c r="BK345" s="176"/>
    </row>
    <row r="346" ht="15.75" customHeight="1" spans="1:100" x14ac:dyDescent="0.25">
      <c r="C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W346" s="167"/>
      <c r="X346" s="167"/>
      <c r="Y346" s="167"/>
      <c r="AD346" s="167"/>
      <c r="AE346" s="167"/>
      <c r="AF346" s="167"/>
      <c r="AL346" s="167"/>
      <c r="AM346" s="167"/>
      <c r="AN346" s="167"/>
      <c r="AT346" s="167"/>
      <c r="AU346" s="167"/>
      <c r="AV346" s="167"/>
      <c r="BD346" s="167"/>
      <c r="BE346" s="167"/>
      <c r="BI346" s="46"/>
      <c r="BJ346" s="46"/>
      <c r="BK346" s="176"/>
    </row>
    <row r="347" ht="15.75" customHeight="1" spans="1:100" x14ac:dyDescent="0.25">
      <c r="C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W347" s="167"/>
      <c r="X347" s="167"/>
      <c r="Y347" s="167"/>
      <c r="AD347" s="167"/>
      <c r="AE347" s="167"/>
      <c r="AF347" s="167"/>
      <c r="AL347" s="167"/>
      <c r="AM347" s="167"/>
      <c r="AN347" s="167"/>
      <c r="AT347" s="167"/>
      <c r="AU347" s="167"/>
      <c r="AV347" s="167"/>
      <c r="BD347" s="167"/>
      <c r="BE347" s="167"/>
      <c r="BI347" s="46"/>
      <c r="BJ347" s="46"/>
      <c r="BK347" s="176"/>
    </row>
    <row r="348" ht="15.75" customHeight="1" spans="1:100" x14ac:dyDescent="0.25">
      <c r="C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W348" s="167"/>
      <c r="X348" s="167"/>
      <c r="Y348" s="167"/>
      <c r="AD348" s="167"/>
      <c r="AE348" s="167"/>
      <c r="AF348" s="167"/>
      <c r="AL348" s="167"/>
      <c r="AM348" s="167"/>
      <c r="AN348" s="167"/>
      <c r="AT348" s="167"/>
      <c r="AU348" s="167"/>
      <c r="AV348" s="167"/>
      <c r="BD348" s="167"/>
      <c r="BE348" s="167"/>
      <c r="BI348" s="46"/>
      <c r="BJ348" s="46"/>
      <c r="BK348" s="176"/>
    </row>
    <row r="349" ht="15.75" customHeight="1" spans="1:100" x14ac:dyDescent="0.25">
      <c r="C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W349" s="167"/>
      <c r="X349" s="167"/>
      <c r="Y349" s="167"/>
      <c r="AD349" s="167"/>
      <c r="AE349" s="167"/>
      <c r="AF349" s="167"/>
      <c r="AL349" s="167"/>
      <c r="AM349" s="167"/>
      <c r="AN349" s="167"/>
      <c r="AT349" s="167"/>
      <c r="AU349" s="167"/>
      <c r="AV349" s="167"/>
      <c r="BD349" s="167"/>
      <c r="BE349" s="167"/>
      <c r="BI349" s="46"/>
      <c r="BJ349" s="46"/>
      <c r="BK349" s="176"/>
    </row>
    <row r="350" ht="15.75" customHeight="1" spans="1:100" x14ac:dyDescent="0.25">
      <c r="C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W350" s="167"/>
      <c r="X350" s="167"/>
      <c r="Y350" s="167"/>
      <c r="AD350" s="167"/>
      <c r="AE350" s="167"/>
      <c r="AF350" s="167"/>
      <c r="AL350" s="167"/>
      <c r="AM350" s="167"/>
      <c r="AN350" s="167"/>
      <c r="AT350" s="167"/>
      <c r="AU350" s="167"/>
      <c r="AV350" s="167"/>
      <c r="BD350" s="167"/>
      <c r="BE350" s="167"/>
      <c r="BI350" s="46"/>
      <c r="BJ350" s="46"/>
      <c r="BK350" s="176"/>
    </row>
    <row r="351" ht="15.75" customHeight="1" spans="1:100" x14ac:dyDescent="0.25">
      <c r="C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W351" s="167"/>
      <c r="X351" s="167"/>
      <c r="Y351" s="167"/>
      <c r="AD351" s="167"/>
      <c r="AE351" s="167"/>
      <c r="AF351" s="167"/>
      <c r="AL351" s="167"/>
      <c r="AM351" s="167"/>
      <c r="AN351" s="167"/>
      <c r="AT351" s="167"/>
      <c r="AU351" s="167"/>
      <c r="AV351" s="167"/>
      <c r="BD351" s="167"/>
      <c r="BE351" s="167"/>
      <c r="BI351" s="46"/>
      <c r="BJ351" s="46"/>
      <c r="BK351" s="176"/>
    </row>
    <row r="352" ht="15.75" customHeight="1" spans="1:100" x14ac:dyDescent="0.25">
      <c r="C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W352" s="167"/>
      <c r="X352" s="167"/>
      <c r="Y352" s="167"/>
      <c r="AD352" s="167"/>
      <c r="AE352" s="167"/>
      <c r="AF352" s="167"/>
      <c r="AL352" s="167"/>
      <c r="AM352" s="167"/>
      <c r="AN352" s="167"/>
      <c r="AT352" s="167"/>
      <c r="AU352" s="167"/>
      <c r="AV352" s="167"/>
      <c r="BD352" s="167"/>
      <c r="BE352" s="167"/>
      <c r="BI352" s="46"/>
      <c r="BJ352" s="46"/>
      <c r="BK352" s="176"/>
    </row>
    <row r="353" ht="15.75" customHeight="1" spans="1:100" x14ac:dyDescent="0.25">
      <c r="C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W353" s="167"/>
      <c r="X353" s="167"/>
      <c r="Y353" s="167"/>
      <c r="AD353" s="167"/>
      <c r="AE353" s="167"/>
      <c r="AF353" s="167"/>
      <c r="AL353" s="167"/>
      <c r="AM353" s="167"/>
      <c r="AN353" s="167"/>
      <c r="AT353" s="167"/>
      <c r="AU353" s="167"/>
      <c r="AV353" s="167"/>
      <c r="BD353" s="167"/>
      <c r="BE353" s="167"/>
      <c r="BI353" s="46"/>
      <c r="BJ353" s="46"/>
      <c r="BK353" s="176"/>
    </row>
    <row r="354" ht="15.75" customHeight="1" spans="1:100" x14ac:dyDescent="0.25">
      <c r="C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W354" s="167"/>
      <c r="X354" s="167"/>
      <c r="Y354" s="167"/>
      <c r="AD354" s="167"/>
      <c r="AE354" s="167"/>
      <c r="AF354" s="167"/>
      <c r="AL354" s="167"/>
      <c r="AM354" s="167"/>
      <c r="AN354" s="167"/>
      <c r="AT354" s="167"/>
      <c r="AU354" s="167"/>
      <c r="AV354" s="167"/>
      <c r="BD354" s="167"/>
      <c r="BE354" s="167"/>
      <c r="BI354" s="46"/>
      <c r="BJ354" s="46"/>
      <c r="BK354" s="176"/>
    </row>
    <row r="355" ht="15.75" customHeight="1" spans="1:100" x14ac:dyDescent="0.25">
      <c r="C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W355" s="167"/>
      <c r="X355" s="167"/>
      <c r="Y355" s="167"/>
      <c r="AD355" s="167"/>
      <c r="AE355" s="167"/>
      <c r="AF355" s="167"/>
      <c r="AL355" s="167"/>
      <c r="AM355" s="167"/>
      <c r="AN355" s="167"/>
      <c r="AT355" s="167"/>
      <c r="AU355" s="167"/>
      <c r="AV355" s="167"/>
      <c r="BD355" s="167"/>
      <c r="BE355" s="167"/>
      <c r="BI355" s="46"/>
      <c r="BJ355" s="46"/>
      <c r="BK355" s="176"/>
    </row>
    <row r="356" ht="15.75" customHeight="1" spans="1:100" x14ac:dyDescent="0.25">
      <c r="C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W356" s="167"/>
      <c r="X356" s="167"/>
      <c r="Y356" s="167"/>
      <c r="AD356" s="167"/>
      <c r="AE356" s="167"/>
      <c r="AF356" s="167"/>
      <c r="AL356" s="167"/>
      <c r="AM356" s="167"/>
      <c r="AN356" s="167"/>
      <c r="AT356" s="167"/>
      <c r="AU356" s="167"/>
      <c r="AV356" s="167"/>
      <c r="BD356" s="167"/>
      <c r="BE356" s="167"/>
      <c r="BI356" s="46"/>
      <c r="BJ356" s="46"/>
      <c r="BK356" s="176"/>
    </row>
    <row r="357" ht="15.75" customHeight="1" spans="1:100" x14ac:dyDescent="0.25">
      <c r="C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W357" s="167"/>
      <c r="X357" s="167"/>
      <c r="Y357" s="167"/>
      <c r="AD357" s="167"/>
      <c r="AE357" s="167"/>
      <c r="AF357" s="167"/>
      <c r="AL357" s="167"/>
      <c r="AM357" s="167"/>
      <c r="AN357" s="167"/>
      <c r="AT357" s="167"/>
      <c r="AU357" s="167"/>
      <c r="AV357" s="167"/>
      <c r="BD357" s="167"/>
      <c r="BE357" s="167"/>
      <c r="BI357" s="46"/>
      <c r="BJ357" s="46"/>
      <c r="BK357" s="176"/>
    </row>
    <row r="358" ht="15.75" customHeight="1" spans="1:100" x14ac:dyDescent="0.25">
      <c r="C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W358" s="167"/>
      <c r="X358" s="167"/>
      <c r="Y358" s="167"/>
      <c r="AD358" s="167"/>
      <c r="AE358" s="167"/>
      <c r="AF358" s="167"/>
      <c r="AL358" s="167"/>
      <c r="AM358" s="167"/>
      <c r="AN358" s="167"/>
      <c r="AT358" s="167"/>
      <c r="AU358" s="167"/>
      <c r="AV358" s="167"/>
      <c r="BD358" s="167"/>
      <c r="BE358" s="167"/>
      <c r="BI358" s="46"/>
      <c r="BJ358" s="46"/>
      <c r="BK358" s="176"/>
    </row>
    <row r="359" ht="15.75" customHeight="1" spans="1:100" x14ac:dyDescent="0.25">
      <c r="C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W359" s="167"/>
      <c r="X359" s="167"/>
      <c r="Y359" s="167"/>
      <c r="AD359" s="167"/>
      <c r="AE359" s="167"/>
      <c r="AF359" s="167"/>
      <c r="AL359" s="167"/>
      <c r="AM359" s="167"/>
      <c r="AN359" s="167"/>
      <c r="AT359" s="167"/>
      <c r="AU359" s="167"/>
      <c r="AV359" s="167"/>
      <c r="BD359" s="167"/>
      <c r="BE359" s="167"/>
      <c r="BI359" s="46"/>
      <c r="BJ359" s="46"/>
      <c r="BK359" s="176"/>
    </row>
    <row r="360" ht="15.75" customHeight="1" spans="1:100" x14ac:dyDescent="0.25">
      <c r="C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W360" s="167"/>
      <c r="X360" s="167"/>
      <c r="Y360" s="167"/>
      <c r="AD360" s="167"/>
      <c r="AE360" s="167"/>
      <c r="AF360" s="167"/>
      <c r="AL360" s="167"/>
      <c r="AM360" s="167"/>
      <c r="AN360" s="167"/>
      <c r="AT360" s="167"/>
      <c r="AU360" s="167"/>
      <c r="AV360" s="167"/>
      <c r="BD360" s="167"/>
      <c r="BE360" s="167"/>
      <c r="BI360" s="46"/>
      <c r="BJ360" s="46"/>
      <c r="BK360" s="176"/>
    </row>
    <row r="361" ht="15.75" customHeight="1" spans="1:100" x14ac:dyDescent="0.25">
      <c r="C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W361" s="167"/>
      <c r="X361" s="167"/>
      <c r="Y361" s="167"/>
      <c r="AD361" s="167"/>
      <c r="AE361" s="167"/>
      <c r="AF361" s="167"/>
      <c r="AL361" s="167"/>
      <c r="AM361" s="167"/>
      <c r="AN361" s="167"/>
      <c r="AT361" s="167"/>
      <c r="AU361" s="167"/>
      <c r="AV361" s="167"/>
      <c r="BD361" s="167"/>
      <c r="BE361" s="167"/>
      <c r="BI361" s="46"/>
      <c r="BJ361" s="46"/>
      <c r="BK361" s="176"/>
    </row>
    <row r="362" ht="15.75" customHeight="1" spans="1:100" x14ac:dyDescent="0.25">
      <c r="C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W362" s="167"/>
      <c r="X362" s="167"/>
      <c r="Y362" s="167"/>
      <c r="AD362" s="167"/>
      <c r="AE362" s="167"/>
      <c r="AF362" s="167"/>
      <c r="AL362" s="167"/>
      <c r="AM362" s="167"/>
      <c r="AN362" s="167"/>
      <c r="AT362" s="167"/>
      <c r="AU362" s="167"/>
      <c r="AV362" s="167"/>
      <c r="BD362" s="167"/>
      <c r="BE362" s="167"/>
      <c r="BI362" s="46"/>
      <c r="BJ362" s="46"/>
      <c r="BK362" s="176"/>
    </row>
    <row r="363" ht="15.75" customHeight="1" spans="1:100" x14ac:dyDescent="0.25">
      <c r="C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W363" s="167"/>
      <c r="X363" s="167"/>
      <c r="Y363" s="167"/>
      <c r="AD363" s="167"/>
      <c r="AE363" s="167"/>
      <c r="AF363" s="167"/>
      <c r="AL363" s="167"/>
      <c r="AM363" s="167"/>
      <c r="AN363" s="167"/>
      <c r="AT363" s="167"/>
      <c r="AU363" s="167"/>
      <c r="AV363" s="167"/>
      <c r="BD363" s="167"/>
      <c r="BE363" s="167"/>
      <c r="BI363" s="46"/>
      <c r="BJ363" s="46"/>
      <c r="BK363" s="176"/>
    </row>
    <row r="364" ht="15.75" customHeight="1" spans="1:100" x14ac:dyDescent="0.25">
      <c r="C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W364" s="167"/>
      <c r="X364" s="167"/>
      <c r="Y364" s="167"/>
      <c r="AD364" s="167"/>
      <c r="AE364" s="167"/>
      <c r="AF364" s="167"/>
      <c r="AL364" s="167"/>
      <c r="AM364" s="167"/>
      <c r="AN364" s="167"/>
      <c r="AT364" s="167"/>
      <c r="AU364" s="167"/>
      <c r="AV364" s="167"/>
      <c r="BD364" s="167"/>
      <c r="BE364" s="167"/>
      <c r="BI364" s="46"/>
      <c r="BJ364" s="46"/>
      <c r="BK364" s="176"/>
    </row>
    <row r="365" ht="15.75" customHeight="1" spans="1:100" x14ac:dyDescent="0.25">
      <c r="C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W365" s="167"/>
      <c r="X365" s="167"/>
      <c r="Y365" s="167"/>
      <c r="AD365" s="167"/>
      <c r="AE365" s="167"/>
      <c r="AF365" s="167"/>
      <c r="AL365" s="167"/>
      <c r="AM365" s="167"/>
      <c r="AN365" s="167"/>
      <c r="AT365" s="167"/>
      <c r="AU365" s="167"/>
      <c r="AV365" s="167"/>
      <c r="BD365" s="167"/>
      <c r="BE365" s="167"/>
      <c r="BI365" s="46"/>
      <c r="BJ365" s="46"/>
      <c r="BK365" s="176"/>
    </row>
    <row r="366" ht="15.75" customHeight="1" spans="1:100" x14ac:dyDescent="0.25">
      <c r="C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W366" s="167"/>
      <c r="X366" s="167"/>
      <c r="Y366" s="167"/>
      <c r="AD366" s="167"/>
      <c r="AE366" s="167"/>
      <c r="AF366" s="167"/>
      <c r="AL366" s="167"/>
      <c r="AM366" s="167"/>
      <c r="AN366" s="167"/>
      <c r="AT366" s="167"/>
      <c r="AU366" s="167"/>
      <c r="AV366" s="167"/>
      <c r="BD366" s="167"/>
      <c r="BE366" s="167"/>
      <c r="BI366" s="46"/>
      <c r="BJ366" s="46"/>
      <c r="BK366" s="176"/>
    </row>
    <row r="367" ht="15.75" customHeight="1" spans="1:100" x14ac:dyDescent="0.25">
      <c r="C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W367" s="167"/>
      <c r="X367" s="167"/>
      <c r="Y367" s="167"/>
      <c r="AD367" s="167"/>
      <c r="AE367" s="167"/>
      <c r="AF367" s="167"/>
      <c r="AL367" s="167"/>
      <c r="AM367" s="167"/>
      <c r="AN367" s="167"/>
      <c r="AT367" s="167"/>
      <c r="AU367" s="167"/>
      <c r="AV367" s="167"/>
      <c r="BD367" s="167"/>
      <c r="BE367" s="167"/>
      <c r="BI367" s="46"/>
      <c r="BJ367" s="46"/>
      <c r="BK367" s="176"/>
    </row>
    <row r="368" ht="15.75" customHeight="1" spans="1:100" x14ac:dyDescent="0.25">
      <c r="C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W368" s="167"/>
      <c r="X368" s="167"/>
      <c r="Y368" s="167"/>
      <c r="AD368" s="167"/>
      <c r="AE368" s="167"/>
      <c r="AF368" s="167"/>
      <c r="AL368" s="167"/>
      <c r="AM368" s="167"/>
      <c r="AN368" s="167"/>
      <c r="AT368" s="167"/>
      <c r="AU368" s="167"/>
      <c r="AV368" s="167"/>
      <c r="BD368" s="167"/>
      <c r="BE368" s="167"/>
      <c r="BI368" s="46"/>
      <c r="BJ368" s="46"/>
      <c r="BK368" s="176"/>
    </row>
    <row r="369" ht="15.75" customHeight="1" spans="1:100" x14ac:dyDescent="0.25">
      <c r="C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W369" s="167"/>
      <c r="X369" s="167"/>
      <c r="Y369" s="167"/>
      <c r="AD369" s="167"/>
      <c r="AE369" s="167"/>
      <c r="AF369" s="167"/>
      <c r="AL369" s="167"/>
      <c r="AM369" s="167"/>
      <c r="AN369" s="167"/>
      <c r="AT369" s="167"/>
      <c r="AU369" s="167"/>
      <c r="AV369" s="167"/>
      <c r="BD369" s="167"/>
      <c r="BE369" s="167"/>
      <c r="BI369" s="46"/>
      <c r="BJ369" s="46"/>
      <c r="BK369" s="176"/>
    </row>
    <row r="370" ht="15.75" customHeight="1" spans="1:100" x14ac:dyDescent="0.25">
      <c r="C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W370" s="167"/>
      <c r="X370" s="167"/>
      <c r="Y370" s="167"/>
      <c r="AD370" s="167"/>
      <c r="AE370" s="167"/>
      <c r="AF370" s="167"/>
      <c r="AL370" s="167"/>
      <c r="AM370" s="167"/>
      <c r="AN370" s="167"/>
      <c r="AT370" s="167"/>
      <c r="AU370" s="167"/>
      <c r="AV370" s="167"/>
      <c r="BD370" s="167"/>
      <c r="BE370" s="167"/>
      <c r="BI370" s="46"/>
      <c r="BJ370" s="46"/>
      <c r="BK370" s="176"/>
    </row>
    <row r="371" ht="15.75" customHeight="1" spans="1:100" x14ac:dyDescent="0.25">
      <c r="C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W371" s="167"/>
      <c r="X371" s="167"/>
      <c r="Y371" s="167"/>
      <c r="AD371" s="167"/>
      <c r="AE371" s="167"/>
      <c r="AF371" s="167"/>
      <c r="AL371" s="167"/>
      <c r="AM371" s="167"/>
      <c r="AN371" s="167"/>
      <c r="AT371" s="167"/>
      <c r="AU371" s="167"/>
      <c r="AV371" s="167"/>
      <c r="BD371" s="167"/>
      <c r="BE371" s="167"/>
      <c r="BI371" s="46"/>
      <c r="BJ371" s="46"/>
      <c r="BK371" s="176"/>
    </row>
    <row r="372" ht="15.75" customHeight="1" spans="1:100" x14ac:dyDescent="0.25">
      <c r="C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W372" s="167"/>
      <c r="X372" s="167"/>
      <c r="Y372" s="167"/>
      <c r="AD372" s="167"/>
      <c r="AE372" s="167"/>
      <c r="AF372" s="167"/>
      <c r="AL372" s="167"/>
      <c r="AM372" s="167"/>
      <c r="AN372" s="167"/>
      <c r="AT372" s="167"/>
      <c r="AU372" s="167"/>
      <c r="AV372" s="167"/>
      <c r="BD372" s="167"/>
      <c r="BE372" s="167"/>
      <c r="BI372" s="46"/>
      <c r="BJ372" s="46"/>
      <c r="BK372" s="176"/>
    </row>
    <row r="373" ht="15.75" customHeight="1" spans="1:100" x14ac:dyDescent="0.25">
      <c r="C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W373" s="167"/>
      <c r="X373" s="167"/>
      <c r="Y373" s="167"/>
      <c r="AD373" s="167"/>
      <c r="AE373" s="167"/>
      <c r="AF373" s="167"/>
      <c r="AL373" s="167"/>
      <c r="AM373" s="167"/>
      <c r="AN373" s="167"/>
      <c r="AT373" s="167"/>
      <c r="AU373" s="167"/>
      <c r="AV373" s="167"/>
      <c r="BD373" s="167"/>
      <c r="BE373" s="167"/>
      <c r="BI373" s="46"/>
      <c r="BJ373" s="46"/>
      <c r="BK373" s="176"/>
    </row>
    <row r="374" ht="15.75" customHeight="1" spans="1:100" x14ac:dyDescent="0.25">
      <c r="C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W374" s="167"/>
      <c r="X374" s="167"/>
      <c r="Y374" s="167"/>
      <c r="AD374" s="167"/>
      <c r="AE374" s="167"/>
      <c r="AF374" s="167"/>
      <c r="AL374" s="167"/>
      <c r="AM374" s="167"/>
      <c r="AN374" s="167"/>
      <c r="AT374" s="167"/>
      <c r="AU374" s="167"/>
      <c r="AV374" s="167"/>
      <c r="BD374" s="167"/>
      <c r="BE374" s="167"/>
      <c r="BI374" s="46"/>
      <c r="BJ374" s="46"/>
      <c r="BK374" s="176"/>
    </row>
    <row r="375" ht="15.75" customHeight="1" spans="1:100" x14ac:dyDescent="0.25">
      <c r="C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W375" s="167"/>
      <c r="X375" s="167"/>
      <c r="Y375" s="167"/>
      <c r="AD375" s="167"/>
      <c r="AE375" s="167"/>
      <c r="AF375" s="167"/>
      <c r="AL375" s="167"/>
      <c r="AM375" s="167"/>
      <c r="AN375" s="167"/>
      <c r="AT375" s="167"/>
      <c r="AU375" s="167"/>
      <c r="AV375" s="167"/>
      <c r="BD375" s="167"/>
      <c r="BE375" s="167"/>
      <c r="BI375" s="46"/>
      <c r="BJ375" s="46"/>
      <c r="BK375" s="176"/>
    </row>
    <row r="376" ht="15.75" customHeight="1" spans="1:100" x14ac:dyDescent="0.25">
      <c r="C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W376" s="167"/>
      <c r="X376" s="167"/>
      <c r="Y376" s="167"/>
      <c r="AD376" s="167"/>
      <c r="AE376" s="167"/>
      <c r="AF376" s="167"/>
      <c r="AL376" s="167"/>
      <c r="AM376" s="167"/>
      <c r="AN376" s="167"/>
      <c r="AT376" s="167"/>
      <c r="AU376" s="167"/>
      <c r="AV376" s="167"/>
      <c r="BD376" s="167"/>
      <c r="BE376" s="167"/>
      <c r="BI376" s="46"/>
      <c r="BJ376" s="46"/>
      <c r="BK376" s="176"/>
    </row>
    <row r="377" ht="15.75" customHeight="1" spans="1:100" x14ac:dyDescent="0.25">
      <c r="C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W377" s="167"/>
      <c r="X377" s="167"/>
      <c r="Y377" s="167"/>
      <c r="AD377" s="167"/>
      <c r="AE377" s="167"/>
      <c r="AF377" s="167"/>
      <c r="AL377" s="167"/>
      <c r="AM377" s="167"/>
      <c r="AN377" s="167"/>
      <c r="AT377" s="167"/>
      <c r="AU377" s="167"/>
      <c r="AV377" s="167"/>
      <c r="BD377" s="167"/>
      <c r="BE377" s="167"/>
      <c r="BI377" s="46"/>
      <c r="BJ377" s="46"/>
      <c r="BK377" s="176"/>
    </row>
    <row r="378" ht="15.75" customHeight="1" spans="1:100" x14ac:dyDescent="0.25">
      <c r="C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W378" s="167"/>
      <c r="X378" s="167"/>
      <c r="Y378" s="167"/>
      <c r="AD378" s="167"/>
      <c r="AE378" s="167"/>
      <c r="AF378" s="167"/>
      <c r="AL378" s="167"/>
      <c r="AM378" s="167"/>
      <c r="AN378" s="167"/>
      <c r="AT378" s="167"/>
      <c r="AU378" s="167"/>
      <c r="AV378" s="167"/>
      <c r="BD378" s="167"/>
      <c r="BE378" s="167"/>
      <c r="BI378" s="46"/>
      <c r="BJ378" s="46"/>
      <c r="BK378" s="176"/>
    </row>
    <row r="379" ht="15.75" customHeight="1" spans="1:100" x14ac:dyDescent="0.25">
      <c r="C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W379" s="167"/>
      <c r="X379" s="167"/>
      <c r="Y379" s="167"/>
      <c r="AD379" s="167"/>
      <c r="AE379" s="167"/>
      <c r="AF379" s="167"/>
      <c r="AL379" s="167"/>
      <c r="AM379" s="167"/>
      <c r="AN379" s="167"/>
      <c r="AT379" s="167"/>
      <c r="AU379" s="167"/>
      <c r="AV379" s="167"/>
      <c r="BD379" s="167"/>
      <c r="BE379" s="167"/>
      <c r="BI379" s="46"/>
      <c r="BJ379" s="46"/>
      <c r="BK379" s="176"/>
    </row>
    <row r="380" ht="15.75" customHeight="1" spans="1:100" x14ac:dyDescent="0.25">
      <c r="C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W380" s="167"/>
      <c r="X380" s="167"/>
      <c r="Y380" s="167"/>
      <c r="AD380" s="167"/>
      <c r="AE380" s="167"/>
      <c r="AF380" s="167"/>
      <c r="AL380" s="167"/>
      <c r="AM380" s="167"/>
      <c r="AN380" s="167"/>
      <c r="AT380" s="167"/>
      <c r="AU380" s="167"/>
      <c r="AV380" s="167"/>
      <c r="BD380" s="167"/>
      <c r="BE380" s="167"/>
      <c r="BI380" s="46"/>
      <c r="BJ380" s="46"/>
      <c r="BK380" s="176"/>
    </row>
    <row r="381" ht="15.75" customHeight="1" spans="1:100" x14ac:dyDescent="0.25">
      <c r="C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W381" s="167"/>
      <c r="X381" s="167"/>
      <c r="Y381" s="167"/>
      <c r="AD381" s="167"/>
      <c r="AE381" s="167"/>
      <c r="AF381" s="167"/>
      <c r="AL381" s="167"/>
      <c r="AM381" s="167"/>
      <c r="AN381" s="167"/>
      <c r="AT381" s="167"/>
      <c r="AU381" s="167"/>
      <c r="AV381" s="167"/>
      <c r="BD381" s="167"/>
      <c r="BE381" s="167"/>
      <c r="BI381" s="46"/>
      <c r="BJ381" s="46"/>
      <c r="BK381" s="176"/>
    </row>
    <row r="382" ht="15.75" customHeight="1" spans="1:100" x14ac:dyDescent="0.25">
      <c r="C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W382" s="167"/>
      <c r="X382" s="167"/>
      <c r="Y382" s="167"/>
      <c r="AD382" s="167"/>
      <c r="AE382" s="167"/>
      <c r="AF382" s="167"/>
      <c r="AL382" s="167"/>
      <c r="AM382" s="167"/>
      <c r="AN382" s="167"/>
      <c r="AT382" s="167"/>
      <c r="AU382" s="167"/>
      <c r="AV382" s="167"/>
      <c r="BD382" s="167"/>
      <c r="BE382" s="167"/>
      <c r="BI382" s="46"/>
      <c r="BJ382" s="46"/>
      <c r="BK382" s="176"/>
    </row>
    <row r="383" ht="15.75" customHeight="1" spans="1:100" x14ac:dyDescent="0.25">
      <c r="C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W383" s="167"/>
      <c r="X383" s="167"/>
      <c r="Y383" s="167"/>
      <c r="AD383" s="167"/>
      <c r="AE383" s="167"/>
      <c r="AF383" s="167"/>
      <c r="AL383" s="167"/>
      <c r="AM383" s="167"/>
      <c r="AN383" s="167"/>
      <c r="AT383" s="167"/>
      <c r="AU383" s="167"/>
      <c r="AV383" s="167"/>
      <c r="BD383" s="167"/>
      <c r="BE383" s="167"/>
      <c r="BI383" s="46"/>
      <c r="BJ383" s="46"/>
      <c r="BK383" s="176"/>
    </row>
    <row r="384" ht="15.75" customHeight="1" spans="1:100" x14ac:dyDescent="0.25">
      <c r="C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W384" s="167"/>
      <c r="X384" s="167"/>
      <c r="Y384" s="167"/>
      <c r="AD384" s="167"/>
      <c r="AE384" s="167"/>
      <c r="AF384" s="167"/>
      <c r="AL384" s="167"/>
      <c r="AM384" s="167"/>
      <c r="AN384" s="167"/>
      <c r="AT384" s="167"/>
      <c r="AU384" s="167"/>
      <c r="AV384" s="167"/>
      <c r="BD384" s="167"/>
      <c r="BE384" s="167"/>
      <c r="BI384" s="46"/>
      <c r="BJ384" s="46"/>
      <c r="BK384" s="176"/>
    </row>
    <row r="385" ht="15.75" customHeight="1" spans="1:100" x14ac:dyDescent="0.25">
      <c r="C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W385" s="167"/>
      <c r="X385" s="167"/>
      <c r="Y385" s="167"/>
      <c r="AD385" s="167"/>
      <c r="AE385" s="167"/>
      <c r="AF385" s="167"/>
      <c r="AL385" s="167"/>
      <c r="AM385" s="167"/>
      <c r="AN385" s="167"/>
      <c r="AT385" s="167"/>
      <c r="AU385" s="167"/>
      <c r="AV385" s="167"/>
      <c r="BD385" s="167"/>
      <c r="BE385" s="167"/>
      <c r="BI385" s="46"/>
      <c r="BJ385" s="46"/>
      <c r="BK385" s="176"/>
    </row>
    <row r="386" ht="15.75" customHeight="1" spans="1:100" x14ac:dyDescent="0.25">
      <c r="C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W386" s="167"/>
      <c r="X386" s="167"/>
      <c r="Y386" s="167"/>
      <c r="AD386" s="167"/>
      <c r="AE386" s="167"/>
      <c r="AF386" s="167"/>
      <c r="AL386" s="167"/>
      <c r="AM386" s="167"/>
      <c r="AN386" s="167"/>
      <c r="AT386" s="167"/>
      <c r="AU386" s="167"/>
      <c r="AV386" s="167"/>
      <c r="BD386" s="167"/>
      <c r="BE386" s="167"/>
      <c r="BI386" s="46"/>
      <c r="BJ386" s="46"/>
      <c r="BK386" s="176"/>
    </row>
    <row r="387" ht="15.75" customHeight="1" spans="1:100" x14ac:dyDescent="0.25">
      <c r="C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W387" s="167"/>
      <c r="X387" s="167"/>
      <c r="Y387" s="167"/>
      <c r="AD387" s="167"/>
      <c r="AE387" s="167"/>
      <c r="AF387" s="167"/>
      <c r="AL387" s="167"/>
      <c r="AM387" s="167"/>
      <c r="AN387" s="167"/>
      <c r="AT387" s="167"/>
      <c r="AU387" s="167"/>
      <c r="AV387" s="167"/>
      <c r="BD387" s="167"/>
      <c r="BE387" s="167"/>
      <c r="BI387" s="46"/>
      <c r="BJ387" s="46"/>
      <c r="BK387" s="176"/>
    </row>
    <row r="388" ht="15.75" customHeight="1" spans="1:100" x14ac:dyDescent="0.25">
      <c r="C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W388" s="167"/>
      <c r="X388" s="167"/>
      <c r="Y388" s="167"/>
      <c r="AD388" s="167"/>
      <c r="AE388" s="167"/>
      <c r="AF388" s="167"/>
      <c r="AL388" s="167"/>
      <c r="AM388" s="167"/>
      <c r="AN388" s="167"/>
      <c r="AT388" s="167"/>
      <c r="AU388" s="167"/>
      <c r="AV388" s="167"/>
      <c r="BD388" s="167"/>
      <c r="BE388" s="167"/>
      <c r="BI388" s="46"/>
      <c r="BJ388" s="46"/>
      <c r="BK388" s="176"/>
    </row>
    <row r="389" ht="15.75" customHeight="1" spans="1:100" x14ac:dyDescent="0.25">
      <c r="C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W389" s="167"/>
      <c r="X389" s="167"/>
      <c r="Y389" s="167"/>
      <c r="AD389" s="167"/>
      <c r="AE389" s="167"/>
      <c r="AF389" s="167"/>
      <c r="AL389" s="167"/>
      <c r="AM389" s="167"/>
      <c r="AN389" s="167"/>
      <c r="AT389" s="167"/>
      <c r="AU389" s="167"/>
      <c r="AV389" s="167"/>
      <c r="BD389" s="167"/>
      <c r="BE389" s="167"/>
      <c r="BI389" s="46"/>
      <c r="BJ389" s="46"/>
      <c r="BK389" s="176"/>
    </row>
    <row r="390" ht="15.75" customHeight="1" spans="1:100" x14ac:dyDescent="0.25">
      <c r="C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W390" s="167"/>
      <c r="X390" s="167"/>
      <c r="Y390" s="167"/>
      <c r="AD390" s="167"/>
      <c r="AE390" s="167"/>
      <c r="AF390" s="167"/>
      <c r="AL390" s="167"/>
      <c r="AM390" s="167"/>
      <c r="AN390" s="167"/>
      <c r="AT390" s="167"/>
      <c r="AU390" s="167"/>
      <c r="AV390" s="167"/>
      <c r="BD390" s="167"/>
      <c r="BE390" s="167"/>
      <c r="BI390" s="46"/>
      <c r="BJ390" s="46"/>
      <c r="BK390" s="176"/>
    </row>
    <row r="391" ht="15.75" customHeight="1" spans="1:100" x14ac:dyDescent="0.25">
      <c r="C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W391" s="167"/>
      <c r="X391" s="167"/>
      <c r="Y391" s="167"/>
      <c r="AD391" s="167"/>
      <c r="AE391" s="167"/>
      <c r="AF391" s="167"/>
      <c r="AL391" s="167"/>
      <c r="AM391" s="167"/>
      <c r="AN391" s="167"/>
      <c r="AT391" s="167"/>
      <c r="AU391" s="167"/>
      <c r="AV391" s="167"/>
      <c r="BD391" s="167"/>
      <c r="BE391" s="167"/>
      <c r="BI391" s="46"/>
      <c r="BJ391" s="46"/>
      <c r="BK391" s="176"/>
    </row>
    <row r="392" ht="15.75" customHeight="1" spans="1:100" x14ac:dyDescent="0.25">
      <c r="C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W392" s="167"/>
      <c r="X392" s="167"/>
      <c r="Y392" s="167"/>
      <c r="AD392" s="167"/>
      <c r="AE392" s="167"/>
      <c r="AF392" s="167"/>
      <c r="AL392" s="167"/>
      <c r="AM392" s="167"/>
      <c r="AN392" s="167"/>
      <c r="AT392" s="167"/>
      <c r="AU392" s="167"/>
      <c r="AV392" s="167"/>
      <c r="BD392" s="167"/>
      <c r="BE392" s="167"/>
      <c r="BI392" s="46"/>
      <c r="BJ392" s="46"/>
      <c r="BK392" s="176"/>
    </row>
    <row r="393" ht="15.75" customHeight="1" spans="1:100" x14ac:dyDescent="0.25">
      <c r="C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W393" s="167"/>
      <c r="X393" s="167"/>
      <c r="Y393" s="167"/>
      <c r="AD393" s="167"/>
      <c r="AE393" s="167"/>
      <c r="AF393" s="167"/>
      <c r="AL393" s="167"/>
      <c r="AM393" s="167"/>
      <c r="AN393" s="167"/>
      <c r="AT393" s="167"/>
      <c r="AU393" s="167"/>
      <c r="AV393" s="167"/>
      <c r="BD393" s="167"/>
      <c r="BE393" s="167"/>
      <c r="BI393" s="46"/>
      <c r="BJ393" s="46"/>
      <c r="BK393" s="176"/>
    </row>
    <row r="394" ht="15.75" customHeight="1" spans="1:100" x14ac:dyDescent="0.25">
      <c r="C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W394" s="167"/>
      <c r="X394" s="167"/>
      <c r="Y394" s="167"/>
      <c r="AD394" s="167"/>
      <c r="AE394" s="167"/>
      <c r="AF394" s="167"/>
      <c r="AL394" s="167"/>
      <c r="AM394" s="167"/>
      <c r="AN394" s="167"/>
      <c r="AT394" s="167"/>
      <c r="AU394" s="167"/>
      <c r="AV394" s="167"/>
      <c r="BD394" s="167"/>
      <c r="BE394" s="167"/>
      <c r="BI394" s="46"/>
      <c r="BJ394" s="46"/>
      <c r="BK394" s="176"/>
    </row>
    <row r="395" ht="15.75" customHeight="1" spans="1:100" x14ac:dyDescent="0.25">
      <c r="C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W395" s="167"/>
      <c r="X395" s="167"/>
      <c r="Y395" s="167"/>
      <c r="AD395" s="167"/>
      <c r="AE395" s="167"/>
      <c r="AF395" s="167"/>
      <c r="AL395" s="167"/>
      <c r="AM395" s="167"/>
      <c r="AN395" s="167"/>
      <c r="AT395" s="167"/>
      <c r="AU395" s="167"/>
      <c r="AV395" s="167"/>
      <c r="BD395" s="167"/>
      <c r="BE395" s="167"/>
      <c r="BI395" s="46"/>
      <c r="BJ395" s="46"/>
      <c r="BK395" s="176"/>
    </row>
    <row r="396" ht="15.75" customHeight="1" spans="1:100" x14ac:dyDescent="0.25">
      <c r="C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W396" s="167"/>
      <c r="X396" s="167"/>
      <c r="Y396" s="167"/>
      <c r="AD396" s="167"/>
      <c r="AE396" s="167"/>
      <c r="AF396" s="167"/>
      <c r="AL396" s="167"/>
      <c r="AM396" s="167"/>
      <c r="AN396" s="167"/>
      <c r="AT396" s="167"/>
      <c r="AU396" s="167"/>
      <c r="AV396" s="167"/>
      <c r="BD396" s="167"/>
      <c r="BE396" s="167"/>
      <c r="BI396" s="46"/>
      <c r="BJ396" s="46"/>
      <c r="BK396" s="176"/>
    </row>
    <row r="397" ht="15.75" customHeight="1" spans="1:100" x14ac:dyDescent="0.25">
      <c r="C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W397" s="167"/>
      <c r="X397" s="167"/>
      <c r="Y397" s="167"/>
      <c r="AD397" s="167"/>
      <c r="AE397" s="167"/>
      <c r="AF397" s="167"/>
      <c r="AL397" s="167"/>
      <c r="AM397" s="167"/>
      <c r="AN397" s="167"/>
      <c r="AT397" s="167"/>
      <c r="AU397" s="167"/>
      <c r="AV397" s="167"/>
      <c r="BD397" s="167"/>
      <c r="BE397" s="167"/>
      <c r="BI397" s="46"/>
      <c r="BJ397" s="46"/>
      <c r="BK397" s="176"/>
    </row>
    <row r="398" ht="15.75" customHeight="1" spans="1:100" x14ac:dyDescent="0.25">
      <c r="C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W398" s="167"/>
      <c r="X398" s="167"/>
      <c r="Y398" s="167"/>
      <c r="AD398" s="167"/>
      <c r="AE398" s="167"/>
      <c r="AF398" s="167"/>
      <c r="AL398" s="167"/>
      <c r="AM398" s="167"/>
      <c r="AN398" s="167"/>
      <c r="AT398" s="167"/>
      <c r="AU398" s="167"/>
      <c r="AV398" s="167"/>
      <c r="BD398" s="167"/>
      <c r="BE398" s="167"/>
      <c r="BI398" s="46"/>
      <c r="BJ398" s="46"/>
      <c r="BK398" s="176"/>
    </row>
    <row r="399" ht="15.75" customHeight="1" spans="1:100" x14ac:dyDescent="0.25">
      <c r="C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W399" s="167"/>
      <c r="X399" s="167"/>
      <c r="Y399" s="167"/>
      <c r="AD399" s="167"/>
      <c r="AE399" s="167"/>
      <c r="AF399" s="167"/>
      <c r="AL399" s="167"/>
      <c r="AM399" s="167"/>
      <c r="AN399" s="167"/>
      <c r="AT399" s="167"/>
      <c r="AU399" s="167"/>
      <c r="AV399" s="167"/>
      <c r="BD399" s="167"/>
      <c r="BE399" s="167"/>
      <c r="BI399" s="46"/>
      <c r="BJ399" s="46"/>
      <c r="BK399" s="176"/>
    </row>
    <row r="400" ht="15.75" customHeight="1" spans="1:100" x14ac:dyDescent="0.25">
      <c r="C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W400" s="167"/>
      <c r="X400" s="167"/>
      <c r="Y400" s="167"/>
      <c r="AD400" s="167"/>
      <c r="AE400" s="167"/>
      <c r="AF400" s="167"/>
      <c r="AL400" s="167"/>
      <c r="AM400" s="167"/>
      <c r="AN400" s="167"/>
      <c r="AT400" s="167"/>
      <c r="AU400" s="167"/>
      <c r="AV400" s="167"/>
      <c r="BD400" s="167"/>
      <c r="BE400" s="167"/>
      <c r="BI400" s="46"/>
      <c r="BJ400" s="46"/>
      <c r="BK400" s="176"/>
    </row>
  </sheetData>
  <autoFilter ref="A12:BG185"/>
  <mergeCells count="52">
    <mergeCell ref="D1:AZ2"/>
    <mergeCell ref="BA1:BF1"/>
    <mergeCell ref="BA2:BF2"/>
    <mergeCell ref="D3:AZ3"/>
    <mergeCell ref="BA3:BF3"/>
    <mergeCell ref="D4:L4"/>
    <mergeCell ref="N4:Y4"/>
    <mergeCell ref="Z4:AA4"/>
    <mergeCell ref="AC4:AE4"/>
    <mergeCell ref="AJ4:AO4"/>
    <mergeCell ref="AP4:AQ4"/>
    <mergeCell ref="AS4:AX4"/>
    <mergeCell ref="AY4:AZ4"/>
    <mergeCell ref="BA4:BF4"/>
    <mergeCell ref="D5:H5"/>
    <mergeCell ref="J5:S5"/>
    <mergeCell ref="U5:Y5"/>
    <mergeCell ref="AA5:AG5"/>
    <mergeCell ref="AI5:AZ5"/>
    <mergeCell ref="BA5:BG5"/>
    <mergeCell ref="D6:S6"/>
    <mergeCell ref="U6:AJ6"/>
    <mergeCell ref="AK6:AZ6"/>
    <mergeCell ref="A6:A12"/>
    <mergeCell ref="B6:B12"/>
    <mergeCell ref="AK7:AZ135"/>
    <mergeCell ref="BI8:BK8"/>
    <mergeCell ref="BL8:BN8"/>
    <mergeCell ref="BO8:BQ8"/>
    <mergeCell ref="BR8:BT8"/>
    <mergeCell ref="BU8:BW8"/>
    <mergeCell ref="BX8:BZ8"/>
    <mergeCell ref="BI9:BJ9"/>
    <mergeCell ref="BL9:BM9"/>
    <mergeCell ref="BO9:BP9"/>
    <mergeCell ref="BR9:BS9"/>
    <mergeCell ref="BU9:BV9"/>
    <mergeCell ref="BX9:BY9"/>
    <mergeCell ref="D10:AJ12"/>
    <mergeCell ref="BI10:BJ10"/>
    <mergeCell ref="BL10:BM10"/>
    <mergeCell ref="BO10:BP10"/>
    <mergeCell ref="BR10:BS10"/>
    <mergeCell ref="BU10:BV10"/>
    <mergeCell ref="BX10:BY10"/>
    <mergeCell ref="C10:C12"/>
    <mergeCell ref="BI11:BJ11"/>
    <mergeCell ref="BL11:BM11"/>
    <mergeCell ref="BO11:BP11"/>
    <mergeCell ref="BR11:BS11"/>
    <mergeCell ref="BU11:BV11"/>
    <mergeCell ref="BX11:BY11"/>
  </mergeCells>
  <conditionalFormatting sqref="D135:D199">
    <cfRule type="cellIs" dxfId="0" priority="2" operator="greaterThan">
      <formula>$D$10</formula>
    </cfRule>
  </conditionalFormatting>
  <conditionalFormatting sqref="U135">
    <cfRule type="cellIs" dxfId="1" priority="1" operator="greaterThan">
      <formula>$D$10</formula>
    </cfRule>
  </conditionalFormatting>
  <dataValidations count="1728">
    <dataValidation type="decimal" allowBlank="1" showInputMessage="1" prompt="Dear Sir/ Madam - Score entered is greater than Max. Marks allotted." showErrorMessage="1" sqref="AA108">
      <formula1>0</formula1>
      <formula2>NaN</formula2>
    </dataValidation>
    <dataValidation type="decimal" allowBlank="1" showInputMessage="1" prompt="Dear Sir/ Madam - Score entered is greater than Max. Marks allotted." showErrorMessage="1" sqref="AA109">
      <formula1>0</formula1>
      <formula2>NaN</formula2>
    </dataValidation>
    <dataValidation type="decimal" allowBlank="1" showInputMessage="1" prompt="Dear Sir/ Madam - Score entered is greater than Max. Marks allotted." showErrorMessage="1" sqref="AA110">
      <formula1>0</formula1>
      <formula2>NaN</formula2>
    </dataValidation>
    <dataValidation type="decimal" allowBlank="1" showInputMessage="1" prompt="Dear Sir/ Madam - Score entered is greater than Max. Marks allotted." showErrorMessage="1" sqref="AA111">
      <formula1>0</formula1>
      <formula2>NaN</formula2>
    </dataValidation>
    <dataValidation type="decimal" allowBlank="1" showInputMessage="1" prompt="Dear Sir/ Madam - Score entered is greater than Max. Marks allotted." showErrorMessage="1" sqref="AA112">
      <formula1>0</formula1>
      <formula2>NaN</formula2>
    </dataValidation>
    <dataValidation type="decimal" allowBlank="1" showInputMessage="1" prompt="Dear Sir/ Madam - Score entered is greater than Max. Marks allotted." showErrorMessage="1" sqref="AA113">
      <formula1>0</formula1>
      <formula2>NaN</formula2>
    </dataValidation>
    <dataValidation type="decimal" allowBlank="1" showInputMessage="1" prompt="Dear Sir/ Madam - Score entered is greater than Max. Marks allotted." showErrorMessage="1" sqref="AA114">
      <formula1>0</formula1>
      <formula2>NaN</formula2>
    </dataValidation>
    <dataValidation type="decimal" allowBlank="1" showInputMessage="1" prompt="Dear Sir/ Madam - Score entered is greater than Max. Marks allotted." showErrorMessage="1" sqref="AA115">
      <formula1>0</formula1>
      <formula2>NaN</formula2>
    </dataValidation>
    <dataValidation type="decimal" allowBlank="1" showInputMessage="1" prompt="Dear Sir/ Madam - Score entered is greater than Max. Marks allotted." showErrorMessage="1" sqref="AA116">
      <formula1>0</formula1>
      <formula2>NaN</formula2>
    </dataValidation>
    <dataValidation type="decimal" allowBlank="1" showInputMessage="1" prompt="Dear Sir/ Madam - Score entered is greater than Max. Marks allotted." showErrorMessage="1" sqref="AA117">
      <formula1>0</formula1>
      <formula2>NaN</formula2>
    </dataValidation>
    <dataValidation type="decimal" allowBlank="1" showInputMessage="1" prompt="Dear Sir/ Madam - Score entered is greater than Max. Marks allotted." showErrorMessage="1" sqref="AA118">
      <formula1>0</formula1>
      <formula2>NaN</formula2>
    </dataValidation>
    <dataValidation type="decimal" allowBlank="1" showInputMessage="1" prompt="Dear Sir/ Madam - Score entered is greater than Max. Marks allotted." showErrorMessage="1" sqref="AA119">
      <formula1>0</formula1>
      <formula2>NaN</formula2>
    </dataValidation>
    <dataValidation type="decimal" allowBlank="1" showInputMessage="1" prompt="Dear Sir/ Madam - Score entered is greater than Max. Marks allotted." showErrorMessage="1" sqref="AA120">
      <formula1>0</formula1>
      <formula2>NaN</formula2>
    </dataValidation>
    <dataValidation type="decimal" allowBlank="1" showInputMessage="1" prompt="Dear Sir/ Madam - Score entered is greater than Max. Marks allotted." showErrorMessage="1" sqref="AA121">
      <formula1>0</formula1>
      <formula2>NaN</formula2>
    </dataValidation>
    <dataValidation type="decimal" allowBlank="1" showInputMessage="1" prompt="Dear Sir/ Madam - Score entered is greater than Max. Marks allotted." showErrorMessage="1" sqref="AA122">
      <formula1>0</formula1>
      <formula2>NaN</formula2>
    </dataValidation>
    <dataValidation type="decimal" allowBlank="1" showInputMessage="1" prompt="Dear Sir/ Madam - Score entered is greater than Max. Marks allotted." showErrorMessage="1" sqref="AA123">
      <formula1>0</formula1>
      <formula2>NaN</formula2>
    </dataValidation>
    <dataValidation type="decimal" allowBlank="1" showInputMessage="1" prompt="Dear Sir/ Madam - Score entered is greater than Max. Marks allotted." showErrorMessage="1" sqref="AA124">
      <formula1>0</formula1>
      <formula2>NaN</formula2>
    </dataValidation>
    <dataValidation type="decimal" allowBlank="1" showInputMessage="1" prompt="Dear Sir/ Madam - Score entered is greater than Max. Marks allotted." showErrorMessage="1" sqref="AA125">
      <formula1>0</formula1>
      <formula2>NaN</formula2>
    </dataValidation>
    <dataValidation type="decimal" allowBlank="1" showInputMessage="1" prompt="Dear Sir/ Madam - Score entered is greater than Max. Marks allotted." showErrorMessage="1" sqref="AA126">
      <formula1>0</formula1>
      <formula2>NaN</formula2>
    </dataValidation>
    <dataValidation type="decimal" allowBlank="1" showInputMessage="1" prompt="Dear Sir/ Madam - Score entered is greater than Max. Marks allotted." showErrorMessage="1" sqref="AA127">
      <formula1>0</formula1>
      <formula2>NaN</formula2>
    </dataValidation>
    <dataValidation type="decimal" allowBlank="1" showInputMessage="1" prompt="Dear Sir/ Madam - Score entered is greater than Max. Marks allotted." showErrorMessage="1" sqref="AA128">
      <formula1>0</formula1>
      <formula2>NaN</formula2>
    </dataValidation>
    <dataValidation type="decimal" allowBlank="1" showInputMessage="1" prompt="Dear Sir/ Madam - Score entered is greater than Max. Marks allotted." showErrorMessage="1" sqref="AA129">
      <formula1>0</formula1>
      <formula2>NaN</formula2>
    </dataValidation>
    <dataValidation type="decimal" allowBlank="1" showInputMessage="1" prompt="Dear Sir/ Madam - Score entered is greater than Max. Marks allotted." showErrorMessage="1" sqref="AA130">
      <formula1>0</formula1>
      <formula2>NaN</formula2>
    </dataValidation>
    <dataValidation type="decimal" allowBlank="1" showInputMessage="1" prompt="Dear Sir/ Madam - Score entered is greater than Max. Marks allotted." showErrorMessage="1" sqref="AA131">
      <formula1>0</formula1>
      <formula2>NaN</formula2>
    </dataValidation>
    <dataValidation type="decimal" allowBlank="1" showInputMessage="1" prompt="Dear Sir/ Madam - Score entered is greater than Max. Marks allotted." showErrorMessage="1" sqref="AA132">
      <formula1>0</formula1>
      <formula2>NaN</formula2>
    </dataValidation>
    <dataValidation type="decimal" allowBlank="1" showInputMessage="1" prompt="Dear Sir/ Madam - Score entered is greater than Max. Marks allotted." showErrorMessage="1" sqref="AA133">
      <formula1>0</formula1>
      <formula2>NaN</formula2>
    </dataValidation>
    <dataValidation type="decimal" allowBlank="1" showInputMessage="1" prompt="Dear Sir/ Madam - Score entered is greater than Max. Marks allotted." showErrorMessage="1" sqref="AA134">
      <formula1>0</formula1>
      <formula2>NaN</formula2>
    </dataValidation>
    <dataValidation type="decimal" allowBlank="1" showInputMessage="1" prompt="Dear Sir/ Madam - Score entered is greater than Max. Marks allotted." showErrorMessage="1" sqref="AA135">
      <formula1>0</formula1>
      <formula2>NaN</formula2>
    </dataValidation>
    <dataValidation type="decimal" allowBlank="1" showInputMessage="1" prompt="Dear Sir/ Madam - Score entered is greater than Max. Marks allotted." showErrorMessage="1" sqref="AB100">
      <formula1>0</formula1>
      <formula2>NaN</formula2>
    </dataValidation>
    <dataValidation type="decimal" allowBlank="1" showInputMessage="1" prompt="Dear Sir/ Madam - Score entered is greater than Max. Marks allotted." showErrorMessage="1" sqref="AB101">
      <formula1>0</formula1>
      <formula2>NaN</formula2>
    </dataValidation>
    <dataValidation type="decimal" allowBlank="1" showInputMessage="1" prompt="Dear Sir/ Madam - Score entered is greater than Max. Marks allotted." showErrorMessage="1" sqref="AB102">
      <formula1>0</formula1>
      <formula2>NaN</formula2>
    </dataValidation>
    <dataValidation type="decimal" allowBlank="1" showInputMessage="1" prompt="Dear Sir/ Madam - Score entered is greater than Max. Marks allotted." showErrorMessage="1" sqref="AB103">
      <formula1>0</formula1>
      <formula2>NaN</formula2>
    </dataValidation>
    <dataValidation type="decimal" allowBlank="1" showInputMessage="1" prompt="Dear Sir/ Madam - Score entered is greater than Max. Marks allotted." showErrorMessage="1" sqref="AB104">
      <formula1>0</formula1>
      <formula2>NaN</formula2>
    </dataValidation>
    <dataValidation type="decimal" allowBlank="1" showInputMessage="1" prompt="Dear Sir/ Madam - Score entered is greater than Max. Marks allotted." showErrorMessage="1" sqref="AB105">
      <formula1>0</formula1>
      <formula2>NaN</formula2>
    </dataValidation>
    <dataValidation type="decimal" allowBlank="1" showInputMessage="1" prompt="Dear Sir/ Madam - Score entered is greater than Max. Marks allotted." showErrorMessage="1" sqref="AB106">
      <formula1>0</formula1>
      <formula2>NaN</formula2>
    </dataValidation>
    <dataValidation type="decimal" allowBlank="1" showInputMessage="1" prompt="Dear Sir/ Madam - Score entered is greater than Max. Marks allotted." showErrorMessage="1" sqref="AB107">
      <formula1>0</formula1>
      <formula2>NaN</formula2>
    </dataValidation>
    <dataValidation type="decimal" allowBlank="1" showInputMessage="1" prompt="Dear Sir/ Madam - Score entered is greater than Max. Marks allotted." showErrorMessage="1" sqref="AB108">
      <formula1>0</formula1>
      <formula2>NaN</formula2>
    </dataValidation>
    <dataValidation type="decimal" allowBlank="1" showInputMessage="1" prompt="Dear Sir/ Madam - Score entered is greater than Max. Marks allotted." showErrorMessage="1" sqref="AB109">
      <formula1>0</formula1>
      <formula2>NaN</formula2>
    </dataValidation>
    <dataValidation type="decimal" allowBlank="1" showInputMessage="1" prompt="Dear Sir/ Madam - Score entered is greater than Max. Marks allotted." showErrorMessage="1" sqref="AB110">
      <formula1>0</formula1>
      <formula2>NaN</formula2>
    </dataValidation>
    <dataValidation type="decimal" allowBlank="1" showInputMessage="1" prompt="Dear Sir/ Madam - Score entered is greater than Max. Marks allotted." showErrorMessage="1" sqref="AB111">
      <formula1>0</formula1>
      <formula2>NaN</formula2>
    </dataValidation>
    <dataValidation type="decimal" allowBlank="1" showInputMessage="1" prompt="Dear Sir/ Madam - Score entered is greater than Max. Marks allotted." showErrorMessage="1" sqref="AB112">
      <formula1>0</formula1>
      <formula2>NaN</formula2>
    </dataValidation>
    <dataValidation type="decimal" allowBlank="1" showInputMessage="1" prompt="Dear Sir/ Madam - Score entered is greater than Max. Marks allotted." showErrorMessage="1" sqref="AB113">
      <formula1>0</formula1>
      <formula2>NaN</formula2>
    </dataValidation>
    <dataValidation type="decimal" allowBlank="1" showInputMessage="1" prompt="Dear Sir/ Madam - Score entered is greater than Max. Marks allotted." showErrorMessage="1" sqref="AB114">
      <formula1>0</formula1>
      <formula2>NaN</formula2>
    </dataValidation>
    <dataValidation type="decimal" allowBlank="1" showInputMessage="1" prompt="Dear Sir/ Madam - Score entered is greater than Max. Marks allotted." showErrorMessage="1" sqref="AB115">
      <formula1>0</formula1>
      <formula2>NaN</formula2>
    </dataValidation>
    <dataValidation type="decimal" allowBlank="1" showInputMessage="1" prompt="Dear Sir/ Madam - Score entered is greater than Max. Marks allotted." showErrorMessage="1" sqref="AB116">
      <formula1>0</formula1>
      <formula2>NaN</formula2>
    </dataValidation>
    <dataValidation type="decimal" allowBlank="1" showInputMessage="1" prompt="Dear Sir/ Madam - Score entered is greater than Max. Marks allotted." showErrorMessage="1" sqref="AB117">
      <formula1>0</formula1>
      <formula2>NaN</formula2>
    </dataValidation>
    <dataValidation type="decimal" allowBlank="1" showInputMessage="1" prompt="Dear Sir/ Madam - Score entered is greater than Max. Marks allotted." showErrorMessage="1" sqref="AB118">
      <formula1>0</formula1>
      <formula2>NaN</formula2>
    </dataValidation>
    <dataValidation type="decimal" allowBlank="1" showInputMessage="1" prompt="Dear Sir/ Madam - Score entered is greater than Max. Marks allotted." showErrorMessage="1" sqref="AB119">
      <formula1>0</formula1>
      <formula2>NaN</formula2>
    </dataValidation>
    <dataValidation type="decimal" allowBlank="1" showInputMessage="1" prompt="Dear Sir/ Madam - Score entered is greater than Max. Marks allotted." showErrorMessage="1" sqref="AB120">
      <formula1>0</formula1>
      <formula2>NaN</formula2>
    </dataValidation>
    <dataValidation type="decimal" allowBlank="1" showInputMessage="1" prompt="Dear Sir/ Madam - Score entered is greater than Max. Marks allotted." showErrorMessage="1" sqref="AB121">
      <formula1>0</formula1>
      <formula2>NaN</formula2>
    </dataValidation>
    <dataValidation type="decimal" allowBlank="1" showInputMessage="1" prompt="Dear Sir/ Madam - Score entered is greater than Max. Marks allotted." showErrorMessage="1" sqref="AB122">
      <formula1>0</formula1>
      <formula2>NaN</formula2>
    </dataValidation>
    <dataValidation type="decimal" allowBlank="1" showInputMessage="1" prompt="Dear Sir/ Madam - Score entered is greater than Max. Marks allotted." showErrorMessage="1" sqref="AB123">
      <formula1>0</formula1>
      <formula2>NaN</formula2>
    </dataValidation>
    <dataValidation type="decimal" allowBlank="1" showInputMessage="1" prompt="Dear Sir/ Madam - Score entered is greater than Max. Marks allotted." showErrorMessage="1" sqref="AB124">
      <formula1>0</formula1>
      <formula2>NaN</formula2>
    </dataValidation>
    <dataValidation type="decimal" allowBlank="1" showInputMessage="1" prompt="Dear Sir/ Madam - Score entered is greater than Max. Marks allotted." showErrorMessage="1" sqref="AB125">
      <formula1>0</formula1>
      <formula2>NaN</formula2>
    </dataValidation>
    <dataValidation type="decimal" allowBlank="1" showInputMessage="1" prompt="Dear Sir/ Madam - Score entered is greater than Max. Marks allotted." showErrorMessage="1" sqref="AB126">
      <formula1>0</formula1>
      <formula2>NaN</formula2>
    </dataValidation>
    <dataValidation type="decimal" allowBlank="1" showInputMessage="1" prompt="Dear Sir/ Madam - Score entered is greater than Max. Marks allotted." showErrorMessage="1" sqref="AB127">
      <formula1>0</formula1>
      <formula2>NaN</formula2>
    </dataValidation>
    <dataValidation type="decimal" allowBlank="1" showInputMessage="1" prompt="Dear Sir/ Madam - Score entered is greater than Max. Marks allotted." showErrorMessage="1" sqref="AB128">
      <formula1>0</formula1>
      <formula2>NaN</formula2>
    </dataValidation>
    <dataValidation type="decimal" allowBlank="1" showInputMessage="1" prompt="Dear Sir/ Madam - Score entered is greater than Max. Marks allotted." showErrorMessage="1" sqref="AB129">
      <formula1>0</formula1>
      <formula2>NaN</formula2>
    </dataValidation>
    <dataValidation type="decimal" allowBlank="1" showInputMessage="1" prompt="Dear Sir/ Madam - Score entered is greater than Max. Marks allotted." showErrorMessage="1" sqref="AB130">
      <formula1>0</formula1>
      <formula2>NaN</formula2>
    </dataValidation>
    <dataValidation type="decimal" allowBlank="1" showInputMessage="1" prompt="Dear Sir/ Madam - Score entered is greater than Max. Marks allotted." showErrorMessage="1" sqref="AB131">
      <formula1>0</formula1>
      <formula2>NaN</formula2>
    </dataValidation>
    <dataValidation type="decimal" allowBlank="1" showInputMessage="1" prompt="Dear Sir/ Madam - Score entered is greater than Max. Marks allotted." showErrorMessage="1" sqref="AB132">
      <formula1>0</formula1>
      <formula2>NaN</formula2>
    </dataValidation>
    <dataValidation type="decimal" allowBlank="1" showInputMessage="1" prompt="Dear Sir/ Madam - Score entered is greater than Max. Marks allotted." showErrorMessage="1" sqref="AB133">
      <formula1>0</formula1>
      <formula2>NaN</formula2>
    </dataValidation>
    <dataValidation type="decimal" allowBlank="1" showInputMessage="1" prompt="Dear Sir/ Madam - Score entered is greater than Max. Marks allotted." showErrorMessage="1" sqref="AB134">
      <formula1>0</formula1>
      <formula2>NaN</formula2>
    </dataValidation>
    <dataValidation type="decimal" allowBlank="1" showInputMessage="1" prompt="Dear Sir/ Madam - Score entered is greater than Max. Marks allotted." showErrorMessage="1" sqref="AB135">
      <formula1>0</formula1>
      <formula2>NaN</formula2>
    </dataValidation>
    <dataValidation type="decimal" allowBlank="1" showInputMessage="1" prompt="Dear Sir/ Madam - Score entered is greater than Max. Marks allotted." showErrorMessage="1" sqref="AB24">
      <formula1>0</formula1>
      <formula2>NaN</formula2>
    </dataValidation>
    <dataValidation type="decimal" allowBlank="1" showInputMessage="1" prompt="Dear Sir/ Madam - Score entered is greater than Max. Marks allotted." showErrorMessage="1" sqref="AB25">
      <formula1>0</formula1>
      <formula2>NaN</formula2>
    </dataValidation>
    <dataValidation type="decimal" allowBlank="1" showInputMessage="1" prompt="Dear Sir/ Madam - Score entered is greater than Max. Marks allotted." showErrorMessage="1" sqref="AB26">
      <formula1>0</formula1>
      <formula2>NaN</formula2>
    </dataValidation>
    <dataValidation type="decimal" allowBlank="1" showInputMessage="1" prompt="Dear Sir/ Madam - Score entered is greater than Max. Marks allotted." showErrorMessage="1" sqref="AB27">
      <formula1>0</formula1>
      <formula2>NaN</formula2>
    </dataValidation>
    <dataValidation type="decimal" allowBlank="1" showInputMessage="1" prompt="Dear Sir/ Madam - Score entered is greater than Max. Marks allotted." showErrorMessage="1" sqref="AB28">
      <formula1>0</formula1>
      <formula2>NaN</formula2>
    </dataValidation>
    <dataValidation type="decimal" allowBlank="1" showInputMessage="1" prompt="Dear Sir/ Madam - Score entered is greater than Max. Marks allotted." showErrorMessage="1" sqref="AB29">
      <formula1>0</formula1>
      <formula2>NaN</formula2>
    </dataValidation>
    <dataValidation type="decimal" allowBlank="1" showInputMessage="1" prompt="Dear Sir/ Madam - Score entered is greater than Max. Marks allotted." showErrorMessage="1" sqref="AB30">
      <formula1>0</formula1>
      <formula2>NaN</formula2>
    </dataValidation>
    <dataValidation type="decimal" allowBlank="1" showInputMessage="1" prompt="Dear Sir/ Madam - Score entered is greater than Max. Marks allotted." showErrorMessage="1" sqref="AB31">
      <formula1>0</formula1>
      <formula2>NaN</formula2>
    </dataValidation>
    <dataValidation type="decimal" allowBlank="1" showInputMessage="1" prompt="Dear Sir/ Madam - Score entered is greater than Max. Marks allotted." showErrorMessage="1" sqref="AB32">
      <formula1>0</formula1>
      <formula2>NaN</formula2>
    </dataValidation>
    <dataValidation type="decimal" allowBlank="1" showInputMessage="1" prompt="Dear Sir/ Madam - Score entered is greater than Max. Marks allotted." showErrorMessage="1" sqref="AB33">
      <formula1>0</formula1>
      <formula2>NaN</formula2>
    </dataValidation>
    <dataValidation type="decimal" allowBlank="1" showInputMessage="1" prompt="Dear Sir/ Madam - Score entered is greater than Max. Marks allotted." showErrorMessage="1" sqref="AB34">
      <formula1>0</formula1>
      <formula2>NaN</formula2>
    </dataValidation>
    <dataValidation type="decimal" allowBlank="1" showInputMessage="1" prompt="Dear Sir/ Madam - Score entered is greater than Max. Marks allotted." showErrorMessage="1" sqref="AB35">
      <formula1>0</formula1>
      <formula2>NaN</formula2>
    </dataValidation>
    <dataValidation type="decimal" allowBlank="1" showInputMessage="1" prompt="Dear Sir/ Madam - Score entered is greater than Max. Marks allotted." showErrorMessage="1" sqref="AB36">
      <formula1>0</formula1>
      <formula2>NaN</formula2>
    </dataValidation>
    <dataValidation type="decimal" allowBlank="1" showInputMessage="1" prompt="Dear Sir/ Madam - Score entered is greater than Max. Marks allotted." showErrorMessage="1" sqref="AB37">
      <formula1>0</formula1>
      <formula2>NaN</formula2>
    </dataValidation>
    <dataValidation type="decimal" allowBlank="1" showInputMessage="1" prompt="Dear Sir/ Madam - Score entered is greater than Max. Marks allotted." showErrorMessage="1" sqref="AB38">
      <formula1>0</formula1>
      <formula2>NaN</formula2>
    </dataValidation>
    <dataValidation type="decimal" allowBlank="1" showInputMessage="1" prompt="Dear Sir/ Madam - Score entered is greater than Max. Marks allotted." showErrorMessage="1" sqref="AB39">
      <formula1>0</formula1>
      <formula2>NaN</formula2>
    </dataValidation>
    <dataValidation type="decimal" allowBlank="1" showInputMessage="1" prompt="Dear Sir/ Madam - Score entered is greater than Max. Marks allotted." showErrorMessage="1" sqref="AB40">
      <formula1>0</formula1>
      <formula2>NaN</formula2>
    </dataValidation>
    <dataValidation type="decimal" allowBlank="1" showInputMessage="1" prompt="Dear Sir/ Madam - Score entered is greater than Max. Marks allotted." showErrorMessage="1" sqref="AB41">
      <formula1>0</formula1>
      <formula2>NaN</formula2>
    </dataValidation>
    <dataValidation type="decimal" allowBlank="1" showInputMessage="1" prompt="Dear Sir/ Madam - Score entered is greater than Max. Marks allotted." showErrorMessage="1" sqref="AB42">
      <formula1>0</formula1>
      <formula2>NaN</formula2>
    </dataValidation>
    <dataValidation type="decimal" allowBlank="1" showInputMessage="1" prompt="Dear Sir/ Madam - Score entered is greater than Max. Marks allotted." showErrorMessage="1" sqref="AB43">
      <formula1>0</formula1>
      <formula2>NaN</formula2>
    </dataValidation>
    <dataValidation type="decimal" allowBlank="1" showInputMessage="1" prompt="Dear Sir/ Madam - Score entered is greater than Max. Marks allotted." showErrorMessage="1" sqref="AB44">
      <formula1>0</formula1>
      <formula2>NaN</formula2>
    </dataValidation>
    <dataValidation type="decimal" allowBlank="1" showInputMessage="1" prompt="Dear Sir/ Madam - Score entered is greater than Max. Marks allotted." showErrorMessage="1" sqref="AB45">
      <formula1>0</formula1>
      <formula2>NaN</formula2>
    </dataValidation>
    <dataValidation type="decimal" allowBlank="1" showInputMessage="1" prompt="Dear Sir/ Madam - Score entered is greater than Max. Marks allotted." showErrorMessage="1" sqref="AB46">
      <formula1>0</formula1>
      <formula2>NaN</formula2>
    </dataValidation>
    <dataValidation type="decimal" allowBlank="1" showInputMessage="1" prompt="Dear Sir/ Madam - Score entered is greater than Max. Marks allotted." showErrorMessage="1" sqref="AB47">
      <formula1>0</formula1>
      <formula2>NaN</formula2>
    </dataValidation>
    <dataValidation type="decimal" allowBlank="1" showInputMessage="1" prompt="Dear Sir/ Madam - Score entered is greater than Max. Marks allotted." showErrorMessage="1" sqref="AB48">
      <formula1>0</formula1>
      <formula2>NaN</formula2>
    </dataValidation>
    <dataValidation type="decimal" allowBlank="1" showInputMessage="1" prompt="Dear Sir/ Madam - Score entered is greater than Max. Marks allotted." showErrorMessage="1" sqref="AB49">
      <formula1>0</formula1>
      <formula2>NaN</formula2>
    </dataValidation>
    <dataValidation type="decimal" allowBlank="1" showInputMessage="1" prompt="Dear Sir/ Madam - Score entered is greater than Max. Marks allotted." showErrorMessage="1" sqref="AB50">
      <formula1>0</formula1>
      <formula2>NaN</formula2>
    </dataValidation>
    <dataValidation type="decimal" allowBlank="1" showInputMessage="1" prompt="Dear Sir/ Madam - Score entered is greater than Max. Marks allotted." showErrorMessage="1" sqref="AB51">
      <formula1>0</formula1>
      <formula2>NaN</formula2>
    </dataValidation>
    <dataValidation type="decimal" allowBlank="1" showInputMessage="1" prompt="Dear Sir/ Madam - Score entered is greater than Max. Marks allotted." showErrorMessage="1" sqref="AB52">
      <formula1>0</formula1>
      <formula2>NaN</formula2>
    </dataValidation>
    <dataValidation type="decimal" allowBlank="1" showInputMessage="1" prompt="Dear Sir/ Madam - Score entered is greater than Max. Marks allotted." showErrorMessage="1" sqref="AB53">
      <formula1>0</formula1>
      <formula2>NaN</formula2>
    </dataValidation>
    <dataValidation type="decimal" allowBlank="1" showInputMessage="1" prompt="Dear Sir/ Madam - Score entered is greater than Max. Marks allotted." showErrorMessage="1" sqref="AB54">
      <formula1>0</formula1>
      <formula2>NaN</formula2>
    </dataValidation>
    <dataValidation type="decimal" allowBlank="1" showInputMessage="1" prompt="Dear Sir/ Madam - Score entered is greater than Max. Marks allotted." showErrorMessage="1" sqref="AB55">
      <formula1>0</formula1>
      <formula2>NaN</formula2>
    </dataValidation>
    <dataValidation type="decimal" allowBlank="1" showInputMessage="1" prompt="Dear Sir/ Madam - Score entered is greater than Max. Marks allotted." showErrorMessage="1" sqref="AB56">
      <formula1>0</formula1>
      <formula2>NaN</formula2>
    </dataValidation>
    <dataValidation type="decimal" allowBlank="1" showInputMessage="1" prompt="Dear Sir/ Madam - Score entered is greater than Max. Marks allotted." showErrorMessage="1" sqref="AB57">
      <formula1>0</formula1>
      <formula2>NaN</formula2>
    </dataValidation>
    <dataValidation type="decimal" allowBlank="1" showInputMessage="1" prompt="Dear Sir/ Madam - Score entered is greater than Max. Marks allotted." showErrorMessage="1" sqref="AB58">
      <formula1>0</formula1>
      <formula2>NaN</formula2>
    </dataValidation>
    <dataValidation type="decimal" allowBlank="1" showInputMessage="1" prompt="Dear Sir/ Madam - Score entered is greater than Max. Marks allotted." showErrorMessage="1" sqref="AB59">
      <formula1>0</formula1>
      <formula2>NaN</formula2>
    </dataValidation>
    <dataValidation type="decimal" allowBlank="1" showInputMessage="1" prompt="Dear Sir/ Madam - Score entered is greater than Max. Marks allotted." showErrorMessage="1" sqref="AB60">
      <formula1>0</formula1>
      <formula2>NaN</formula2>
    </dataValidation>
    <dataValidation type="decimal" allowBlank="1" showInputMessage="1" prompt="Dear Sir/ Madam - Score entered is greater than Max. Marks allotted." showErrorMessage="1" sqref="AB61">
      <formula1>0</formula1>
      <formula2>NaN</formula2>
    </dataValidation>
    <dataValidation type="decimal" allowBlank="1" showInputMessage="1" prompt="Dear Sir/ Madam - Score entered is greater than Max. Marks allotted." showErrorMessage="1" sqref="AB62">
      <formula1>0</formula1>
      <formula2>NaN</formula2>
    </dataValidation>
    <dataValidation type="decimal" allowBlank="1" showInputMessage="1" prompt="Dear Sir/ Madam - Score entered is greater than Max. Marks allotted." showErrorMessage="1" sqref="AB63">
      <formula1>0</formula1>
      <formula2>NaN</formula2>
    </dataValidation>
    <dataValidation type="decimal" allowBlank="1" showInputMessage="1" prompt="Dear Sir/ Madam - Score entered is greater than Max. Marks allotted." showErrorMessage="1" sqref="AB64">
      <formula1>0</formula1>
      <formula2>NaN</formula2>
    </dataValidation>
    <dataValidation type="decimal" allowBlank="1" showInputMessage="1" prompt="Dear Sir/ Madam - Score entered is greater than Max. Marks allotted." showErrorMessage="1" sqref="AB65">
      <formula1>0</formula1>
      <formula2>NaN</formula2>
    </dataValidation>
    <dataValidation type="decimal" allowBlank="1" showInputMessage="1" prompt="Dear Sir/ Madam - Score entered is greater than Max. Marks allotted." showErrorMessage="1" sqref="AB66">
      <formula1>0</formula1>
      <formula2>NaN</formula2>
    </dataValidation>
    <dataValidation type="decimal" allowBlank="1" showInputMessage="1" prompt="Dear Sir/ Madam - Score entered is greater than Max. Marks allotted." showErrorMessage="1" sqref="AB67">
      <formula1>0</formula1>
      <formula2>NaN</formula2>
    </dataValidation>
    <dataValidation type="decimal" allowBlank="1" showInputMessage="1" prompt="Dear Sir/ Madam - Score entered is greater than Max. Marks allotted." showErrorMessage="1" sqref="AB68">
      <formula1>0</formula1>
      <formula2>NaN</formula2>
    </dataValidation>
    <dataValidation type="decimal" allowBlank="1" showInputMessage="1" prompt="Dear Sir/ Madam - Score entered is greater than Max. Marks allotted." showErrorMessage="1" sqref="AB69">
      <formula1>0</formula1>
      <formula2>NaN</formula2>
    </dataValidation>
    <dataValidation type="decimal" allowBlank="1" showInputMessage="1" prompt="Dear Sir/ Madam - Score entered is greater than Max. Marks allotted." showErrorMessage="1" sqref="AB74">
      <formula1>0</formula1>
      <formula2>NaN</formula2>
    </dataValidation>
    <dataValidation type="decimal" allowBlank="1" showInputMessage="1" prompt="Dear Sir/ Madam - Score entered is greater than Max. Marks allotted." showErrorMessage="1" sqref="AB75">
      <formula1>0</formula1>
      <formula2>NaN</formula2>
    </dataValidation>
    <dataValidation type="decimal" allowBlank="1" showInputMessage="1" prompt="Dear Sir/ Madam - Score entered is greater than Max. Marks allotted." showErrorMessage="1" sqref="AB76">
      <formula1>0</formula1>
      <formula2>NaN</formula2>
    </dataValidation>
    <dataValidation type="decimal" allowBlank="1" showInputMessage="1" prompt="Dear Sir/ Madam - Score entered is greater than Max. Marks allotted." showErrorMessage="1" sqref="AB77">
      <formula1>0</formula1>
      <formula2>NaN</formula2>
    </dataValidation>
    <dataValidation type="decimal" allowBlank="1" showInputMessage="1" prompt="Dear Sir/ Madam - Score entered is greater than Max. Marks allotted." showErrorMessage="1" sqref="AB78">
      <formula1>0</formula1>
      <formula2>NaN</formula2>
    </dataValidation>
    <dataValidation type="decimal" allowBlank="1" showInputMessage="1" prompt="Dear Sir/ Madam - Score entered is greater than Max. Marks allotted." showErrorMessage="1" sqref="AB79">
      <formula1>0</formula1>
      <formula2>NaN</formula2>
    </dataValidation>
    <dataValidation type="decimal" allowBlank="1" showInputMessage="1" prompt="Dear Sir/ Madam - Score entered is greater than Max. Marks allotted." showErrorMessage="1" sqref="AB80">
      <formula1>0</formula1>
      <formula2>NaN</formula2>
    </dataValidation>
    <dataValidation type="decimal" allowBlank="1" showInputMessage="1" prompt="Dear Sir/ Madam - Score entered is greater than Max. Marks allotted." showErrorMessage="1" sqref="AB81">
      <formula1>0</formula1>
      <formula2>NaN</formula2>
    </dataValidation>
    <dataValidation type="decimal" allowBlank="1" showInputMessage="1" prompt="Dear Sir/ Madam - Score entered is greater than Max. Marks allotted." showErrorMessage="1" sqref="AB82">
      <formula1>0</formula1>
      <formula2>NaN</formula2>
    </dataValidation>
    <dataValidation type="decimal" allowBlank="1" showInputMessage="1" prompt="Dear Sir/ Madam - Score entered is greater than Max. Marks allotted." showErrorMessage="1" sqref="AB83">
      <formula1>0</formula1>
      <formula2>NaN</formula2>
    </dataValidation>
    <dataValidation type="decimal" allowBlank="1" showInputMessage="1" prompt="Dear Sir/ Madam - Score entered is greater than Max. Marks allotted." showErrorMessage="1" sqref="AB84">
      <formula1>0</formula1>
      <formula2>NaN</formula2>
    </dataValidation>
    <dataValidation type="decimal" allowBlank="1" showInputMessage="1" prompt="Dear Sir/ Madam - Score entered is greater than Max. Marks allotted." showErrorMessage="1" sqref="AB85">
      <formula1>0</formula1>
      <formula2>NaN</formula2>
    </dataValidation>
    <dataValidation type="decimal" allowBlank="1" showInputMessage="1" prompt="Dear Sir/ Madam - Score entered is greater than Max. Marks allotted." showErrorMessage="1" sqref="AB86">
      <formula1>0</formula1>
      <formula2>NaN</formula2>
    </dataValidation>
    <dataValidation type="decimal" allowBlank="1" showInputMessage="1" prompt="Dear Sir/ Madam - Score entered is greater than Max. Marks allotted." showErrorMessage="1" sqref="AB87">
      <formula1>0</formula1>
      <formula2>NaN</formula2>
    </dataValidation>
    <dataValidation type="decimal" allowBlank="1" showInputMessage="1" prompt="Dear Sir/ Madam - Score entered is greater than Max. Marks allotted." showErrorMessage="1" sqref="AB88">
      <formula1>0</formula1>
      <formula2>NaN</formula2>
    </dataValidation>
    <dataValidation type="decimal" allowBlank="1" showInputMessage="1" prompt="Dear Sir/ Madam - Score entered is greater than Max. Marks allotted." showErrorMessage="1" sqref="AB89">
      <formula1>0</formula1>
      <formula2>NaN</formula2>
    </dataValidation>
    <dataValidation type="decimal" allowBlank="1" showInputMessage="1" prompt="Dear Sir/ Madam - Score entered is greater than Max. Marks allotted." showErrorMessage="1" sqref="AB90">
      <formula1>0</formula1>
      <formula2>NaN</formula2>
    </dataValidation>
    <dataValidation type="decimal" allowBlank="1" showInputMessage="1" prompt="Dear Sir/ Madam - Score entered is greater than Max. Marks allotted." showErrorMessage="1" sqref="AB91">
      <formula1>0</formula1>
      <formula2>NaN</formula2>
    </dataValidation>
    <dataValidation type="decimal" allowBlank="1" showInputMessage="1" prompt="Dear Sir/ Madam - Score entered is greater than Max. Marks allotted." showErrorMessage="1" sqref="AB92">
      <formula1>0</formula1>
      <formula2>NaN</formula2>
    </dataValidation>
    <dataValidation type="decimal" allowBlank="1" showInputMessage="1" prompt="Dear Sir/ Madam - Score entered is greater than Max. Marks allotted." showErrorMessage="1" sqref="AB93">
      <formula1>0</formula1>
      <formula2>NaN</formula2>
    </dataValidation>
    <dataValidation type="decimal" allowBlank="1" showInputMessage="1" prompt="Dear Sir/ Madam - Score entered is greater than Max. Marks allotted." showErrorMessage="1" sqref="AB94">
      <formula1>0</formula1>
      <formula2>NaN</formula2>
    </dataValidation>
    <dataValidation type="decimal" allowBlank="1" showInputMessage="1" prompt="Dear Sir/ Madam - Score entered is greater than Max. Marks allotted." showErrorMessage="1" sqref="AB95">
      <formula1>0</formula1>
      <formula2>NaN</formula2>
    </dataValidation>
    <dataValidation type="decimal" allowBlank="1" showInputMessage="1" prompt="Dear Sir/ Madam - Score entered is greater than Max. Marks allotted." showErrorMessage="1" sqref="AB96">
      <formula1>0</formula1>
      <formula2>NaN</formula2>
    </dataValidation>
    <dataValidation type="decimal" allowBlank="1" showInputMessage="1" prompt="Dear Sir/ Madam - Score entered is greater than Max. Marks allotted." showErrorMessage="1" sqref="AB97">
      <formula1>0</formula1>
      <formula2>NaN</formula2>
    </dataValidation>
    <dataValidation type="decimal" allowBlank="1" showInputMessage="1" prompt="Dear Sir/ Madam - Score entered is greater than Max. Marks allotted." showErrorMessage="1" sqref="AB98">
      <formula1>0</formula1>
      <formula2>NaN</formula2>
    </dataValidation>
    <dataValidation type="decimal" allowBlank="1" showInputMessage="1" prompt="Dear Sir/ Madam - Score entered is greater than Max. Marks allotted." showErrorMessage="1" sqref="AB99">
      <formula1>0</formula1>
      <formula2>NaN</formula2>
    </dataValidation>
    <dataValidation type="decimal" allowBlank="1" showInputMessage="1" prompt="Dear Sir/ Madam - Score entered is greater than Max. Marks allotted." showErrorMessage="1" sqref="AC108">
      <formula1>0</formula1>
      <formula2>NaN</formula2>
    </dataValidation>
    <dataValidation type="decimal" allowBlank="1" showInputMessage="1" prompt="Dear Sir/ Madam - Score entered is greater than Max. Marks allotted." showErrorMessage="1" sqref="AC109">
      <formula1>0</formula1>
      <formula2>NaN</formula2>
    </dataValidation>
    <dataValidation type="decimal" allowBlank="1" showInputMessage="1" prompt="Dear Sir/ Madam - Score entered is greater than Max. Marks allotted." showErrorMessage="1" sqref="AC110">
      <formula1>0</formula1>
      <formula2>NaN</formula2>
    </dataValidation>
    <dataValidation type="decimal" allowBlank="1" showInputMessage="1" prompt="Dear Sir/ Madam - Score entered is greater than Max. Marks allotted." showErrorMessage="1" sqref="AC111">
      <formula1>0</formula1>
      <formula2>NaN</formula2>
    </dataValidation>
    <dataValidation type="decimal" allowBlank="1" showInputMessage="1" prompt="Dear Sir/ Madam - Score entered is greater than Max. Marks allotted." showErrorMessage="1" sqref="AC112">
      <formula1>0</formula1>
      <formula2>NaN</formula2>
    </dataValidation>
    <dataValidation type="decimal" allowBlank="1" showInputMessage="1" prompt="Dear Sir/ Madam - Score entered is greater than Max. Marks allotted." showErrorMessage="1" sqref="AC113">
      <formula1>0</formula1>
      <formula2>NaN</formula2>
    </dataValidation>
    <dataValidation type="decimal" allowBlank="1" showInputMessage="1" prompt="Dear Sir/ Madam - Score entered is greater than Max. Marks allotted." showErrorMessage="1" sqref="AC114">
      <formula1>0</formula1>
      <formula2>NaN</formula2>
    </dataValidation>
    <dataValidation type="decimal" allowBlank="1" showInputMessage="1" prompt="Dear Sir/ Madam - Score entered is greater than Max. Marks allotted." showErrorMessage="1" sqref="AC115">
      <formula1>0</formula1>
      <formula2>NaN</formula2>
    </dataValidation>
    <dataValidation type="decimal" allowBlank="1" showInputMessage="1" prompt="Dear Sir/ Madam - Score entered is greater than Max. Marks allotted." showErrorMessage="1" sqref="AC116">
      <formula1>0</formula1>
      <formula2>NaN</formula2>
    </dataValidation>
    <dataValidation type="decimal" allowBlank="1" showInputMessage="1" prompt="Dear Sir/ Madam - Score entered is greater than Max. Marks allotted." showErrorMessage="1" sqref="AC117">
      <formula1>0</formula1>
      <formula2>NaN</formula2>
    </dataValidation>
    <dataValidation type="decimal" allowBlank="1" showInputMessage="1" prompt="Dear Sir/ Madam - Score entered is greater than Max. Marks allotted." showErrorMessage="1" sqref="AC118">
      <formula1>0</formula1>
      <formula2>NaN</formula2>
    </dataValidation>
    <dataValidation type="decimal" allowBlank="1" showInputMessage="1" prompt="Dear Sir/ Madam - Score entered is greater than Max. Marks allotted." showErrorMessage="1" sqref="AC119">
      <formula1>0</formula1>
      <formula2>NaN</formula2>
    </dataValidation>
    <dataValidation type="decimal" allowBlank="1" showInputMessage="1" prompt="Dear Sir/ Madam - Score entered is greater than Max. Marks allotted." showErrorMessage="1" sqref="AC120">
      <formula1>0</formula1>
      <formula2>NaN</formula2>
    </dataValidation>
    <dataValidation type="decimal" allowBlank="1" showInputMessage="1" prompt="Dear Sir/ Madam - Score entered is greater than Max. Marks allotted." showErrorMessage="1" sqref="AC121">
      <formula1>0</formula1>
      <formula2>NaN</formula2>
    </dataValidation>
    <dataValidation type="decimal" allowBlank="1" showInputMessage="1" prompt="Dear Sir/ Madam - Score entered is greater than Max. Marks allotted." showErrorMessage="1" sqref="AC122">
      <formula1>0</formula1>
      <formula2>NaN</formula2>
    </dataValidation>
    <dataValidation type="decimal" allowBlank="1" showInputMessage="1" prompt="Dear Sir/ Madam - Score entered is greater than Max. Marks allotted." showErrorMessage="1" sqref="AC123">
      <formula1>0</formula1>
      <formula2>NaN</formula2>
    </dataValidation>
    <dataValidation type="decimal" allowBlank="1" showInputMessage="1" prompt="Dear Sir/ Madam - Score entered is greater than Max. Marks allotted." showErrorMessage="1" sqref="AC124">
      <formula1>0</formula1>
      <formula2>NaN</formula2>
    </dataValidation>
    <dataValidation type="decimal" allowBlank="1" showInputMessage="1" prompt="Dear Sir/ Madam - Score entered is greater than Max. Marks allotted." showErrorMessage="1" sqref="AC125">
      <formula1>0</formula1>
      <formula2>NaN</formula2>
    </dataValidation>
    <dataValidation type="decimal" allowBlank="1" showInputMessage="1" prompt="Dear Sir/ Madam - Score entered is greater than Max. Marks allotted." showErrorMessage="1" sqref="AC126">
      <formula1>0</formula1>
      <formula2>NaN</formula2>
    </dataValidation>
    <dataValidation type="decimal" allowBlank="1" showInputMessage="1" prompt="Dear Sir/ Madam - Score entered is greater than Max. Marks allotted." showErrorMessage="1" sqref="AC127">
      <formula1>0</formula1>
      <formula2>NaN</formula2>
    </dataValidation>
    <dataValidation type="decimal" allowBlank="1" showInputMessage="1" prompt="Dear Sir/ Madam - Score entered is greater than Max. Marks allotted." showErrorMessage="1" sqref="AC128">
      <formula1>0</formula1>
      <formula2>NaN</formula2>
    </dataValidation>
    <dataValidation type="decimal" allowBlank="1" showInputMessage="1" prompt="Dear Sir/ Madam - Score entered is greater than Max. Marks allotted." showErrorMessage="1" sqref="AC129">
      <formula1>0</formula1>
      <formula2>NaN</formula2>
    </dataValidation>
    <dataValidation type="decimal" allowBlank="1" showInputMessage="1" prompt="Dear Sir/ Madam - Score entered is greater than Max. Marks allotted." showErrorMessage="1" sqref="AC130">
      <formula1>0</formula1>
      <formula2>NaN</formula2>
    </dataValidation>
    <dataValidation type="decimal" allowBlank="1" showInputMessage="1" prompt="Dear Sir/ Madam - Score entered is greater than Max. Marks allotted." showErrorMessage="1" sqref="AC131">
      <formula1>0</formula1>
      <formula2>NaN</formula2>
    </dataValidation>
    <dataValidation type="decimal" allowBlank="1" showInputMessage="1" prompt="Dear Sir/ Madam - Score entered is greater than Max. Marks allotted." showErrorMessage="1" sqref="AC132">
      <formula1>0</formula1>
      <formula2>NaN</formula2>
    </dataValidation>
    <dataValidation type="decimal" allowBlank="1" showInputMessage="1" prompt="Dear Sir/ Madam - Score entered is greater than Max. Marks allotted." showErrorMessage="1" sqref="AC133">
      <formula1>0</formula1>
      <formula2>NaN</formula2>
    </dataValidation>
    <dataValidation type="decimal" allowBlank="1" showInputMessage="1" prompt="Dear Sir/ Madam - Score entered is greater than Max. Marks allotted." showErrorMessage="1" sqref="AC134">
      <formula1>0</formula1>
      <formula2>NaN</formula2>
    </dataValidation>
    <dataValidation type="decimal" allowBlank="1" showInputMessage="1" prompt="Dear Sir/ Madam - Score entered is greater than Max. Marks allotted." showErrorMessage="1" sqref="AC135">
      <formula1>0</formula1>
      <formula2>NaN</formula2>
    </dataValidation>
    <dataValidation type="decimal" allowBlank="1" showInputMessage="1" prompt="Dear Sir/ Madam - Score entered is greater than Max. Marks allotted." showErrorMessage="1" sqref="AD108">
      <formula1>0</formula1>
      <formula2>NaN</formula2>
    </dataValidation>
    <dataValidation type="decimal" allowBlank="1" showInputMessage="1" prompt="Dear Sir/ Madam - Score entered is greater than Max. Marks allotted." showErrorMessage="1" sqref="AD109">
      <formula1>0</formula1>
      <formula2>NaN</formula2>
    </dataValidation>
    <dataValidation type="decimal" allowBlank="1" showInputMessage="1" prompt="Dear Sir/ Madam - Score entered is greater than Max. Marks allotted." showErrorMessage="1" sqref="AD110">
      <formula1>0</formula1>
      <formula2>NaN</formula2>
    </dataValidation>
    <dataValidation type="decimal" allowBlank="1" showInputMessage="1" prompt="Dear Sir/ Madam - Score entered is greater than Max. Marks allotted." showErrorMessage="1" sqref="AD111">
      <formula1>0</formula1>
      <formula2>NaN</formula2>
    </dataValidation>
    <dataValidation type="decimal" allowBlank="1" showInputMessage="1" prompt="Dear Sir/ Madam - Score entered is greater than Max. Marks allotted." showErrorMessage="1" sqref="AD112">
      <formula1>0</formula1>
      <formula2>NaN</formula2>
    </dataValidation>
    <dataValidation type="decimal" allowBlank="1" showInputMessage="1" prompt="Dear Sir/ Madam - Score entered is greater than Max. Marks allotted." showErrorMessage="1" sqref="AD113">
      <formula1>0</formula1>
      <formula2>NaN</formula2>
    </dataValidation>
    <dataValidation type="decimal" allowBlank="1" showInputMessage="1" prompt="Dear Sir/ Madam - Score entered is greater than Max. Marks allotted." showErrorMessage="1" sqref="AD114">
      <formula1>0</formula1>
      <formula2>NaN</formula2>
    </dataValidation>
    <dataValidation type="decimal" allowBlank="1" showInputMessage="1" prompt="Dear Sir/ Madam - Score entered is greater than Max. Marks allotted." showErrorMessage="1" sqref="AD115">
      <formula1>0</formula1>
      <formula2>NaN</formula2>
    </dataValidation>
    <dataValidation type="decimal" allowBlank="1" showInputMessage="1" prompt="Dear Sir/ Madam - Score entered is greater than Max. Marks allotted." showErrorMessage="1" sqref="AD116">
      <formula1>0</formula1>
      <formula2>NaN</formula2>
    </dataValidation>
    <dataValidation type="decimal" allowBlank="1" showInputMessage="1" prompt="Dear Sir/ Madam - Score entered is greater than Max. Marks allotted." showErrorMessage="1" sqref="AD117">
      <formula1>0</formula1>
      <formula2>NaN</formula2>
    </dataValidation>
    <dataValidation type="decimal" allowBlank="1" showInputMessage="1" prompt="Dear Sir/ Madam - Score entered is greater than Max. Marks allotted." showErrorMessage="1" sqref="AD118">
      <formula1>0</formula1>
      <formula2>NaN</formula2>
    </dataValidation>
    <dataValidation type="decimal" allowBlank="1" showInputMessage="1" prompt="Dear Sir/ Madam - Score entered is greater than Max. Marks allotted." showErrorMessage="1" sqref="AD119">
      <formula1>0</formula1>
      <formula2>NaN</formula2>
    </dataValidation>
    <dataValidation type="decimal" allowBlank="1" showInputMessage="1" prompt="Dear Sir/ Madam - Score entered is greater than Max. Marks allotted." showErrorMessage="1" sqref="AD120">
      <formula1>0</formula1>
      <formula2>NaN</formula2>
    </dataValidation>
    <dataValidation type="decimal" allowBlank="1" showInputMessage="1" prompt="Dear Sir/ Madam - Score entered is greater than Max. Marks allotted." showErrorMessage="1" sqref="AD121">
      <formula1>0</formula1>
      <formula2>NaN</formula2>
    </dataValidation>
    <dataValidation type="decimal" allowBlank="1" showInputMessage="1" prompt="Dear Sir/ Madam - Score entered is greater than Max. Marks allotted." showErrorMessage="1" sqref="AD122">
      <formula1>0</formula1>
      <formula2>NaN</formula2>
    </dataValidation>
    <dataValidation type="decimal" allowBlank="1" showInputMessage="1" prompt="Dear Sir/ Madam - Score entered is greater than Max. Marks allotted." showErrorMessage="1" sqref="AD123">
      <formula1>0</formula1>
      <formula2>NaN</formula2>
    </dataValidation>
    <dataValidation type="decimal" allowBlank="1" showInputMessage="1" prompt="Dear Sir/ Madam - Score entered is greater than Max. Marks allotted." showErrorMessage="1" sqref="AD124">
      <formula1>0</formula1>
      <formula2>NaN</formula2>
    </dataValidation>
    <dataValidation type="decimal" allowBlank="1" showInputMessage="1" prompt="Dear Sir/ Madam - Score entered is greater than Max. Marks allotted." showErrorMessage="1" sqref="AD125">
      <formula1>0</formula1>
      <formula2>NaN</formula2>
    </dataValidation>
    <dataValidation type="decimal" allowBlank="1" showInputMessage="1" prompt="Dear Sir/ Madam - Score entered is greater than Max. Marks allotted." showErrorMessage="1" sqref="AD126">
      <formula1>0</formula1>
      <formula2>NaN</formula2>
    </dataValidation>
    <dataValidation type="decimal" allowBlank="1" showInputMessage="1" prompt="Dear Sir/ Madam - Score entered is greater than Max. Marks allotted." showErrorMessage="1" sqref="AD127">
      <formula1>0</formula1>
      <formula2>NaN</formula2>
    </dataValidation>
    <dataValidation type="decimal" allowBlank="1" showInputMessage="1" prompt="Dear Sir/ Madam - Score entered is greater than Max. Marks allotted." showErrorMessage="1" sqref="AD128">
      <formula1>0</formula1>
      <formula2>NaN</formula2>
    </dataValidation>
    <dataValidation type="decimal" allowBlank="1" showInputMessage="1" prompt="Dear Sir/ Madam - Score entered is greater than Max. Marks allotted." showErrorMessage="1" sqref="AD129">
      <formula1>0</formula1>
      <formula2>NaN</formula2>
    </dataValidation>
    <dataValidation type="decimal" allowBlank="1" showInputMessage="1" prompt="Dear Sir/ Madam - Score entered is greater than Max. Marks allotted." showErrorMessage="1" sqref="AD130">
      <formula1>0</formula1>
      <formula2>NaN</formula2>
    </dataValidation>
    <dataValidation type="decimal" allowBlank="1" showInputMessage="1" prompt="Dear Sir/ Madam - Score entered is greater than Max. Marks allotted." showErrorMessage="1" sqref="AD131">
      <formula1>0</formula1>
      <formula2>NaN</formula2>
    </dataValidation>
    <dataValidation type="decimal" allowBlank="1" showInputMessage="1" prompt="Dear Sir/ Madam - Score entered is greater than Max. Marks allotted." showErrorMessage="1" sqref="AD132">
      <formula1>0</formula1>
      <formula2>NaN</formula2>
    </dataValidation>
    <dataValidation type="decimal" allowBlank="1" showInputMessage="1" prompt="Dear Sir/ Madam - Score entered is greater than Max. Marks allotted." showErrorMessage="1" sqref="AD133">
      <formula1>0</formula1>
      <formula2>NaN</formula2>
    </dataValidation>
    <dataValidation type="decimal" allowBlank="1" showInputMessage="1" prompt="Dear Sir/ Madam - Score entered is greater than Max. Marks allotted." showErrorMessage="1" sqref="AD134">
      <formula1>0</formula1>
      <formula2>NaN</formula2>
    </dataValidation>
    <dataValidation type="decimal" allowBlank="1" showInputMessage="1" prompt="Dear Sir/ Madam - Score entered is greater than Max. Marks allotted." showErrorMessage="1" sqref="AD135">
      <formula1>0</formula1>
      <formula2>NaN</formula2>
    </dataValidation>
    <dataValidation type="decimal" allowBlank="1" showInputMessage="1" prompt="Dear Sir/ Madam - Score entered is greater than Max. Marks allotted." showErrorMessage="1" sqref="AE108">
      <formula1>0</formula1>
      <formula2>NaN</formula2>
    </dataValidation>
    <dataValidation type="decimal" allowBlank="1" showInputMessage="1" prompt="Dear Sir/ Madam - Score entered is greater than Max. Marks allotted." showErrorMessage="1" sqref="AE109">
      <formula1>0</formula1>
      <formula2>NaN</formula2>
    </dataValidation>
    <dataValidation type="decimal" allowBlank="1" showInputMessage="1" prompt="Dear Sir/ Madam - Score entered is greater than Max. Marks allotted." showErrorMessage="1" sqref="AE110">
      <formula1>0</formula1>
      <formula2>NaN</formula2>
    </dataValidation>
    <dataValidation type="decimal" allowBlank="1" showInputMessage="1" prompt="Dear Sir/ Madam - Score entered is greater than Max. Marks allotted." showErrorMessage="1" sqref="AE111">
      <formula1>0</formula1>
      <formula2>NaN</formula2>
    </dataValidation>
    <dataValidation type="decimal" allowBlank="1" showInputMessage="1" prompt="Dear Sir/ Madam - Score entered is greater than Max. Marks allotted." showErrorMessage="1" sqref="AE112">
      <formula1>0</formula1>
      <formula2>NaN</formula2>
    </dataValidation>
    <dataValidation type="decimal" allowBlank="1" showInputMessage="1" prompt="Dear Sir/ Madam - Score entered is greater than Max. Marks allotted." showErrorMessage="1" sqref="AE113">
      <formula1>0</formula1>
      <formula2>NaN</formula2>
    </dataValidation>
    <dataValidation type="decimal" allowBlank="1" showInputMessage="1" prompt="Dear Sir/ Madam - Score entered is greater than Max. Marks allotted." showErrorMessage="1" sqref="AE114">
      <formula1>0</formula1>
      <formula2>NaN</formula2>
    </dataValidation>
    <dataValidation type="decimal" allowBlank="1" showInputMessage="1" prompt="Dear Sir/ Madam - Score entered is greater than Max. Marks allotted." showErrorMessage="1" sqref="AE115">
      <formula1>0</formula1>
      <formula2>NaN</formula2>
    </dataValidation>
    <dataValidation type="decimal" allowBlank="1" showInputMessage="1" prompt="Dear Sir/ Madam - Score entered is greater than Max. Marks allotted." showErrorMessage="1" sqref="AE116">
      <formula1>0</formula1>
      <formula2>NaN</formula2>
    </dataValidation>
    <dataValidation type="decimal" allowBlank="1" showInputMessage="1" prompt="Dear Sir/ Madam - Score entered is greater than Max. Marks allotted." showErrorMessage="1" sqref="AE117">
      <formula1>0</formula1>
      <formula2>NaN</formula2>
    </dataValidation>
    <dataValidation type="decimal" allowBlank="1" showInputMessage="1" prompt="Dear Sir/ Madam - Score entered is greater than Max. Marks allotted." showErrorMessage="1" sqref="AE118">
      <formula1>0</formula1>
      <formula2>NaN</formula2>
    </dataValidation>
    <dataValidation type="decimal" allowBlank="1" showInputMessage="1" prompt="Dear Sir/ Madam - Score entered is greater than Max. Marks allotted." showErrorMessage="1" sqref="AE119">
      <formula1>0</formula1>
      <formula2>NaN</formula2>
    </dataValidation>
    <dataValidation type="decimal" allowBlank="1" showInputMessage="1" prompt="Dear Sir/ Madam - Score entered is greater than Max. Marks allotted." showErrorMessage="1" sqref="AE120">
      <formula1>0</formula1>
      <formula2>NaN</formula2>
    </dataValidation>
    <dataValidation type="decimal" allowBlank="1" showInputMessage="1" prompt="Dear Sir/ Madam - Score entered is greater than Max. Marks allotted." showErrorMessage="1" sqref="AE121">
      <formula1>0</formula1>
      <formula2>NaN</formula2>
    </dataValidation>
    <dataValidation type="decimal" allowBlank="1" showInputMessage="1" prompt="Dear Sir/ Madam - Score entered is greater than Max. Marks allotted." showErrorMessage="1" sqref="AE122">
      <formula1>0</formula1>
      <formula2>NaN</formula2>
    </dataValidation>
    <dataValidation type="decimal" allowBlank="1" showInputMessage="1" prompt="Dear Sir/ Madam - Score entered is greater than Max. Marks allotted." showErrorMessage="1" sqref="AE123">
      <formula1>0</formula1>
      <formula2>NaN</formula2>
    </dataValidation>
    <dataValidation type="decimal" allowBlank="1" showInputMessage="1" prompt="Dear Sir/ Madam - Score entered is greater than Max. Marks allotted." showErrorMessage="1" sqref="AE124">
      <formula1>0</formula1>
      <formula2>NaN</formula2>
    </dataValidation>
    <dataValidation type="decimal" allowBlank="1" showInputMessage="1" prompt="Dear Sir/ Madam - Score entered is greater than Max. Marks allotted." showErrorMessage="1" sqref="AE125">
      <formula1>0</formula1>
      <formula2>NaN</formula2>
    </dataValidation>
    <dataValidation type="decimal" allowBlank="1" showInputMessage="1" prompt="Dear Sir/ Madam - Score entered is greater than Max. Marks allotted." showErrorMessage="1" sqref="AE126">
      <formula1>0</formula1>
      <formula2>NaN</formula2>
    </dataValidation>
    <dataValidation type="decimal" allowBlank="1" showInputMessage="1" prompt="Dear Sir/ Madam - Score entered is greater than Max. Marks allotted." showErrorMessage="1" sqref="AE127">
      <formula1>0</formula1>
      <formula2>NaN</formula2>
    </dataValidation>
    <dataValidation type="decimal" allowBlank="1" showInputMessage="1" prompt="Dear Sir/ Madam - Score entered is greater than Max. Marks allotted." showErrorMessage="1" sqref="AE128">
      <formula1>0</formula1>
      <formula2>NaN</formula2>
    </dataValidation>
    <dataValidation type="decimal" allowBlank="1" showInputMessage="1" prompt="Dear Sir/ Madam - Score entered is greater than Max. Marks allotted." showErrorMessage="1" sqref="AE129">
      <formula1>0</formula1>
      <formula2>NaN</formula2>
    </dataValidation>
    <dataValidation type="decimal" allowBlank="1" showInputMessage="1" prompt="Dear Sir/ Madam - Score entered is greater than Max. Marks allotted." showErrorMessage="1" sqref="AE130">
      <formula1>0</formula1>
      <formula2>NaN</formula2>
    </dataValidation>
    <dataValidation type="decimal" allowBlank="1" showInputMessage="1" prompt="Dear Sir/ Madam - Score entered is greater than Max. Marks allotted." showErrorMessage="1" sqref="AE131">
      <formula1>0</formula1>
      <formula2>NaN</formula2>
    </dataValidation>
    <dataValidation type="decimal" allowBlank="1" showInputMessage="1" prompt="Dear Sir/ Madam - Score entered is greater than Max. Marks allotted." showErrorMessage="1" sqref="AE132">
      <formula1>0</formula1>
      <formula2>NaN</formula2>
    </dataValidation>
    <dataValidation type="decimal" allowBlank="1" showInputMessage="1" prompt="Dear Sir/ Madam - Score entered is greater than Max. Marks allotted." showErrorMessage="1" sqref="AE133">
      <formula1>0</formula1>
      <formula2>NaN</formula2>
    </dataValidation>
    <dataValidation type="decimal" allowBlank="1" showInputMessage="1" prompt="Dear Sir/ Madam - Score entered is greater than Max. Marks allotted." showErrorMessage="1" sqref="AE134">
      <formula1>0</formula1>
      <formula2>NaN</formula2>
    </dataValidation>
    <dataValidation type="decimal" allowBlank="1" showInputMessage="1" prompt="Dear Sir/ Madam - Score entered is greater than Max. Marks allotted." showErrorMessage="1" sqref="AE135">
      <formula1>0</formula1>
      <formula2>NaN</formula2>
    </dataValidation>
    <dataValidation type="decimal" allowBlank="1" showInputMessage="1" prompt="Dear Sir/ Madam - Score entered is greater than Max. Marks allotted." showErrorMessage="1" sqref="AF108">
      <formula1>0</formula1>
      <formula2>NaN</formula2>
    </dataValidation>
    <dataValidation type="decimal" allowBlank="1" showInputMessage="1" prompt="Dear Sir/ Madam - Score entered is greater than Max. Marks allotted." showErrorMessage="1" sqref="AF109">
      <formula1>0</formula1>
      <formula2>NaN</formula2>
    </dataValidation>
    <dataValidation type="decimal" allowBlank="1" showInputMessage="1" prompt="Dear Sir/ Madam - Score entered is greater than Max. Marks allotted." showErrorMessage="1" sqref="AF110">
      <formula1>0</formula1>
      <formula2>NaN</formula2>
    </dataValidation>
    <dataValidation type="decimal" allowBlank="1" showInputMessage="1" prompt="Dear Sir/ Madam - Score entered is greater than Max. Marks allotted." showErrorMessage="1" sqref="AF111">
      <formula1>0</formula1>
      <formula2>NaN</formula2>
    </dataValidation>
    <dataValidation type="decimal" allowBlank="1" showInputMessage="1" prompt="Dear Sir/ Madam - Score entered is greater than Max. Marks allotted." showErrorMessage="1" sqref="AF112">
      <formula1>0</formula1>
      <formula2>NaN</formula2>
    </dataValidation>
    <dataValidation type="decimal" allowBlank="1" showInputMessage="1" prompt="Dear Sir/ Madam - Score entered is greater than Max. Marks allotted." showErrorMessage="1" sqref="AF113">
      <formula1>0</formula1>
      <formula2>NaN</formula2>
    </dataValidation>
    <dataValidation type="decimal" allowBlank="1" showInputMessage="1" prompt="Dear Sir/ Madam - Score entered is greater than Max. Marks allotted." showErrorMessage="1" sqref="AF114">
      <formula1>0</formula1>
      <formula2>NaN</formula2>
    </dataValidation>
    <dataValidation type="decimal" allowBlank="1" showInputMessage="1" prompt="Dear Sir/ Madam - Score entered is greater than Max. Marks allotted." showErrorMessage="1" sqref="AF115">
      <formula1>0</formula1>
      <formula2>NaN</formula2>
    </dataValidation>
    <dataValidation type="decimal" allowBlank="1" showInputMessage="1" prompt="Dear Sir/ Madam - Score entered is greater than Max. Marks allotted." showErrorMessage="1" sqref="AF116">
      <formula1>0</formula1>
      <formula2>NaN</formula2>
    </dataValidation>
    <dataValidation type="decimal" allowBlank="1" showInputMessage="1" prompt="Dear Sir/ Madam - Score entered is greater than Max. Marks allotted." showErrorMessage="1" sqref="AF117">
      <formula1>0</formula1>
      <formula2>NaN</formula2>
    </dataValidation>
    <dataValidation type="decimal" allowBlank="1" showInputMessage="1" prompt="Dear Sir/ Madam - Score entered is greater than Max. Marks allotted." showErrorMessage="1" sqref="AF118">
      <formula1>0</formula1>
      <formula2>NaN</formula2>
    </dataValidation>
    <dataValidation type="decimal" allowBlank="1" showInputMessage="1" prompt="Dear Sir/ Madam - Score entered is greater than Max. Marks allotted." showErrorMessage="1" sqref="AF119">
      <formula1>0</formula1>
      <formula2>NaN</formula2>
    </dataValidation>
    <dataValidation type="decimal" allowBlank="1" showInputMessage="1" prompt="Dear Sir/ Madam - Score entered is greater than Max. Marks allotted." showErrorMessage="1" sqref="AF120">
      <formula1>0</formula1>
      <formula2>NaN</formula2>
    </dataValidation>
    <dataValidation type="decimal" allowBlank="1" showInputMessage="1" prompt="Dear Sir/ Madam - Score entered is greater than Max. Marks allotted." showErrorMessage="1" sqref="AF121">
      <formula1>0</formula1>
      <formula2>NaN</formula2>
    </dataValidation>
    <dataValidation type="decimal" allowBlank="1" showInputMessage="1" prompt="Dear Sir/ Madam - Score entered is greater than Max. Marks allotted." showErrorMessage="1" sqref="AF122">
      <formula1>0</formula1>
      <formula2>NaN</formula2>
    </dataValidation>
    <dataValidation type="decimal" allowBlank="1" showInputMessage="1" prompt="Dear Sir/ Madam - Score entered is greater than Max. Marks allotted." showErrorMessage="1" sqref="AF123">
      <formula1>0</formula1>
      <formula2>NaN</formula2>
    </dataValidation>
    <dataValidation type="decimal" allowBlank="1" showInputMessage="1" prompt="Dear Sir/ Madam - Score entered is greater than Max. Marks allotted." showErrorMessage="1" sqref="AF124">
      <formula1>0</formula1>
      <formula2>NaN</formula2>
    </dataValidation>
    <dataValidation type="decimal" allowBlank="1" showInputMessage="1" prompt="Dear Sir/ Madam - Score entered is greater than Max. Marks allotted." showErrorMessage="1" sqref="AF125">
      <formula1>0</formula1>
      <formula2>NaN</formula2>
    </dataValidation>
    <dataValidation type="decimal" allowBlank="1" showInputMessage="1" prompt="Dear Sir/ Madam - Score entered is greater than Max. Marks allotted." showErrorMessage="1" sqref="AF126">
      <formula1>0</formula1>
      <formula2>NaN</formula2>
    </dataValidation>
    <dataValidation type="decimal" allowBlank="1" showInputMessage="1" prompt="Dear Sir/ Madam - Score entered is greater than Max. Marks allotted." showErrorMessage="1" sqref="AF127">
      <formula1>0</formula1>
      <formula2>NaN</formula2>
    </dataValidation>
    <dataValidation type="decimal" allowBlank="1" showInputMessage="1" prompt="Dear Sir/ Madam - Score entered is greater than Max. Marks allotted." showErrorMessage="1" sqref="AF128">
      <formula1>0</formula1>
      <formula2>NaN</formula2>
    </dataValidation>
    <dataValidation type="decimal" allowBlank="1" showInputMessage="1" prompt="Dear Sir/ Madam - Score entered is greater than Max. Marks allotted." showErrorMessage="1" sqref="AF129">
      <formula1>0</formula1>
      <formula2>NaN</formula2>
    </dataValidation>
    <dataValidation type="decimal" allowBlank="1" showInputMessage="1" prompt="Dear Sir/ Madam - Score entered is greater than Max. Marks allotted." showErrorMessage="1" sqref="AF130">
      <formula1>0</formula1>
      <formula2>NaN</formula2>
    </dataValidation>
    <dataValidation type="decimal" allowBlank="1" showInputMessage="1" prompt="Dear Sir/ Madam - Score entered is greater than Max. Marks allotted." showErrorMessage="1" sqref="AF131">
      <formula1>0</formula1>
      <formula2>NaN</formula2>
    </dataValidation>
    <dataValidation type="decimal" allowBlank="1" showInputMessage="1" prompt="Dear Sir/ Madam - Score entered is greater than Max. Marks allotted." showErrorMessage="1" sqref="AF132">
      <formula1>0</formula1>
      <formula2>NaN</formula2>
    </dataValidation>
    <dataValidation type="decimal" allowBlank="1" showInputMessage="1" prompt="Dear Sir/ Madam - Score entered is greater than Max. Marks allotted." showErrorMessage="1" sqref="AF133">
      <formula1>0</formula1>
      <formula2>NaN</formula2>
    </dataValidation>
    <dataValidation type="decimal" allowBlank="1" showInputMessage="1" prompt="Dear Sir/ Madam - Score entered is greater than Max. Marks allotted." showErrorMessage="1" sqref="AF134">
      <formula1>0</formula1>
      <formula2>NaN</formula2>
    </dataValidation>
    <dataValidation type="decimal" allowBlank="1" showInputMessage="1" prompt="Dear Sir/ Madam - Score entered is greater than Max. Marks allotted." showErrorMessage="1" sqref="AF135">
      <formula1>0</formula1>
      <formula2>NaN</formula2>
    </dataValidation>
    <dataValidation type="decimal" allowBlank="1" showInputMessage="1" prompt="Dear Sir/ Madam - Score entered is greater than Max. Marks allotted." showErrorMessage="1" sqref="AG108">
      <formula1>0</formula1>
      <formula2>NaN</formula2>
    </dataValidation>
    <dataValidation type="decimal" allowBlank="1" showInputMessage="1" prompt="Dear Sir/ Madam - Score entered is greater than Max. Marks allotted." showErrorMessage="1" sqref="AG109">
      <formula1>0</formula1>
      <formula2>NaN</formula2>
    </dataValidation>
    <dataValidation type="decimal" allowBlank="1" showInputMessage="1" prompt="Dear Sir/ Madam - Score entered is greater than Max. Marks allotted." showErrorMessage="1" sqref="AG110">
      <formula1>0</formula1>
      <formula2>NaN</formula2>
    </dataValidation>
    <dataValidation type="decimal" allowBlank="1" showInputMessage="1" prompt="Dear Sir/ Madam - Score entered is greater than Max. Marks allotted." showErrorMessage="1" sqref="AG111">
      <formula1>0</formula1>
      <formula2>NaN</formula2>
    </dataValidation>
    <dataValidation type="decimal" allowBlank="1" showInputMessage="1" prompt="Dear Sir/ Madam - Score entered is greater than Max. Marks allotted." showErrorMessage="1" sqref="AG112">
      <formula1>0</formula1>
      <formula2>NaN</formula2>
    </dataValidation>
    <dataValidation type="decimal" allowBlank="1" showInputMessage="1" prompt="Dear Sir/ Madam - Score entered is greater than Max. Marks allotted." showErrorMessage="1" sqref="AG113">
      <formula1>0</formula1>
      <formula2>NaN</formula2>
    </dataValidation>
    <dataValidation type="decimal" allowBlank="1" showInputMessage="1" prompt="Dear Sir/ Madam - Score entered is greater than Max. Marks allotted." showErrorMessage="1" sqref="AG114">
      <formula1>0</formula1>
      <formula2>NaN</formula2>
    </dataValidation>
    <dataValidation type="decimal" allowBlank="1" showInputMessage="1" prompt="Dear Sir/ Madam - Score entered is greater than Max. Marks allotted." showErrorMessage="1" sqref="AG115">
      <formula1>0</formula1>
      <formula2>NaN</formula2>
    </dataValidation>
    <dataValidation type="decimal" allowBlank="1" showInputMessage="1" prompt="Dear Sir/ Madam - Score entered is greater than Max. Marks allotted." showErrorMessage="1" sqref="AG116">
      <formula1>0</formula1>
      <formula2>NaN</formula2>
    </dataValidation>
    <dataValidation type="decimal" allowBlank="1" showInputMessage="1" prompt="Dear Sir/ Madam - Score entered is greater than Max. Marks allotted." showErrorMessage="1" sqref="AG117">
      <formula1>0</formula1>
      <formula2>NaN</formula2>
    </dataValidation>
    <dataValidation type="decimal" allowBlank="1" showInputMessage="1" prompt="Dear Sir/ Madam - Score entered is greater than Max. Marks allotted." showErrorMessage="1" sqref="AG118">
      <formula1>0</formula1>
      <formula2>NaN</formula2>
    </dataValidation>
    <dataValidation type="decimal" allowBlank="1" showInputMessage="1" prompt="Dear Sir/ Madam - Score entered is greater than Max. Marks allotted." showErrorMessage="1" sqref="AG119">
      <formula1>0</formula1>
      <formula2>NaN</formula2>
    </dataValidation>
    <dataValidation type="decimal" allowBlank="1" showInputMessage="1" prompt="Dear Sir/ Madam - Score entered is greater than Max. Marks allotted." showErrorMessage="1" sqref="AG120">
      <formula1>0</formula1>
      <formula2>NaN</formula2>
    </dataValidation>
    <dataValidation type="decimal" allowBlank="1" showInputMessage="1" prompt="Dear Sir/ Madam - Score entered is greater than Max. Marks allotted." showErrorMessage="1" sqref="AG121">
      <formula1>0</formula1>
      <formula2>NaN</formula2>
    </dataValidation>
    <dataValidation type="decimal" allowBlank="1" showInputMessage="1" prompt="Dear Sir/ Madam - Score entered is greater than Max. Marks allotted." showErrorMessage="1" sqref="AG122">
      <formula1>0</formula1>
      <formula2>NaN</formula2>
    </dataValidation>
    <dataValidation type="decimal" allowBlank="1" showInputMessage="1" prompt="Dear Sir/ Madam - Score entered is greater than Max. Marks allotted." showErrorMessage="1" sqref="AG123">
      <formula1>0</formula1>
      <formula2>NaN</formula2>
    </dataValidation>
    <dataValidation type="decimal" allowBlank="1" showInputMessage="1" prompt="Dear Sir/ Madam - Score entered is greater than Max. Marks allotted." showErrorMessage="1" sqref="AG124">
      <formula1>0</formula1>
      <formula2>NaN</formula2>
    </dataValidation>
    <dataValidation type="decimal" allowBlank="1" showInputMessage="1" prompt="Dear Sir/ Madam - Score entered is greater than Max. Marks allotted." showErrorMessage="1" sqref="AG125">
      <formula1>0</formula1>
      <formula2>NaN</formula2>
    </dataValidation>
    <dataValidation type="decimal" allowBlank="1" showInputMessage="1" prompt="Dear Sir/ Madam - Score entered is greater than Max. Marks allotted." showErrorMessage="1" sqref="AG126">
      <formula1>0</formula1>
      <formula2>NaN</formula2>
    </dataValidation>
    <dataValidation type="decimal" allowBlank="1" showInputMessage="1" prompt="Dear Sir/ Madam - Score entered is greater than Max. Marks allotted." showErrorMessage="1" sqref="AG127">
      <formula1>0</formula1>
      <formula2>NaN</formula2>
    </dataValidation>
    <dataValidation type="decimal" allowBlank="1" showInputMessage="1" prompt="Dear Sir/ Madam - Score entered is greater than Max. Marks allotted." showErrorMessage="1" sqref="AG128">
      <formula1>0</formula1>
      <formula2>NaN</formula2>
    </dataValidation>
    <dataValidation type="decimal" allowBlank="1" showInputMessage="1" prompt="Dear Sir/ Madam - Score entered is greater than Max. Marks allotted." showErrorMessage="1" sqref="AG129">
      <formula1>0</formula1>
      <formula2>NaN</formula2>
    </dataValidation>
    <dataValidation type="decimal" allowBlank="1" showInputMessage="1" prompt="Dear Sir/ Madam - Score entered is greater than Max. Marks allotted." showErrorMessage="1" sqref="AG130">
      <formula1>0</formula1>
      <formula2>NaN</formula2>
    </dataValidation>
    <dataValidation type="decimal" allowBlank="1" showInputMessage="1" prompt="Dear Sir/ Madam - Score entered is greater than Max. Marks allotted." showErrorMessage="1" sqref="AG131">
      <formula1>0</formula1>
      <formula2>NaN</formula2>
    </dataValidation>
    <dataValidation type="decimal" allowBlank="1" showInputMessage="1" prompt="Dear Sir/ Madam - Score entered is greater than Max. Marks allotted." showErrorMessage="1" sqref="AG132">
      <formula1>0</formula1>
      <formula2>NaN</formula2>
    </dataValidation>
    <dataValidation type="decimal" allowBlank="1" showInputMessage="1" prompt="Dear Sir/ Madam - Score entered is greater than Max. Marks allotted." showErrorMessage="1" sqref="AG133">
      <formula1>0</formula1>
      <formula2>NaN</formula2>
    </dataValidation>
    <dataValidation type="decimal" allowBlank="1" showInputMessage="1" prompt="Dear Sir/ Madam - Score entered is greater than Max. Marks allotted." showErrorMessage="1" sqref="AG134">
      <formula1>0</formula1>
      <formula2>NaN</formula2>
    </dataValidation>
    <dataValidation type="decimal" allowBlank="1" showInputMessage="1" prompt="Dear Sir/ Madam - Score entered is greater than Max. Marks allotted." showErrorMessage="1" sqref="AG135">
      <formula1>0</formula1>
      <formula2>NaN</formula2>
    </dataValidation>
    <dataValidation type="decimal" allowBlank="1" showInputMessage="1" prompt="Dear Sir/ Madam - Score entered is greater than Max. Marks allotted." showErrorMessage="1" sqref="AH108">
      <formula1>0</formula1>
      <formula2>NaN</formula2>
    </dataValidation>
    <dataValidation type="decimal" allowBlank="1" showInputMessage="1" prompt="Dear Sir/ Madam - Score entered is greater than Max. Marks allotted." showErrorMessage="1" sqref="AH109">
      <formula1>0</formula1>
      <formula2>NaN</formula2>
    </dataValidation>
    <dataValidation type="decimal" allowBlank="1" showInputMessage="1" prompt="Dear Sir/ Madam - Score entered is greater than Max. Marks allotted." showErrorMessage="1" sqref="AH110">
      <formula1>0</formula1>
      <formula2>NaN</formula2>
    </dataValidation>
    <dataValidation type="decimal" allowBlank="1" showInputMessage="1" prompt="Dear Sir/ Madam - Score entered is greater than Max. Marks allotted." showErrorMessage="1" sqref="AH111">
      <formula1>0</formula1>
      <formula2>NaN</formula2>
    </dataValidation>
    <dataValidation type="decimal" allowBlank="1" showInputMessage="1" prompt="Dear Sir/ Madam - Score entered is greater than Max. Marks allotted." showErrorMessage="1" sqref="AH112">
      <formula1>0</formula1>
      <formula2>NaN</formula2>
    </dataValidation>
    <dataValidation type="decimal" allowBlank="1" showInputMessage="1" prompt="Dear Sir/ Madam - Score entered is greater than Max. Marks allotted." showErrorMessage="1" sqref="AH113">
      <formula1>0</formula1>
      <formula2>NaN</formula2>
    </dataValidation>
    <dataValidation type="decimal" allowBlank="1" showInputMessage="1" prompt="Dear Sir/ Madam - Score entered is greater than Max. Marks allotted." showErrorMessage="1" sqref="AH114">
      <formula1>0</formula1>
      <formula2>NaN</formula2>
    </dataValidation>
    <dataValidation type="decimal" allowBlank="1" showInputMessage="1" prompt="Dear Sir/ Madam - Score entered is greater than Max. Marks allotted." showErrorMessage="1" sqref="AH115">
      <formula1>0</formula1>
      <formula2>NaN</formula2>
    </dataValidation>
    <dataValidation type="decimal" allowBlank="1" showInputMessage="1" prompt="Dear Sir/ Madam - Score entered is greater than Max. Marks allotted." showErrorMessage="1" sqref="AH116">
      <formula1>0</formula1>
      <formula2>NaN</formula2>
    </dataValidation>
    <dataValidation type="decimal" allowBlank="1" showInputMessage="1" prompt="Dear Sir/ Madam - Score entered is greater than Max. Marks allotted." showErrorMessage="1" sqref="AH117">
      <formula1>0</formula1>
      <formula2>NaN</formula2>
    </dataValidation>
    <dataValidation type="decimal" allowBlank="1" showInputMessage="1" prompt="Dear Sir/ Madam - Score entered is greater than Max. Marks allotted." showErrorMessage="1" sqref="AH118">
      <formula1>0</formula1>
      <formula2>NaN</formula2>
    </dataValidation>
    <dataValidation type="decimal" allowBlank="1" showInputMessage="1" prompt="Dear Sir/ Madam - Score entered is greater than Max. Marks allotted." showErrorMessage="1" sqref="AH119">
      <formula1>0</formula1>
      <formula2>NaN</formula2>
    </dataValidation>
    <dataValidation type="decimal" allowBlank="1" showInputMessage="1" prompt="Dear Sir/ Madam - Score entered is greater than Max. Marks allotted." showErrorMessage="1" sqref="AH120">
      <formula1>0</formula1>
      <formula2>NaN</formula2>
    </dataValidation>
    <dataValidation type="decimal" allowBlank="1" showInputMessage="1" prompt="Dear Sir/ Madam - Score entered is greater than Max. Marks allotted." showErrorMessage="1" sqref="AH121">
      <formula1>0</formula1>
      <formula2>NaN</formula2>
    </dataValidation>
    <dataValidation type="decimal" allowBlank="1" showInputMessage="1" prompt="Dear Sir/ Madam - Score entered is greater than Max. Marks allotted." showErrorMessage="1" sqref="AH122">
      <formula1>0</formula1>
      <formula2>NaN</formula2>
    </dataValidation>
    <dataValidation type="decimal" allowBlank="1" showInputMessage="1" prompt="Dear Sir/ Madam - Score entered is greater than Max. Marks allotted." showErrorMessage="1" sqref="AH123">
      <formula1>0</formula1>
      <formula2>NaN</formula2>
    </dataValidation>
    <dataValidation type="decimal" allowBlank="1" showInputMessage="1" prompt="Dear Sir/ Madam - Score entered is greater than Max. Marks allotted." showErrorMessage="1" sqref="AH124">
      <formula1>0</formula1>
      <formula2>NaN</formula2>
    </dataValidation>
    <dataValidation type="decimal" allowBlank="1" showInputMessage="1" prompt="Dear Sir/ Madam - Score entered is greater than Max. Marks allotted." showErrorMessage="1" sqref="AH125">
      <formula1>0</formula1>
      <formula2>NaN</formula2>
    </dataValidation>
    <dataValidation type="decimal" allowBlank="1" showInputMessage="1" prompt="Dear Sir/ Madam - Score entered is greater than Max. Marks allotted." showErrorMessage="1" sqref="AH126">
      <formula1>0</formula1>
      <formula2>NaN</formula2>
    </dataValidation>
    <dataValidation type="decimal" allowBlank="1" showInputMessage="1" prompt="Dear Sir/ Madam - Score entered is greater than Max. Marks allotted." showErrorMessage="1" sqref="AH127">
      <formula1>0</formula1>
      <formula2>NaN</formula2>
    </dataValidation>
    <dataValidation type="decimal" allowBlank="1" showInputMessage="1" prompt="Dear Sir/ Madam - Score entered is greater than Max. Marks allotted." showErrorMessage="1" sqref="AH128">
      <formula1>0</formula1>
      <formula2>NaN</formula2>
    </dataValidation>
    <dataValidation type="decimal" allowBlank="1" showInputMessage="1" prompt="Dear Sir/ Madam - Score entered is greater than Max. Marks allotted." showErrorMessage="1" sqref="AH129">
      <formula1>0</formula1>
      <formula2>NaN</formula2>
    </dataValidation>
    <dataValidation type="decimal" allowBlank="1" showInputMessage="1" prompt="Dear Sir/ Madam - Score entered is greater than Max. Marks allotted." showErrorMessage="1" sqref="AH130">
      <formula1>0</formula1>
      <formula2>NaN</formula2>
    </dataValidation>
    <dataValidation type="decimal" allowBlank="1" showInputMessage="1" prompt="Dear Sir/ Madam - Score entered is greater than Max. Marks allotted." showErrorMessage="1" sqref="AH131">
      <formula1>0</formula1>
      <formula2>NaN</formula2>
    </dataValidation>
    <dataValidation type="decimal" allowBlank="1" showInputMessage="1" prompt="Dear Sir/ Madam - Score entered is greater than Max. Marks allotted." showErrorMessage="1" sqref="AH132">
      <formula1>0</formula1>
      <formula2>NaN</formula2>
    </dataValidation>
    <dataValidation type="decimal" allowBlank="1" showInputMessage="1" prompt="Dear Sir/ Madam - Score entered is greater than Max. Marks allotted." showErrorMessage="1" sqref="AH133">
      <formula1>0</formula1>
      <formula2>NaN</formula2>
    </dataValidation>
    <dataValidation type="decimal" allowBlank="1" showInputMessage="1" prompt="Dear Sir/ Madam - Score entered is greater than Max. Marks allotted." showErrorMessage="1" sqref="AH134">
      <formula1>0</formula1>
      <formula2>NaN</formula2>
    </dataValidation>
    <dataValidation type="decimal" allowBlank="1" showInputMessage="1" prompt="Dear Sir/ Madam - Score entered is greater than Max. Marks allotted." showErrorMessage="1" sqref="AH135">
      <formula1>0</formula1>
      <formula2>NaN</formula2>
    </dataValidation>
    <dataValidation type="decimal" allowBlank="1" showInputMessage="1" prompt="Dear Sir/ Madam - Score entered is greater than Max. Marks allotted." showErrorMessage="1" sqref="AI108">
      <formula1>0</formula1>
      <formula2>NaN</formula2>
    </dataValidation>
    <dataValidation type="decimal" allowBlank="1" showInputMessage="1" prompt="Dear Sir/ Madam - Score entered is greater than Max. Marks allotted." showErrorMessage="1" sqref="AI109">
      <formula1>0</formula1>
      <formula2>NaN</formula2>
    </dataValidation>
    <dataValidation type="decimal" allowBlank="1" showInputMessage="1" prompt="Dear Sir/ Madam - Score entered is greater than Max. Marks allotted." showErrorMessage="1" sqref="AI110">
      <formula1>0</formula1>
      <formula2>NaN</formula2>
    </dataValidation>
    <dataValidation type="decimal" allowBlank="1" showInputMessage="1" prompt="Dear Sir/ Madam - Score entered is greater than Max. Marks allotted." showErrorMessage="1" sqref="AI111">
      <formula1>0</formula1>
      <formula2>NaN</formula2>
    </dataValidation>
    <dataValidation type="decimal" allowBlank="1" showInputMessage="1" prompt="Dear Sir/ Madam - Score entered is greater than Max. Marks allotted." showErrorMessage="1" sqref="AI112">
      <formula1>0</formula1>
      <formula2>NaN</formula2>
    </dataValidation>
    <dataValidation type="decimal" allowBlank="1" showInputMessage="1" prompt="Dear Sir/ Madam - Score entered is greater than Max. Marks allotted." showErrorMessage="1" sqref="AI113">
      <formula1>0</formula1>
      <formula2>NaN</formula2>
    </dataValidation>
    <dataValidation type="decimal" allowBlank="1" showInputMessage="1" prompt="Dear Sir/ Madam - Score entered is greater than Max. Marks allotted." showErrorMessage="1" sqref="AI114">
      <formula1>0</formula1>
      <formula2>NaN</formula2>
    </dataValidation>
    <dataValidation type="decimal" allowBlank="1" showInputMessage="1" prompt="Dear Sir/ Madam - Score entered is greater than Max. Marks allotted." showErrorMessage="1" sqref="AI115">
      <formula1>0</formula1>
      <formula2>NaN</formula2>
    </dataValidation>
    <dataValidation type="decimal" allowBlank="1" showInputMessage="1" prompt="Dear Sir/ Madam - Score entered is greater than Max. Marks allotted." showErrorMessage="1" sqref="AI116">
      <formula1>0</formula1>
      <formula2>NaN</formula2>
    </dataValidation>
    <dataValidation type="decimal" allowBlank="1" showInputMessage="1" prompt="Dear Sir/ Madam - Score entered is greater than Max. Marks allotted." showErrorMessage="1" sqref="AI117">
      <formula1>0</formula1>
      <formula2>NaN</formula2>
    </dataValidation>
    <dataValidation type="decimal" allowBlank="1" showInputMessage="1" prompt="Dear Sir/ Madam - Score entered is greater than Max. Marks allotted." showErrorMessage="1" sqref="AI118">
      <formula1>0</formula1>
      <formula2>NaN</formula2>
    </dataValidation>
    <dataValidation type="decimal" allowBlank="1" showInputMessage="1" prompt="Dear Sir/ Madam - Score entered is greater than Max. Marks allotted." showErrorMessage="1" sqref="AI119">
      <formula1>0</formula1>
      <formula2>NaN</formula2>
    </dataValidation>
    <dataValidation type="decimal" allowBlank="1" showInputMessage="1" prompt="Dear Sir/ Madam - Score entered is greater than Max. Marks allotted." showErrorMessage="1" sqref="AI120">
      <formula1>0</formula1>
      <formula2>NaN</formula2>
    </dataValidation>
    <dataValidation type="decimal" allowBlank="1" showInputMessage="1" prompt="Dear Sir/ Madam - Score entered is greater than Max. Marks allotted." showErrorMessage="1" sqref="AI121">
      <formula1>0</formula1>
      <formula2>NaN</formula2>
    </dataValidation>
    <dataValidation type="decimal" allowBlank="1" showInputMessage="1" prompt="Dear Sir/ Madam - Score entered is greater than Max. Marks allotted." showErrorMessage="1" sqref="AI122">
      <formula1>0</formula1>
      <formula2>NaN</formula2>
    </dataValidation>
    <dataValidation type="decimal" allowBlank="1" showInputMessage="1" prompt="Dear Sir/ Madam - Score entered is greater than Max. Marks allotted." showErrorMessage="1" sqref="AI123">
      <formula1>0</formula1>
      <formula2>NaN</formula2>
    </dataValidation>
    <dataValidation type="decimal" allowBlank="1" showInputMessage="1" prompt="Dear Sir/ Madam - Score entered is greater than Max. Marks allotted." showErrorMessage="1" sqref="AI124">
      <formula1>0</formula1>
      <formula2>NaN</formula2>
    </dataValidation>
    <dataValidation type="decimal" allowBlank="1" showInputMessage="1" prompt="Dear Sir/ Madam - Score entered is greater than Max. Marks allotted." showErrorMessage="1" sqref="AI125">
      <formula1>0</formula1>
      <formula2>NaN</formula2>
    </dataValidation>
    <dataValidation type="decimal" allowBlank="1" showInputMessage="1" prompt="Dear Sir/ Madam - Score entered is greater than Max. Marks allotted." showErrorMessage="1" sqref="AI126">
      <formula1>0</formula1>
      <formula2>NaN</formula2>
    </dataValidation>
    <dataValidation type="decimal" allowBlank="1" showInputMessage="1" prompt="Dear Sir/ Madam - Score entered is greater than Max. Marks allotted." showErrorMessage="1" sqref="AI127">
      <formula1>0</formula1>
      <formula2>NaN</formula2>
    </dataValidation>
    <dataValidation type="decimal" allowBlank="1" showInputMessage="1" prompt="Dear Sir/ Madam - Score entered is greater than Max. Marks allotted." showErrorMessage="1" sqref="AI128">
      <formula1>0</formula1>
      <formula2>NaN</formula2>
    </dataValidation>
    <dataValidation type="decimal" allowBlank="1" showInputMessage="1" prompt="Dear Sir/ Madam - Score entered is greater than Max. Marks allotted." showErrorMessage="1" sqref="AI129">
      <formula1>0</formula1>
      <formula2>NaN</formula2>
    </dataValidation>
    <dataValidation type="decimal" allowBlank="1" showInputMessage="1" prompt="Dear Sir/ Madam - Score entered is greater than Max. Marks allotted." showErrorMessage="1" sqref="AI130">
      <formula1>0</formula1>
      <formula2>NaN</formula2>
    </dataValidation>
    <dataValidation type="decimal" allowBlank="1" showInputMessage="1" prompt="Dear Sir/ Madam - Score entered is greater than Max. Marks allotted." showErrorMessage="1" sqref="AI131">
      <formula1>0</formula1>
      <formula2>NaN</formula2>
    </dataValidation>
    <dataValidation type="decimal" allowBlank="1" showInputMessage="1" prompt="Dear Sir/ Madam - Score entered is greater than Max. Marks allotted." showErrorMessage="1" sqref="AI132">
      <formula1>0</formula1>
      <formula2>NaN</formula2>
    </dataValidation>
    <dataValidation type="decimal" allowBlank="1" showInputMessage="1" prompt="Dear Sir/ Madam - Score entered is greater than Max. Marks allotted." showErrorMessage="1" sqref="AI133">
      <formula1>0</formula1>
      <formula2>NaN</formula2>
    </dataValidation>
    <dataValidation type="decimal" allowBlank="1" showInputMessage="1" prompt="Dear Sir/ Madam - Score entered is greater than Max. Marks allotted." showErrorMessage="1" sqref="AI134">
      <formula1>0</formula1>
      <formula2>NaN</formula2>
    </dataValidation>
    <dataValidation type="decimal" allowBlank="1" showInputMessage="1" prompt="Dear Sir/ Madam - Score entered is greater than Max. Marks allotted." showErrorMessage="1" sqref="AI135">
      <formula1>0</formula1>
      <formula2>NaN</formula2>
    </dataValidation>
    <dataValidation type="decimal" allowBlank="1" showInputMessage="1" prompt="Dear Sir/ Madam - Score entered is greater than Max. Marks allotted." showErrorMessage="1" sqref="AJ108">
      <formula1>0</formula1>
      <formula2>NaN</formula2>
    </dataValidation>
    <dataValidation type="decimal" allowBlank="1" showInputMessage="1" prompt="Dear Sir/ Madam - Score entered is greater than Max. Marks allotted." showErrorMessage="1" sqref="AJ109">
      <formula1>0</formula1>
      <formula2>NaN</formula2>
    </dataValidation>
    <dataValidation type="decimal" allowBlank="1" showInputMessage="1" prompt="Dear Sir/ Madam - Score entered is greater than Max. Marks allotted." showErrorMessage="1" sqref="AJ110">
      <formula1>0</formula1>
      <formula2>NaN</formula2>
    </dataValidation>
    <dataValidation type="decimal" allowBlank="1" showInputMessage="1" prompt="Dear Sir/ Madam - Score entered is greater than Max. Marks allotted." showErrorMessage="1" sqref="AJ111">
      <formula1>0</formula1>
      <formula2>NaN</formula2>
    </dataValidation>
    <dataValidation type="decimal" allowBlank="1" showInputMessage="1" prompt="Dear Sir/ Madam - Score entered is greater than Max. Marks allotted." showErrorMessage="1" sqref="AJ112">
      <formula1>0</formula1>
      <formula2>NaN</formula2>
    </dataValidation>
    <dataValidation type="decimal" allowBlank="1" showInputMessage="1" prompt="Dear Sir/ Madam - Score entered is greater than Max. Marks allotted." showErrorMessage="1" sqref="AJ113">
      <formula1>0</formula1>
      <formula2>NaN</formula2>
    </dataValidation>
    <dataValidation type="decimal" allowBlank="1" showInputMessage="1" prompt="Dear Sir/ Madam - Score entered is greater than Max. Marks allotted." showErrorMessage="1" sqref="AJ114">
      <formula1>0</formula1>
      <formula2>NaN</formula2>
    </dataValidation>
    <dataValidation type="decimal" allowBlank="1" showInputMessage="1" prompt="Dear Sir/ Madam - Score entered is greater than Max. Marks allotted." showErrorMessage="1" sqref="AJ115">
      <formula1>0</formula1>
      <formula2>NaN</formula2>
    </dataValidation>
    <dataValidation type="decimal" allowBlank="1" showInputMessage="1" prompt="Dear Sir/ Madam - Score entered is greater than Max. Marks allotted." showErrorMessage="1" sqref="AJ116">
      <formula1>0</formula1>
      <formula2>NaN</formula2>
    </dataValidation>
    <dataValidation type="decimal" allowBlank="1" showInputMessage="1" prompt="Dear Sir/ Madam - Score entered is greater than Max. Marks allotted." showErrorMessage="1" sqref="AJ117">
      <formula1>0</formula1>
      <formula2>NaN</formula2>
    </dataValidation>
    <dataValidation type="decimal" allowBlank="1" showInputMessage="1" prompt="Dear Sir/ Madam - Score entered is greater than Max. Marks allotted." showErrorMessage="1" sqref="AJ118">
      <formula1>0</formula1>
      <formula2>NaN</formula2>
    </dataValidation>
    <dataValidation type="decimal" allowBlank="1" showInputMessage="1" prompt="Dear Sir/ Madam - Score entered is greater than Max. Marks allotted." showErrorMessage="1" sqref="AJ119">
      <formula1>0</formula1>
      <formula2>NaN</formula2>
    </dataValidation>
    <dataValidation type="decimal" allowBlank="1" showInputMessage="1" prompt="Dear Sir/ Madam - Score entered is greater than Max. Marks allotted." showErrorMessage="1" sqref="AJ120">
      <formula1>0</formula1>
      <formula2>NaN</formula2>
    </dataValidation>
    <dataValidation type="decimal" allowBlank="1" showInputMessage="1" prompt="Dear Sir/ Madam - Score entered is greater than Max. Marks allotted." showErrorMessage="1" sqref="AJ121">
      <formula1>0</formula1>
      <formula2>NaN</formula2>
    </dataValidation>
    <dataValidation type="decimal" allowBlank="1" showInputMessage="1" prompt="Dear Sir/ Madam - Score entered is greater than Max. Marks allotted." showErrorMessage="1" sqref="AJ122">
      <formula1>0</formula1>
      <formula2>NaN</formula2>
    </dataValidation>
    <dataValidation type="decimal" allowBlank="1" showInputMessage="1" prompt="Dear Sir/ Madam - Score entered is greater than Max. Marks allotted." showErrorMessage="1" sqref="AJ123">
      <formula1>0</formula1>
      <formula2>NaN</formula2>
    </dataValidation>
    <dataValidation type="decimal" allowBlank="1" showInputMessage="1" prompt="Dear Sir/ Madam - Score entered is greater than Max. Marks allotted." showErrorMessage="1" sqref="AJ124">
      <formula1>0</formula1>
      <formula2>NaN</formula2>
    </dataValidation>
    <dataValidation type="decimal" allowBlank="1" showInputMessage="1" prompt="Dear Sir/ Madam - Score entered is greater than Max. Marks allotted." showErrorMessage="1" sqref="AJ125">
      <formula1>0</formula1>
      <formula2>NaN</formula2>
    </dataValidation>
    <dataValidation type="decimal" allowBlank="1" showInputMessage="1" prompt="Dear Sir/ Madam - Score entered is greater than Max. Marks allotted." showErrorMessage="1" sqref="AJ126">
      <formula1>0</formula1>
      <formula2>NaN</formula2>
    </dataValidation>
    <dataValidation type="decimal" allowBlank="1" showInputMessage="1" prompt="Dear Sir/ Madam - Score entered is greater than Max. Marks allotted." showErrorMessage="1" sqref="AJ127">
      <formula1>0</formula1>
      <formula2>NaN</formula2>
    </dataValidation>
    <dataValidation type="decimal" allowBlank="1" showInputMessage="1" prompt="Dear Sir/ Madam - Score entered is greater than Max. Marks allotted." showErrorMessage="1" sqref="AJ128">
      <formula1>0</formula1>
      <formula2>NaN</formula2>
    </dataValidation>
    <dataValidation type="decimal" allowBlank="1" showInputMessage="1" prompt="Dear Sir/ Madam - Score entered is greater than Max. Marks allotted." showErrorMessage="1" sqref="AJ129">
      <formula1>0</formula1>
      <formula2>NaN</formula2>
    </dataValidation>
    <dataValidation type="decimal" allowBlank="1" showInputMessage="1" prompt="Dear Sir/ Madam - Score entered is greater than Max. Marks allotted." showErrorMessage="1" sqref="AJ130">
      <formula1>0</formula1>
      <formula2>NaN</formula2>
    </dataValidation>
    <dataValidation type="decimal" allowBlank="1" showInputMessage="1" prompt="Dear Sir/ Madam - Score entered is greater than Max. Marks allotted." showErrorMessage="1" sqref="AJ131">
      <formula1>0</formula1>
      <formula2>NaN</formula2>
    </dataValidation>
    <dataValidation type="decimal" allowBlank="1" showInputMessage="1" prompt="Dear Sir/ Madam - Score entered is greater than Max. Marks allotted." showErrorMessage="1" sqref="AJ132">
      <formula1>0</formula1>
      <formula2>NaN</formula2>
    </dataValidation>
    <dataValidation type="decimal" allowBlank="1" showInputMessage="1" prompt="Dear Sir/ Madam - Score entered is greater than Max. Marks allotted." showErrorMessage="1" sqref="AJ133">
      <formula1>0</formula1>
      <formula2>NaN</formula2>
    </dataValidation>
    <dataValidation type="decimal" allowBlank="1" showInputMessage="1" prompt="Dear Sir/ Madam - Score entered is greater than Max. Marks allotted." showErrorMessage="1" sqref="AJ134">
      <formula1>0</formula1>
      <formula2>NaN</formula2>
    </dataValidation>
    <dataValidation type="decimal" allowBlank="1" showInputMessage="1" prompt="Dear Sir/ Madam - Score entered is greater than Max. Marks allotted." showErrorMessage="1" sqref="AJ135">
      <formula1>0</formula1>
      <formula2>NaN</formula2>
    </dataValidation>
    <dataValidation type="decimal" allowBlank="1" showInputMessage="1" prompt="Dear Sir/ Madam - Score entered is greater than Max. Marks allotted." showErrorMessage="1" sqref="BF100">
      <formula1>0</formula1>
      <formula2>NaN</formula2>
    </dataValidation>
    <dataValidation type="decimal" allowBlank="1" showInputMessage="1" prompt="Dear Sir/ Madam - Score entered is greater than Max. Marks allotted." showErrorMessage="1" sqref="BF101">
      <formula1>0</formula1>
      <formula2>NaN</formula2>
    </dataValidation>
    <dataValidation type="decimal" allowBlank="1" showInputMessage="1" prompt="Dear Sir/ Madam - Score entered is greater than Max. Marks allotted." showErrorMessage="1" sqref="BF102">
      <formula1>0</formula1>
      <formula2>NaN</formula2>
    </dataValidation>
    <dataValidation type="decimal" allowBlank="1" showInputMessage="1" prompt="Dear Sir/ Madam - Score entered is greater than Max. Marks allotted." showErrorMessage="1" sqref="BF103">
      <formula1>0</formula1>
      <formula2>NaN</formula2>
    </dataValidation>
    <dataValidation type="decimal" allowBlank="1" showInputMessage="1" prompt="Dear Sir/ Madam - Score entered is greater than Max. Marks allotted." showErrorMessage="1" sqref="BF104">
      <formula1>0</formula1>
      <formula2>NaN</formula2>
    </dataValidation>
    <dataValidation type="decimal" allowBlank="1" showInputMessage="1" prompt="Dear Sir/ Madam - Score entered is greater than Max. Marks allotted." showErrorMessage="1" sqref="BF105">
      <formula1>0</formula1>
      <formula2>NaN</formula2>
    </dataValidation>
    <dataValidation type="decimal" allowBlank="1" showInputMessage="1" prompt="Dear Sir/ Madam - Score entered is greater than Max. Marks allotted." showErrorMessage="1" sqref="BF106">
      <formula1>0</formula1>
      <formula2>NaN</formula2>
    </dataValidation>
    <dataValidation type="decimal" allowBlank="1" showInputMessage="1" prompt="Dear Sir/ Madam - Score entered is greater than Max. Marks allotted." showErrorMessage="1" sqref="BF107">
      <formula1>0</formula1>
      <formula2>NaN</formula2>
    </dataValidation>
    <dataValidation type="decimal" allowBlank="1" showInputMessage="1" prompt="Dear Sir/ Madam - Score entered is greater than Max. Marks allotted." showErrorMessage="1" sqref="BF108">
      <formula1>0</formula1>
      <formula2>NaN</formula2>
    </dataValidation>
    <dataValidation type="decimal" allowBlank="1" showInputMessage="1" prompt="Dear Sir/ Madam - Score entered is greater than Max. Marks allotted." showErrorMessage="1" sqref="BF109">
      <formula1>0</formula1>
      <formula2>NaN</formula2>
    </dataValidation>
    <dataValidation type="decimal" allowBlank="1" showInputMessage="1" prompt="Dear Sir/ Madam - Score entered is greater than Max. Marks allotted." showErrorMessage="1" sqref="BF110">
      <formula1>0</formula1>
      <formula2>NaN</formula2>
    </dataValidation>
    <dataValidation type="decimal" allowBlank="1" showInputMessage="1" prompt="Dear Sir/ Madam - Score entered is greater than Max. Marks allotted." showErrorMessage="1" sqref="BF111">
      <formula1>0</formula1>
      <formula2>NaN</formula2>
    </dataValidation>
    <dataValidation type="decimal" allowBlank="1" showInputMessage="1" prompt="Dear Sir/ Madam - Score entered is greater than Max. Marks allotted." showErrorMessage="1" sqref="BF112">
      <formula1>0</formula1>
      <formula2>NaN</formula2>
    </dataValidation>
    <dataValidation type="decimal" allowBlank="1" showInputMessage="1" prompt="Dear Sir/ Madam - Score entered is greater than Max. Marks allotted." showErrorMessage="1" sqref="BF113">
      <formula1>0</formula1>
      <formula2>NaN</formula2>
    </dataValidation>
    <dataValidation type="decimal" allowBlank="1" showInputMessage="1" prompt="Dear Sir/ Madam - Score entered is greater than Max. Marks allotted." showErrorMessage="1" sqref="BF114">
      <formula1>0</formula1>
      <formula2>NaN</formula2>
    </dataValidation>
    <dataValidation type="decimal" allowBlank="1" showInputMessage="1" prompt="Dear Sir/ Madam - Score entered is greater than Max. Marks allotted." showErrorMessage="1" sqref="BF115">
      <formula1>0</formula1>
      <formula2>NaN</formula2>
    </dataValidation>
    <dataValidation type="decimal" allowBlank="1" showInputMessage="1" prompt="Dear Sir/ Madam - Score entered is greater than Max. Marks allotted." showErrorMessage="1" sqref="BF116">
      <formula1>0</formula1>
      <formula2>NaN</formula2>
    </dataValidation>
    <dataValidation type="decimal" allowBlank="1" showInputMessage="1" prompt="Dear Sir/ Madam - Score entered is greater than Max. Marks allotted." showErrorMessage="1" sqref="BF117">
      <formula1>0</formula1>
      <formula2>NaN</formula2>
    </dataValidation>
    <dataValidation type="decimal" allowBlank="1" showInputMessage="1" prompt="Dear Sir/ Madam - Score entered is greater than Max. Marks allotted." showErrorMessage="1" sqref="BF118">
      <formula1>0</formula1>
      <formula2>NaN</formula2>
    </dataValidation>
    <dataValidation type="decimal" allowBlank="1" showInputMessage="1" prompt="Dear Sir/ Madam - Score entered is greater than Max. Marks allotted." showErrorMessage="1" sqref="BF119">
      <formula1>0</formula1>
      <formula2>NaN</formula2>
    </dataValidation>
    <dataValidation type="decimal" allowBlank="1" showInputMessage="1" prompt="Dear Sir/ Madam - Score entered is greater than Max. Marks allotted." showErrorMessage="1" sqref="BF120">
      <formula1>0</formula1>
      <formula2>NaN</formula2>
    </dataValidation>
    <dataValidation type="decimal" allowBlank="1" showInputMessage="1" prompt="Dear Sir/ Madam - Score entered is greater than Max. Marks allotted." showErrorMessage="1" sqref="BF121">
      <formula1>0</formula1>
      <formula2>NaN</formula2>
    </dataValidation>
    <dataValidation type="decimal" allowBlank="1" showInputMessage="1" prompt="Dear Sir/ Madam - Score entered is greater than Max. Marks allotted." showErrorMessage="1" sqref="BF122">
      <formula1>0</formula1>
      <formula2>NaN</formula2>
    </dataValidation>
    <dataValidation type="decimal" allowBlank="1" showInputMessage="1" prompt="Dear Sir/ Madam - Score entered is greater than Max. Marks allotted." showErrorMessage="1" sqref="BF123">
      <formula1>0</formula1>
      <formula2>NaN</formula2>
    </dataValidation>
    <dataValidation type="decimal" allowBlank="1" showInputMessage="1" prompt="Dear Sir/ Madam - Score entered is greater than Max. Marks allotted." showErrorMessage="1" sqref="BF124">
      <formula1>0</formula1>
      <formula2>NaN</formula2>
    </dataValidation>
    <dataValidation type="decimal" allowBlank="1" showInputMessage="1" prompt="Dear Sir/ Madam - Score entered is greater than Max. Marks allotted." showErrorMessage="1" sqref="BF125">
      <formula1>0</formula1>
      <formula2>NaN</formula2>
    </dataValidation>
    <dataValidation type="decimal" allowBlank="1" showInputMessage="1" prompt="Dear Sir/ Madam - Score entered is greater than Max. Marks allotted." showErrorMessage="1" sqref="BF126">
      <formula1>0</formula1>
      <formula2>NaN</formula2>
    </dataValidation>
    <dataValidation type="decimal" allowBlank="1" showInputMessage="1" prompt="Dear Sir/ Madam - Score entered is greater than Max. Marks allotted." showErrorMessage="1" sqref="BF127">
      <formula1>0</formula1>
      <formula2>NaN</formula2>
    </dataValidation>
    <dataValidation type="decimal" allowBlank="1" showInputMessage="1" prompt="Dear Sir/ Madam - Score entered is greater than Max. Marks allotted." showErrorMessage="1" sqref="BF128">
      <formula1>0</formula1>
      <formula2>NaN</formula2>
    </dataValidation>
    <dataValidation type="decimal" allowBlank="1" showInputMessage="1" prompt="Dear Sir/ Madam - Score entered is greater than Max. Marks allotted." showErrorMessage="1" sqref="BF129">
      <formula1>0</formula1>
      <formula2>NaN</formula2>
    </dataValidation>
    <dataValidation type="decimal" allowBlank="1" showInputMessage="1" prompt="Dear Sir/ Madam - Score entered is greater than Max. Marks allotted." showErrorMessage="1" sqref="BF13">
      <formula1>0</formula1>
      <formula2>NaN</formula2>
    </dataValidation>
    <dataValidation type="decimal" allowBlank="1" showInputMessage="1" prompt="Dear Sir/ Madam - Score entered is greater than Max. Marks allotted." showErrorMessage="1" sqref="BF130">
      <formula1>0</formula1>
      <formula2>NaN</formula2>
    </dataValidation>
    <dataValidation type="decimal" allowBlank="1" showInputMessage="1" prompt="Dear Sir/ Madam - Score entered is greater than Max. Marks allotted." showErrorMessage="1" sqref="BF131">
      <formula1>0</formula1>
      <formula2>NaN</formula2>
    </dataValidation>
    <dataValidation type="decimal" allowBlank="1" showInputMessage="1" prompt="Dear Sir/ Madam - Score entered is greater than Max. Marks allotted." showErrorMessage="1" sqref="BF132">
      <formula1>0</formula1>
      <formula2>NaN</formula2>
    </dataValidation>
    <dataValidation type="decimal" allowBlank="1" showInputMessage="1" prompt="Dear Sir/ Madam - Score entered is greater than Max. Marks allotted." showErrorMessage="1" sqref="BF133">
      <formula1>0</formula1>
      <formula2>NaN</formula2>
    </dataValidation>
    <dataValidation type="decimal" allowBlank="1" showInputMessage="1" prompt="Dear Sir/ Madam - Score entered is greater than Max. Marks allotted." showErrorMessage="1" sqref="BF134">
      <formula1>0</formula1>
      <formula2>NaN</formula2>
    </dataValidation>
    <dataValidation type="decimal" allowBlank="1" showInputMessage="1" prompt="Dear Sir/ Madam - Score entered is greater than Max. Marks allotted." showErrorMessage="1" sqref="BF135">
      <formula1>0</formula1>
      <formula2>NaN</formula2>
    </dataValidation>
    <dataValidation type="decimal" allowBlank="1" showInputMessage="1" prompt="Dear Sir/ Madam - Score entered is greater than Max. Marks allotted." showErrorMessage="1" sqref="BF136">
      <formula1>0</formula1>
      <formula2>NaN</formula2>
    </dataValidation>
    <dataValidation type="decimal" allowBlank="1" showInputMessage="1" prompt="Dear Sir/ Madam - Score entered is greater than Max. Marks allotted." showErrorMessage="1" sqref="BF137">
      <formula1>0</formula1>
      <formula2>NaN</formula2>
    </dataValidation>
    <dataValidation type="decimal" allowBlank="1" showInputMessage="1" prompt="Dear Sir/ Madam - Score entered is greater than Max. Marks allotted." showErrorMessage="1" sqref="BF138">
      <formula1>0</formula1>
      <formula2>NaN</formula2>
    </dataValidation>
    <dataValidation type="decimal" allowBlank="1" showInputMessage="1" prompt="Dear Sir/ Madam - Score entered is greater than Max. Marks allotted." showErrorMessage="1" sqref="BF139">
      <formula1>0</formula1>
      <formula2>NaN</formula2>
    </dataValidation>
    <dataValidation type="decimal" allowBlank="1" showInputMessage="1" prompt="Dear Sir/ Madam - Score entered is greater than Max. Marks allotted." showErrorMessage="1" sqref="BF14">
      <formula1>0</formula1>
      <formula2>NaN</formula2>
    </dataValidation>
    <dataValidation type="decimal" allowBlank="1" showInputMessage="1" prompt="Dear Sir/ Madam - Score entered is greater than Max. Marks allotted." showErrorMessage="1" sqref="BF140">
      <formula1>0</formula1>
      <formula2>NaN</formula2>
    </dataValidation>
    <dataValidation type="decimal" allowBlank="1" showInputMessage="1" prompt="Dear Sir/ Madam - Score entered is greater than Max. Marks allotted." showErrorMessage="1" sqref="BF141">
      <formula1>0</formula1>
      <formula2>NaN</formula2>
    </dataValidation>
    <dataValidation type="decimal" allowBlank="1" showInputMessage="1" prompt="Dear Sir/ Madam - Score entered is greater than Max. Marks allotted." showErrorMessage="1" sqref="BF142">
      <formula1>0</formula1>
      <formula2>NaN</formula2>
    </dataValidation>
    <dataValidation type="decimal" allowBlank="1" showInputMessage="1" prompt="Dear Sir/ Madam - Score entered is greater than Max. Marks allotted." showErrorMessage="1" sqref="BF143">
      <formula1>0</formula1>
      <formula2>NaN</formula2>
    </dataValidation>
    <dataValidation type="decimal" allowBlank="1" showInputMessage="1" prompt="Dear Sir/ Madam - Score entered is greater than Max. Marks allotted." showErrorMessage="1" sqref="BF144">
      <formula1>0</formula1>
      <formula2>NaN</formula2>
    </dataValidation>
    <dataValidation type="decimal" allowBlank="1" showInputMessage="1" prompt="Dear Sir/ Madam - Score entered is greater than Max. Marks allotted." showErrorMessage="1" sqref="BF145">
      <formula1>0</formula1>
      <formula2>NaN</formula2>
    </dataValidation>
    <dataValidation type="decimal" allowBlank="1" showInputMessage="1" prompt="Dear Sir/ Madam - Score entered is greater than Max. Marks allotted." showErrorMessage="1" sqref="BF146">
      <formula1>0</formula1>
      <formula2>NaN</formula2>
    </dataValidation>
    <dataValidation type="decimal" allowBlank="1" showInputMessage="1" prompt="Dear Sir/ Madam - Score entered is greater than Max. Marks allotted." showErrorMessage="1" sqref="BF147">
      <formula1>0</formula1>
      <formula2>NaN</formula2>
    </dataValidation>
    <dataValidation type="decimal" allowBlank="1" showInputMessage="1" prompt="Dear Sir/ Madam - Score entered is greater than Max. Marks allotted." showErrorMessage="1" sqref="BF148">
      <formula1>0</formula1>
      <formula2>NaN</formula2>
    </dataValidation>
    <dataValidation type="decimal" allowBlank="1" showInputMessage="1" prompt="Dear Sir/ Madam - Score entered is greater than Max. Marks allotted." showErrorMessage="1" sqref="BF149">
      <formula1>0</formula1>
      <formula2>NaN</formula2>
    </dataValidation>
    <dataValidation type="decimal" allowBlank="1" showInputMessage="1" prompt="Dear Sir/ Madam - Score entered is greater than Max. Marks allotted." showErrorMessage="1" sqref="BF15">
      <formula1>0</formula1>
      <formula2>NaN</formula2>
    </dataValidation>
    <dataValidation type="decimal" allowBlank="1" showInputMessage="1" prompt="Dear Sir/ Madam - Score entered is greater than Max. Marks allotted." showErrorMessage="1" sqref="BF150">
      <formula1>0</formula1>
      <formula2>NaN</formula2>
    </dataValidation>
    <dataValidation type="decimal" allowBlank="1" showInputMessage="1" prompt="Dear Sir/ Madam - Score entered is greater than Max. Marks allotted." showErrorMessage="1" sqref="BF151">
      <formula1>0</formula1>
      <formula2>NaN</formula2>
    </dataValidation>
    <dataValidation type="decimal" allowBlank="1" showInputMessage="1" prompt="Dear Sir/ Madam - Score entered is greater than Max. Marks allotted." showErrorMessage="1" sqref="BF152">
      <formula1>0</formula1>
      <formula2>NaN</formula2>
    </dataValidation>
    <dataValidation type="decimal" allowBlank="1" showInputMessage="1" prompt="Dear Sir/ Madam - Score entered is greater than Max. Marks allotted." showErrorMessage="1" sqref="BF153">
      <formula1>0</formula1>
      <formula2>NaN</formula2>
    </dataValidation>
    <dataValidation type="decimal" allowBlank="1" showInputMessage="1" prompt="Dear Sir/ Madam - Score entered is greater than Max. Marks allotted." showErrorMessage="1" sqref="BF154">
      <formula1>0</formula1>
      <formula2>NaN</formula2>
    </dataValidation>
    <dataValidation type="decimal" allowBlank="1" showInputMessage="1" prompt="Dear Sir/ Madam - Score entered is greater than Max. Marks allotted." showErrorMessage="1" sqref="BF155">
      <formula1>0</formula1>
      <formula2>NaN</formula2>
    </dataValidation>
    <dataValidation type="decimal" allowBlank="1" showInputMessage="1" prompt="Dear Sir/ Madam - Score entered is greater than Max. Marks allotted." showErrorMessage="1" sqref="BF156">
      <formula1>0</formula1>
      <formula2>NaN</formula2>
    </dataValidation>
    <dataValidation type="decimal" allowBlank="1" showInputMessage="1" prompt="Dear Sir/ Madam - Score entered is greater than Max. Marks allotted." showErrorMessage="1" sqref="BF157">
      <formula1>0</formula1>
      <formula2>NaN</formula2>
    </dataValidation>
    <dataValidation type="decimal" allowBlank="1" showInputMessage="1" prompt="Dear Sir/ Madam - Score entered is greater than Max. Marks allotted." showErrorMessage="1" sqref="BF158">
      <formula1>0</formula1>
      <formula2>NaN</formula2>
    </dataValidation>
    <dataValidation type="decimal" allowBlank="1" showInputMessage="1" prompt="Dear Sir/ Madam - Score entered is greater than Max. Marks allotted." showErrorMessage="1" sqref="BF159">
      <formula1>0</formula1>
      <formula2>NaN</formula2>
    </dataValidation>
    <dataValidation type="decimal" allowBlank="1" showInputMessage="1" prompt="Dear Sir/ Madam - Score entered is greater than Max. Marks allotted." showErrorMessage="1" sqref="BF16">
      <formula1>0</formula1>
      <formula2>NaN</formula2>
    </dataValidation>
    <dataValidation type="decimal" allowBlank="1" showInputMessage="1" prompt="Dear Sir/ Madam - Score entered is greater than Max. Marks allotted." showErrorMessage="1" sqref="BF160">
      <formula1>0</formula1>
      <formula2>NaN</formula2>
    </dataValidation>
    <dataValidation type="decimal" allowBlank="1" showInputMessage="1" prompt="Dear Sir/ Madam - Score entered is greater than Max. Marks allotted." showErrorMessage="1" sqref="BF161">
      <formula1>0</formula1>
      <formula2>NaN</formula2>
    </dataValidation>
    <dataValidation type="decimal" allowBlank="1" showInputMessage="1" prompt="Dear Sir/ Madam - Score entered is greater than Max. Marks allotted." showErrorMessage="1" sqref="BF162">
      <formula1>0</formula1>
      <formula2>NaN</formula2>
    </dataValidation>
    <dataValidation type="decimal" allowBlank="1" showInputMessage="1" prompt="Dear Sir/ Madam - Score entered is greater than Max. Marks allotted." showErrorMessage="1" sqref="BF163">
      <formula1>0</formula1>
      <formula2>NaN</formula2>
    </dataValidation>
    <dataValidation type="decimal" allowBlank="1" showInputMessage="1" prompt="Dear Sir/ Madam - Score entered is greater than Max. Marks allotted." showErrorMessage="1" sqref="BF164">
      <formula1>0</formula1>
      <formula2>NaN</formula2>
    </dataValidation>
    <dataValidation type="decimal" allowBlank="1" showInputMessage="1" prompt="Dear Sir/ Madam - Score entered is greater than Max. Marks allotted." showErrorMessage="1" sqref="BF165">
      <formula1>0</formula1>
      <formula2>NaN</formula2>
    </dataValidation>
    <dataValidation type="decimal" allowBlank="1" showInputMessage="1" prompt="Dear Sir/ Madam - Score entered is greater than Max. Marks allotted." showErrorMessage="1" sqref="BF166">
      <formula1>0</formula1>
      <formula2>NaN</formula2>
    </dataValidation>
    <dataValidation type="decimal" allowBlank="1" showInputMessage="1" prompt="Dear Sir/ Madam - Score entered is greater than Max. Marks allotted." showErrorMessage="1" sqref="BF167">
      <formula1>0</formula1>
      <formula2>NaN</formula2>
    </dataValidation>
    <dataValidation type="decimal" allowBlank="1" showInputMessage="1" prompt="Dear Sir/ Madam - Score entered is greater than Max. Marks allotted." showErrorMessage="1" sqref="BF168">
      <formula1>0</formula1>
      <formula2>NaN</formula2>
    </dataValidation>
    <dataValidation type="decimal" allowBlank="1" showInputMessage="1" prompt="Dear Sir/ Madam - Score entered is greater than Max. Marks allotted." showErrorMessage="1" sqref="BF169">
      <formula1>0</formula1>
      <formula2>NaN</formula2>
    </dataValidation>
    <dataValidation type="decimal" allowBlank="1" showInputMessage="1" prompt="Dear Sir/ Madam - Score entered is greater than Max. Marks allotted." showErrorMessage="1" sqref="BF17">
      <formula1>0</formula1>
      <formula2>NaN</formula2>
    </dataValidation>
    <dataValidation type="decimal" allowBlank="1" showInputMessage="1" prompt="Dear Sir/ Madam - Score entered is greater than Max. Marks allotted." showErrorMessage="1" sqref="BF170">
      <formula1>0</formula1>
      <formula2>NaN</formula2>
    </dataValidation>
    <dataValidation type="decimal" allowBlank="1" showInputMessage="1" prompt="Dear Sir/ Madam - Score entered is greater than Max. Marks allotted." showErrorMessage="1" sqref="BF171">
      <formula1>0</formula1>
      <formula2>NaN</formula2>
    </dataValidation>
    <dataValidation type="decimal" allowBlank="1" showInputMessage="1" prompt="Dear Sir/ Madam - Score entered is greater than Max. Marks allotted." showErrorMessage="1" sqref="BF172">
      <formula1>0</formula1>
      <formula2>NaN</formula2>
    </dataValidation>
    <dataValidation type="decimal" allowBlank="1" showInputMessage="1" prompt="Dear Sir/ Madam - Score entered is greater than Max. Marks allotted." showErrorMessage="1" sqref="BF173">
      <formula1>0</formula1>
      <formula2>NaN</formula2>
    </dataValidation>
    <dataValidation type="decimal" allowBlank="1" showInputMessage="1" prompt="Dear Sir/ Madam - Score entered is greater than Max. Marks allotted." showErrorMessage="1" sqref="BF174">
      <formula1>0</formula1>
      <formula2>NaN</formula2>
    </dataValidation>
    <dataValidation type="decimal" allowBlank="1" showInputMessage="1" prompt="Dear Sir/ Madam - Score entered is greater than Max. Marks allotted." showErrorMessage="1" sqref="BF175">
      <formula1>0</formula1>
      <formula2>NaN</formula2>
    </dataValidation>
    <dataValidation type="decimal" allowBlank="1" showInputMessage="1" prompt="Dear Sir/ Madam - Score entered is greater than Max. Marks allotted." showErrorMessage="1" sqref="BF176">
      <formula1>0</formula1>
      <formula2>NaN</formula2>
    </dataValidation>
    <dataValidation type="decimal" allowBlank="1" showInputMessage="1" prompt="Dear Sir/ Madam - Score entered is greater than Max. Marks allotted." showErrorMessage="1" sqref="BF177">
      <formula1>0</formula1>
      <formula2>NaN</formula2>
    </dataValidation>
    <dataValidation type="decimal" allowBlank="1" showInputMessage="1" prompt="Dear Sir/ Madam - Score entered is greater than Max. Marks allotted." showErrorMessage="1" sqref="BF178">
      <formula1>0</formula1>
      <formula2>NaN</formula2>
    </dataValidation>
    <dataValidation type="decimal" allowBlank="1" showInputMessage="1" prompt="Dear Sir/ Madam - Score entered is greater than Max. Marks allotted." showErrorMessage="1" sqref="BF179">
      <formula1>0</formula1>
      <formula2>NaN</formula2>
    </dataValidation>
    <dataValidation type="decimal" allowBlank="1" showInputMessage="1" prompt="Dear Sir/ Madam - Score entered is greater than Max. Marks allotted." showErrorMessage="1" sqref="BF18">
      <formula1>0</formula1>
      <formula2>NaN</formula2>
    </dataValidation>
    <dataValidation type="decimal" allowBlank="1" showInputMessage="1" prompt="Dear Sir/ Madam - Score entered is greater than Max. Marks allotted." showErrorMessage="1" sqref="BF180">
      <formula1>0</formula1>
      <formula2>NaN</formula2>
    </dataValidation>
    <dataValidation type="decimal" allowBlank="1" showInputMessage="1" prompt="Dear Sir/ Madam - Score entered is greater than Max. Marks allotted." showErrorMessage="1" sqref="BF181">
      <formula1>0</formula1>
      <formula2>NaN</formula2>
    </dataValidation>
    <dataValidation type="decimal" allowBlank="1" showInputMessage="1" prompt="Dear Sir/ Madam - Score entered is greater than Max. Marks allotted." showErrorMessage="1" sqref="BF182">
      <formula1>0</formula1>
      <formula2>NaN</formula2>
    </dataValidation>
    <dataValidation type="decimal" allowBlank="1" showInputMessage="1" prompt="Dear Sir/ Madam - Score entered is greater than Max. Marks allotted." showErrorMessage="1" sqref="BF183">
      <formula1>0</formula1>
      <formula2>NaN</formula2>
    </dataValidation>
    <dataValidation type="decimal" allowBlank="1" showInputMessage="1" prompt="Dear Sir/ Madam - Score entered is greater than Max. Marks allotted." showErrorMessage="1" sqref="BF184">
      <formula1>0</formula1>
      <formula2>NaN</formula2>
    </dataValidation>
    <dataValidation type="decimal" allowBlank="1" showInputMessage="1" prompt="Dear Sir/ Madam - Score entered is greater than Max. Marks allotted." showErrorMessage="1" sqref="BF185">
      <formula1>0</formula1>
      <formula2>NaN</formula2>
    </dataValidation>
    <dataValidation type="decimal" allowBlank="1" showInputMessage="1" prompt="Dear Sir/ Madam - Score entered is greater than Max. Marks allotted." showErrorMessage="1" sqref="BF186">
      <formula1>0</formula1>
      <formula2>NaN</formula2>
    </dataValidation>
    <dataValidation type="decimal" allowBlank="1" showInputMessage="1" prompt="Dear Sir/ Madam - Score entered is greater than Max. Marks allotted." showErrorMessage="1" sqref="BF187">
      <formula1>0</formula1>
      <formula2>NaN</formula2>
    </dataValidation>
    <dataValidation type="decimal" allowBlank="1" showInputMessage="1" prompt="Dear Sir/ Madam - Score entered is greater than Max. Marks allotted." showErrorMessage="1" sqref="BF188">
      <formula1>0</formula1>
      <formula2>NaN</formula2>
    </dataValidation>
    <dataValidation type="decimal" allowBlank="1" showInputMessage="1" prompt="Dear Sir/ Madam - Score entered is greater than Max. Marks allotted." showErrorMessage="1" sqref="BF189">
      <formula1>0</formula1>
      <formula2>NaN</formula2>
    </dataValidation>
    <dataValidation type="decimal" allowBlank="1" showInputMessage="1" prompt="Dear Sir/ Madam - Score entered is greater than Max. Marks allotted." showErrorMessage="1" sqref="BF19">
      <formula1>0</formula1>
      <formula2>NaN</formula2>
    </dataValidation>
    <dataValidation type="decimal" allowBlank="1" showInputMessage="1" prompt="Dear Sir/ Madam - Score entered is greater than Max. Marks allotted." showErrorMessage="1" sqref="BF190">
      <formula1>0</formula1>
      <formula2>NaN</formula2>
    </dataValidation>
    <dataValidation type="decimal" allowBlank="1" showInputMessage="1" prompt="Dear Sir/ Madam - Score entered is greater than Max. Marks allotted." showErrorMessage="1" sqref="BF191">
      <formula1>0</formula1>
      <formula2>NaN</formula2>
    </dataValidation>
    <dataValidation type="decimal" allowBlank="1" showInputMessage="1" prompt="Dear Sir/ Madam - Score entered is greater than Max. Marks allotted." showErrorMessage="1" sqref="BF192">
      <formula1>0</formula1>
      <formula2>NaN</formula2>
    </dataValidation>
    <dataValidation type="decimal" allowBlank="1" showInputMessage="1" prompt="Dear Sir/ Madam - Score entered is greater than Max. Marks allotted." showErrorMessage="1" sqref="BF193">
      <formula1>0</formula1>
      <formula2>NaN</formula2>
    </dataValidation>
    <dataValidation type="decimal" allowBlank="1" showInputMessage="1" prompt="Dear Sir/ Madam - Score entered is greater than Max. Marks allotted." showErrorMessage="1" sqref="BF194">
      <formula1>0</formula1>
      <formula2>NaN</formula2>
    </dataValidation>
    <dataValidation type="decimal" allowBlank="1" showInputMessage="1" prompt="Dear Sir/ Madam - Score entered is greater than Max. Marks allotted." showErrorMessage="1" sqref="BF195">
      <formula1>0</formula1>
      <formula2>NaN</formula2>
    </dataValidation>
    <dataValidation type="decimal" allowBlank="1" showInputMessage="1" prompt="Dear Sir/ Madam - Score entered is greater than Max. Marks allotted." showErrorMessage="1" sqref="BF196">
      <formula1>0</formula1>
      <formula2>NaN</formula2>
    </dataValidation>
    <dataValidation type="decimal" allowBlank="1" showInputMessage="1" prompt="Dear Sir/ Madam - Score entered is greater than Max. Marks allotted." showErrorMessage="1" sqref="BF197">
      <formula1>0</formula1>
      <formula2>NaN</formula2>
    </dataValidation>
    <dataValidation type="decimal" allowBlank="1" showInputMessage="1" prompt="Dear Sir/ Madam - Score entered is greater than Max. Marks allotted." showErrorMessage="1" sqref="BF198">
      <formula1>0</formula1>
      <formula2>NaN</formula2>
    </dataValidation>
    <dataValidation type="decimal" allowBlank="1" showInputMessage="1" prompt="Dear Sir/ Madam - Score entered is greater than Max. Marks allotted." showErrorMessage="1" sqref="BF199">
      <formula1>0</formula1>
      <formula2>NaN</formula2>
    </dataValidation>
    <dataValidation type="decimal" allowBlank="1" showInputMessage="1" prompt="Dear Sir/ Madam - Score entered is greater than Max. Marks allotted." showErrorMessage="1" sqref="BF20">
      <formula1>0</formula1>
      <formula2>NaN</formula2>
    </dataValidation>
    <dataValidation type="decimal" allowBlank="1" showInputMessage="1" prompt="Dear Sir/ Madam - Score entered is greater than Max. Marks allotted." showErrorMessage="1" sqref="BF200">
      <formula1>0</formula1>
      <formula2>NaN</formula2>
    </dataValidation>
    <dataValidation type="decimal" allowBlank="1" showInputMessage="1" prompt="Dear Sir/ Madam - Score entered is greater than Max. Marks allotted." showErrorMessage="1" sqref="BF21">
      <formula1>0</formula1>
      <formula2>NaN</formula2>
    </dataValidation>
    <dataValidation type="decimal" allowBlank="1" showInputMessage="1" prompt="Dear Sir/ Madam - Score entered is greater than Max. Marks allotted." showErrorMessage="1" sqref="BF22">
      <formula1>0</formula1>
      <formula2>NaN</formula2>
    </dataValidation>
    <dataValidation type="decimal" allowBlank="1" showInputMessage="1" prompt="Dear Sir/ Madam - Score entered is greater than Max. Marks allotted." showErrorMessage="1" sqref="BF23">
      <formula1>0</formula1>
      <formula2>NaN</formula2>
    </dataValidation>
    <dataValidation type="decimal" allowBlank="1" showInputMessage="1" prompt="Dear Sir/ Madam - Score entered is greater than Max. Marks allotted." showErrorMessage="1" sqref="BF24">
      <formula1>0</formula1>
      <formula2>NaN</formula2>
    </dataValidation>
    <dataValidation type="decimal" allowBlank="1" showInputMessage="1" prompt="Dear Sir/ Madam - Score entered is greater than Max. Marks allotted." showErrorMessage="1" sqref="BF25">
      <formula1>0</formula1>
      <formula2>NaN</formula2>
    </dataValidation>
    <dataValidation type="decimal" allowBlank="1" showInputMessage="1" prompt="Dear Sir/ Madam - Score entered is greater than Max. Marks allotted." showErrorMessage="1" sqref="BF26">
      <formula1>0</formula1>
      <formula2>NaN</formula2>
    </dataValidation>
    <dataValidation type="decimal" allowBlank="1" showInputMessage="1" prompt="Dear Sir/ Madam - Score entered is greater than Max. Marks allotted." showErrorMessage="1" sqref="BF27">
      <formula1>0</formula1>
      <formula2>NaN</formula2>
    </dataValidation>
    <dataValidation type="decimal" allowBlank="1" showInputMessage="1" prompt="Dear Sir/ Madam - Score entered is greater than Max. Marks allotted." showErrorMessage="1" sqref="BF28">
      <formula1>0</formula1>
      <formula2>NaN</formula2>
    </dataValidation>
    <dataValidation type="decimal" allowBlank="1" showInputMessage="1" prompt="Dear Sir/ Madam - Score entered is greater than Max. Marks allotted." showErrorMessage="1" sqref="BF29">
      <formula1>0</formula1>
      <formula2>NaN</formula2>
    </dataValidation>
    <dataValidation type="decimal" allowBlank="1" showInputMessage="1" prompt="Dear Sir/ Madam - Score entered is greater than Max. Marks allotted." showErrorMessage="1" sqref="BF30">
      <formula1>0</formula1>
      <formula2>NaN</formula2>
    </dataValidation>
    <dataValidation type="decimal" allowBlank="1" showInputMessage="1" prompt="Dear Sir/ Madam - Score entered is greater than Max. Marks allotted." showErrorMessage="1" sqref="BF31">
      <formula1>0</formula1>
      <formula2>NaN</formula2>
    </dataValidation>
    <dataValidation type="decimal" allowBlank="1" showInputMessage="1" prompt="Dear Sir/ Madam - Score entered is greater than Max. Marks allotted." showErrorMessage="1" sqref="BF32">
      <formula1>0</formula1>
      <formula2>NaN</formula2>
    </dataValidation>
    <dataValidation type="decimal" allowBlank="1" showInputMessage="1" prompt="Dear Sir/ Madam - Score entered is greater than Max. Marks allotted." showErrorMessage="1" sqref="BF33">
      <formula1>0</formula1>
      <formula2>NaN</formula2>
    </dataValidation>
    <dataValidation type="decimal" allowBlank="1" showInputMessage="1" prompt="Dear Sir/ Madam - Score entered is greater than Max. Marks allotted." showErrorMessage="1" sqref="BF34">
      <formula1>0</formula1>
      <formula2>NaN</formula2>
    </dataValidation>
    <dataValidation type="decimal" allowBlank="1" showInputMessage="1" prompt="Dear Sir/ Madam - Score entered is greater than Max. Marks allotted." showErrorMessage="1" sqref="BF35">
      <formula1>0</formula1>
      <formula2>NaN</formula2>
    </dataValidation>
    <dataValidation type="decimal" allowBlank="1" showInputMessage="1" prompt="Dear Sir/ Madam - Score entered is greater than Max. Marks allotted." showErrorMessage="1" sqref="BF36">
      <formula1>0</formula1>
      <formula2>NaN</formula2>
    </dataValidation>
    <dataValidation type="decimal" allowBlank="1" showInputMessage="1" prompt="Dear Sir/ Madam - Score entered is greater than Max. Marks allotted." showErrorMessage="1" sqref="BF37">
      <formula1>0</formula1>
      <formula2>NaN</formula2>
    </dataValidation>
    <dataValidation type="decimal" allowBlank="1" showInputMessage="1" prompt="Dear Sir/ Madam - Score entered is greater than Max. Marks allotted." showErrorMessage="1" sqref="BF38">
      <formula1>0</formula1>
      <formula2>NaN</formula2>
    </dataValidation>
    <dataValidation type="decimal" allowBlank="1" showInputMessage="1" prompt="Dear Sir/ Madam - Score entered is greater than Max. Marks allotted." showErrorMessage="1" sqref="BF39">
      <formula1>0</formula1>
      <formula2>NaN</formula2>
    </dataValidation>
    <dataValidation type="decimal" allowBlank="1" showInputMessage="1" prompt="Dear Sir/ Madam - Score entered is greater than Max. Marks allotted." showErrorMessage="1" sqref="BF40">
      <formula1>0</formula1>
      <formula2>NaN</formula2>
    </dataValidation>
    <dataValidation type="decimal" allowBlank="1" showInputMessage="1" prompt="Dear Sir/ Madam - Score entered is greater than Max. Marks allotted." showErrorMessage="1" sqref="BF41">
      <formula1>0</formula1>
      <formula2>NaN</formula2>
    </dataValidation>
    <dataValidation type="decimal" allowBlank="1" showInputMessage="1" prompt="Dear Sir/ Madam - Score entered is greater than Max. Marks allotted." showErrorMessage="1" sqref="BF42">
      <formula1>0</formula1>
      <formula2>NaN</formula2>
    </dataValidation>
    <dataValidation type="decimal" allowBlank="1" showInputMessage="1" prompt="Dear Sir/ Madam - Score entered is greater than Max. Marks allotted." showErrorMessage="1" sqref="BF43">
      <formula1>0</formula1>
      <formula2>NaN</formula2>
    </dataValidation>
    <dataValidation type="decimal" allowBlank="1" showInputMessage="1" prompt="Dear Sir/ Madam - Score entered is greater than Max. Marks allotted." showErrorMessage="1" sqref="BF44">
      <formula1>0</formula1>
      <formula2>NaN</formula2>
    </dataValidation>
    <dataValidation type="decimal" allowBlank="1" showInputMessage="1" prompt="Dear Sir/ Madam - Score entered is greater than Max. Marks allotted." showErrorMessage="1" sqref="BF45">
      <formula1>0</formula1>
      <formula2>NaN</formula2>
    </dataValidation>
    <dataValidation type="decimal" allowBlank="1" showInputMessage="1" prompt="Dear Sir/ Madam - Score entered is greater than Max. Marks allotted." showErrorMessage="1" sqref="BF46">
      <formula1>0</formula1>
      <formula2>NaN</formula2>
    </dataValidation>
    <dataValidation type="decimal" allowBlank="1" showInputMessage="1" prompt="Dear Sir/ Madam - Score entered is greater than Max. Marks allotted." showErrorMessage="1" sqref="BF47">
      <formula1>0</formula1>
      <formula2>NaN</formula2>
    </dataValidation>
    <dataValidation type="decimal" allowBlank="1" showInputMessage="1" prompt="Dear Sir/ Madam - Score entered is greater than Max. Marks allotted." showErrorMessage="1" sqref="BF48">
      <formula1>0</formula1>
      <formula2>NaN</formula2>
    </dataValidation>
    <dataValidation type="decimal" allowBlank="1" showInputMessage="1" prompt="Dear Sir/ Madam - Score entered is greater than Max. Marks allotted." showErrorMessage="1" sqref="BF49">
      <formula1>0</formula1>
      <formula2>NaN</formula2>
    </dataValidation>
    <dataValidation type="decimal" allowBlank="1" showInputMessage="1" prompt="Dear Sir/ Madam - Score entered is greater than Max. Marks allotted." showErrorMessage="1" sqref="BF50">
      <formula1>0</formula1>
      <formula2>NaN</formula2>
    </dataValidation>
    <dataValidation type="decimal" allowBlank="1" showInputMessage="1" prompt="Dear Sir/ Madam - Score entered is greater than Max. Marks allotted." showErrorMessage="1" sqref="BF51">
      <formula1>0</formula1>
      <formula2>NaN</formula2>
    </dataValidation>
    <dataValidation type="decimal" allowBlank="1" showInputMessage="1" prompt="Dear Sir/ Madam - Score entered is greater than Max. Marks allotted." showErrorMessage="1" sqref="BF52">
      <formula1>0</formula1>
      <formula2>NaN</formula2>
    </dataValidation>
    <dataValidation type="decimal" allowBlank="1" showInputMessage="1" prompt="Dear Sir/ Madam - Score entered is greater than Max. Marks allotted." showErrorMessage="1" sqref="BF53">
      <formula1>0</formula1>
      <formula2>NaN</formula2>
    </dataValidation>
    <dataValidation type="decimal" allowBlank="1" showInputMessage="1" prompt="Dear Sir/ Madam - Score entered is greater than Max. Marks allotted." showErrorMessage="1" sqref="BF54">
      <formula1>0</formula1>
      <formula2>NaN</formula2>
    </dataValidation>
    <dataValidation type="decimal" allowBlank="1" showInputMessage="1" prompt="Dear Sir/ Madam - Score entered is greater than Max. Marks allotted." showErrorMessage="1" sqref="BF55">
      <formula1>0</formula1>
      <formula2>NaN</formula2>
    </dataValidation>
    <dataValidation type="decimal" allowBlank="1" showInputMessage="1" prompt="Dear Sir/ Madam - Score entered is greater than Max. Marks allotted." showErrorMessage="1" sqref="BF56">
      <formula1>0</formula1>
      <formula2>NaN</formula2>
    </dataValidation>
    <dataValidation type="decimal" allowBlank="1" showInputMessage="1" prompt="Dear Sir/ Madam - Score entered is greater than Max. Marks allotted." showErrorMessage="1" sqref="BF57">
      <formula1>0</formula1>
      <formula2>NaN</formula2>
    </dataValidation>
    <dataValidation type="decimal" allowBlank="1" showInputMessage="1" prompt="Dear Sir/ Madam - Score entered is greater than Max. Marks allotted." showErrorMessage="1" sqref="BF58">
      <formula1>0</formula1>
      <formula2>NaN</formula2>
    </dataValidation>
    <dataValidation type="decimal" allowBlank="1" showInputMessage="1" prompt="Dear Sir/ Madam - Score entered is greater than Max. Marks allotted." showErrorMessage="1" sqref="BF59">
      <formula1>0</formula1>
      <formula2>NaN</formula2>
    </dataValidation>
    <dataValidation type="decimal" allowBlank="1" showInputMessage="1" prompt="Dear Sir/ Madam - Score entered is greater than Max. Marks allotted." showErrorMessage="1" sqref="BF60">
      <formula1>0</formula1>
      <formula2>NaN</formula2>
    </dataValidation>
    <dataValidation type="decimal" allowBlank="1" showInputMessage="1" prompt="Dear Sir/ Madam - Score entered is greater than Max. Marks allotted." showErrorMessage="1" sqref="BF61">
      <formula1>0</formula1>
      <formula2>NaN</formula2>
    </dataValidation>
    <dataValidation type="decimal" allowBlank="1" showInputMessage="1" prompt="Dear Sir/ Madam - Score entered is greater than Max. Marks allotted." showErrorMessage="1" sqref="BF62">
      <formula1>0</formula1>
      <formula2>NaN</formula2>
    </dataValidation>
    <dataValidation type="decimal" allowBlank="1" showInputMessage="1" prompt="Dear Sir/ Madam - Score entered is greater than Max. Marks allotted." showErrorMessage="1" sqref="BF63">
      <formula1>0</formula1>
      <formula2>NaN</formula2>
    </dataValidation>
    <dataValidation type="decimal" allowBlank="1" showInputMessage="1" prompt="Dear Sir/ Madam - Score entered is greater than Max. Marks allotted." showErrorMessage="1" sqref="BF64">
      <formula1>0</formula1>
      <formula2>NaN</formula2>
    </dataValidation>
    <dataValidation type="decimal" allowBlank="1" showInputMessage="1" prompt="Dear Sir/ Madam - Score entered is greater than Max. Marks allotted." showErrorMessage="1" sqref="BF65">
      <formula1>0</formula1>
      <formula2>NaN</formula2>
    </dataValidation>
    <dataValidation type="decimal" allowBlank="1" showInputMessage="1" prompt="Dear Sir/ Madam - Score entered is greater than Max. Marks allotted." showErrorMessage="1" sqref="BF66">
      <formula1>0</formula1>
      <formula2>NaN</formula2>
    </dataValidation>
    <dataValidation type="decimal" allowBlank="1" showInputMessage="1" prompt="Dear Sir/ Madam - Score entered is greater than Max. Marks allotted." showErrorMessage="1" sqref="BF67">
      <formula1>0</formula1>
      <formula2>NaN</formula2>
    </dataValidation>
    <dataValidation type="decimal" allowBlank="1" showInputMessage="1" prompt="Dear Sir/ Madam - Score entered is greater than Max. Marks allotted." showErrorMessage="1" sqref="BF68">
      <formula1>0</formula1>
      <formula2>NaN</formula2>
    </dataValidation>
    <dataValidation type="decimal" allowBlank="1" showInputMessage="1" prompt="Dear Sir/ Madam - Score entered is greater than Max. Marks allotted." showErrorMessage="1" sqref="BF69">
      <formula1>0</formula1>
      <formula2>NaN</formula2>
    </dataValidation>
    <dataValidation type="decimal" allowBlank="1" showInputMessage="1" prompt="Dear Sir/ Madam - Score entered is greater than Max. Marks allotted." showErrorMessage="1" sqref="BF70">
      <formula1>0</formula1>
      <formula2>NaN</formula2>
    </dataValidation>
    <dataValidation type="decimal" allowBlank="1" showInputMessage="1" prompt="Dear Sir/ Madam - Score entered is greater than Max. Marks allotted." showErrorMessage="1" sqref="BF71">
      <formula1>0</formula1>
      <formula2>NaN</formula2>
    </dataValidation>
    <dataValidation type="decimal" allowBlank="1" showInputMessage="1" prompt="Dear Sir/ Madam - Score entered is greater than Max. Marks allotted." showErrorMessage="1" sqref="BF72">
      <formula1>0</formula1>
      <formula2>NaN</formula2>
    </dataValidation>
    <dataValidation type="decimal" allowBlank="1" showInputMessage="1" prompt="Dear Sir/ Madam - Score entered is greater than Max. Marks allotted." showErrorMessage="1" sqref="BF73">
      <formula1>0</formula1>
      <formula2>NaN</formula2>
    </dataValidation>
    <dataValidation type="decimal" allowBlank="1" showInputMessage="1" prompt="Dear Sir/ Madam - Score entered is greater than Max. Marks allotted." showErrorMessage="1" sqref="BF74">
      <formula1>0</formula1>
      <formula2>NaN</formula2>
    </dataValidation>
    <dataValidation type="decimal" allowBlank="1" showInputMessage="1" prompt="Dear Sir/ Madam - Score entered is greater than Max. Marks allotted." showErrorMessage="1" sqref="BF75">
      <formula1>0</formula1>
      <formula2>NaN</formula2>
    </dataValidation>
    <dataValidation type="decimal" allowBlank="1" showInputMessage="1" prompt="Dear Sir/ Madam - Score entered is greater than Max. Marks allotted." showErrorMessage="1" sqref="BF76">
      <formula1>0</formula1>
      <formula2>NaN</formula2>
    </dataValidation>
    <dataValidation type="decimal" allowBlank="1" showInputMessage="1" prompt="Dear Sir/ Madam - Score entered is greater than Max. Marks allotted." showErrorMessage="1" sqref="BF77">
      <formula1>0</formula1>
      <formula2>NaN</formula2>
    </dataValidation>
    <dataValidation type="decimal" allowBlank="1" showInputMessage="1" prompt="Dear Sir/ Madam - Score entered is greater than Max. Marks allotted." showErrorMessage="1" sqref="BF78">
      <formula1>0</formula1>
      <formula2>NaN</formula2>
    </dataValidation>
    <dataValidation type="decimal" allowBlank="1" showInputMessage="1" prompt="Dear Sir/ Madam - Score entered is greater than Max. Marks allotted." showErrorMessage="1" sqref="BF79">
      <formula1>0</formula1>
      <formula2>NaN</formula2>
    </dataValidation>
    <dataValidation type="decimal" allowBlank="1" showInputMessage="1" prompt="Dear Sir/ Madam - Score entered is greater than Max. Marks allotted." showErrorMessage="1" sqref="BF80">
      <formula1>0</formula1>
      <formula2>NaN</formula2>
    </dataValidation>
    <dataValidation type="decimal" allowBlank="1" showInputMessage="1" prompt="Dear Sir/ Madam - Score entered is greater than Max. Marks allotted." showErrorMessage="1" sqref="BF81">
      <formula1>0</formula1>
      <formula2>NaN</formula2>
    </dataValidation>
    <dataValidation type="decimal" allowBlank="1" showInputMessage="1" prompt="Dear Sir/ Madam - Score entered is greater than Max. Marks allotted." showErrorMessage="1" sqref="BF82">
      <formula1>0</formula1>
      <formula2>NaN</formula2>
    </dataValidation>
    <dataValidation type="decimal" allowBlank="1" showInputMessage="1" prompt="Dear Sir/ Madam - Score entered is greater than Max. Marks allotted." showErrorMessage="1" sqref="BF83">
      <formula1>0</formula1>
      <formula2>NaN</formula2>
    </dataValidation>
    <dataValidation type="decimal" allowBlank="1" showInputMessage="1" prompt="Dear Sir/ Madam - Score entered is greater than Max. Marks allotted." showErrorMessage="1" sqref="BF84">
      <formula1>0</formula1>
      <formula2>NaN</formula2>
    </dataValidation>
    <dataValidation type="decimal" allowBlank="1" showInputMessage="1" prompt="Dear Sir/ Madam - Score entered is greater than Max. Marks allotted." showErrorMessage="1" sqref="BF85">
      <formula1>0</formula1>
      <formula2>NaN</formula2>
    </dataValidation>
    <dataValidation type="decimal" allowBlank="1" showInputMessage="1" prompt="Dear Sir/ Madam - Score entered is greater than Max. Marks allotted." showErrorMessage="1" sqref="BF86">
      <formula1>0</formula1>
      <formula2>NaN</formula2>
    </dataValidation>
    <dataValidation type="decimal" allowBlank="1" showInputMessage="1" prompt="Dear Sir/ Madam - Score entered is greater than Max. Marks allotted." showErrorMessage="1" sqref="BF87">
      <formula1>0</formula1>
      <formula2>NaN</formula2>
    </dataValidation>
    <dataValidation type="decimal" allowBlank="1" showInputMessage="1" prompt="Dear Sir/ Madam - Score entered is greater than Max. Marks allotted." showErrorMessage="1" sqref="BF88">
      <formula1>0</formula1>
      <formula2>NaN</formula2>
    </dataValidation>
    <dataValidation type="decimal" allowBlank="1" showInputMessage="1" prompt="Dear Sir/ Madam - Score entered is greater than Max. Marks allotted." showErrorMessage="1" sqref="BF89">
      <formula1>0</formula1>
      <formula2>NaN</formula2>
    </dataValidation>
    <dataValidation type="decimal" allowBlank="1" showInputMessage="1" prompt="Dear Sir/ Madam - Score entered is greater than Max. Marks allotted." showErrorMessage="1" sqref="BF90">
      <formula1>0</formula1>
      <formula2>NaN</formula2>
    </dataValidation>
    <dataValidation type="decimal" allowBlank="1" showInputMessage="1" prompt="Dear Sir/ Madam - Score entered is greater than Max. Marks allotted." showErrorMessage="1" sqref="BF91">
      <formula1>0</formula1>
      <formula2>NaN</formula2>
    </dataValidation>
    <dataValidation type="decimal" allowBlank="1" showInputMessage="1" prompt="Dear Sir/ Madam - Score entered is greater than Max. Marks allotted." showErrorMessage="1" sqref="BF92">
      <formula1>0</formula1>
      <formula2>NaN</formula2>
    </dataValidation>
    <dataValidation type="decimal" allowBlank="1" showInputMessage="1" prompt="Dear Sir/ Madam - Score entered is greater than Max. Marks allotted." showErrorMessage="1" sqref="BF93">
      <formula1>0</formula1>
      <formula2>NaN</formula2>
    </dataValidation>
    <dataValidation type="decimal" allowBlank="1" showInputMessage="1" prompt="Dear Sir/ Madam - Score entered is greater than Max. Marks allotted." showErrorMessage="1" sqref="BF94">
      <formula1>0</formula1>
      <formula2>NaN</formula2>
    </dataValidation>
    <dataValidation type="decimal" allowBlank="1" showInputMessage="1" prompt="Dear Sir/ Madam - Score entered is greater than Max. Marks allotted." showErrorMessage="1" sqref="BF95">
      <formula1>0</formula1>
      <formula2>NaN</formula2>
    </dataValidation>
    <dataValidation type="decimal" allowBlank="1" showInputMessage="1" prompt="Dear Sir/ Madam - Score entered is greater than Max. Marks allotted." showErrorMessage="1" sqref="BF96">
      <formula1>0</formula1>
      <formula2>NaN</formula2>
    </dataValidation>
    <dataValidation type="decimal" allowBlank="1" showInputMessage="1" prompt="Dear Sir/ Madam - Score entered is greater than Max. Marks allotted." showErrorMessage="1" sqref="BF97">
      <formula1>0</formula1>
      <formula2>NaN</formula2>
    </dataValidation>
    <dataValidation type="decimal" allowBlank="1" showInputMessage="1" prompt="Dear Sir/ Madam - Score entered is greater than Max. Marks allotted." showErrorMessage="1" sqref="BF98">
      <formula1>0</formula1>
      <formula2>NaN</formula2>
    </dataValidation>
    <dataValidation type="decimal" allowBlank="1" showInputMessage="1" prompt="Dear Sir/ Madam - Score entered is greater than Max. Marks allotted." showErrorMessage="1" sqref="BF99">
      <formula1>0</formula1>
      <formula2>NaN</formula2>
    </dataValidation>
    <dataValidation type="decimal" allowBlank="1" showInputMessage="1" prompt="Dear Sir/ Madam - Score entered is greater than Max. Marks allotted." showErrorMessage="1" sqref="BG100">
      <formula1>0</formula1>
      <formula2>NaN</formula2>
    </dataValidation>
    <dataValidation type="decimal" allowBlank="1" showInputMessage="1" prompt="Dear Sir/ Madam - Score entered is greater than Max. Marks allotted." showErrorMessage="1" sqref="BG101">
      <formula1>0</formula1>
      <formula2>NaN</formula2>
    </dataValidation>
    <dataValidation type="decimal" allowBlank="1" showInputMessage="1" prompt="Dear Sir/ Madam - Score entered is greater than Max. Marks allotted." showErrorMessage="1" sqref="BG102">
      <formula1>0</formula1>
      <formula2>NaN</formula2>
    </dataValidation>
    <dataValidation type="decimal" allowBlank="1" showInputMessage="1" prompt="Dear Sir/ Madam - Score entered is greater than Max. Marks allotted." showErrorMessage="1" sqref="BG103">
      <formula1>0</formula1>
      <formula2>NaN</formula2>
    </dataValidation>
    <dataValidation type="decimal" allowBlank="1" showInputMessage="1" prompt="Dear Sir/ Madam - Score entered is greater than Max. Marks allotted." showErrorMessage="1" sqref="BG104">
      <formula1>0</formula1>
      <formula2>NaN</formula2>
    </dataValidation>
    <dataValidation type="decimal" allowBlank="1" showInputMessage="1" prompt="Dear Sir/ Madam - Score entered is greater than Max. Marks allotted." showErrorMessage="1" sqref="BG105">
      <formula1>0</formula1>
      <formula2>NaN</formula2>
    </dataValidation>
    <dataValidation type="decimal" allowBlank="1" showInputMessage="1" prompt="Dear Sir/ Madam - Score entered is greater than Max. Marks allotted." showErrorMessage="1" sqref="BG106">
      <formula1>0</formula1>
      <formula2>NaN</formula2>
    </dataValidation>
    <dataValidation type="decimal" allowBlank="1" showInputMessage="1" prompt="Dear Sir/ Madam - Score entered is greater than Max. Marks allotted." showErrorMessage="1" sqref="BG107">
      <formula1>0</formula1>
      <formula2>NaN</formula2>
    </dataValidation>
    <dataValidation type="decimal" allowBlank="1" showInputMessage="1" prompt="Dear Sir/ Madam - Score entered is greater than Max. Marks allotted." showErrorMessage="1" sqref="BG108">
      <formula1>0</formula1>
      <formula2>NaN</formula2>
    </dataValidation>
    <dataValidation type="decimal" allowBlank="1" showInputMessage="1" prompt="Dear Sir/ Madam - Score entered is greater than Max. Marks allotted." showErrorMessage="1" sqref="BG109">
      <formula1>0</formula1>
      <formula2>NaN</formula2>
    </dataValidation>
    <dataValidation type="decimal" allowBlank="1" showInputMessage="1" prompt="Dear Sir/ Madam - Score entered is greater than Max. Marks allotted." showErrorMessage="1" sqref="BG110">
      <formula1>0</formula1>
      <formula2>NaN</formula2>
    </dataValidation>
    <dataValidation type="decimal" allowBlank="1" showInputMessage="1" prompt="Dear Sir/ Madam - Score entered is greater than Max. Marks allotted." showErrorMessage="1" sqref="BG111">
      <formula1>0</formula1>
      <formula2>NaN</formula2>
    </dataValidation>
    <dataValidation type="decimal" allowBlank="1" showInputMessage="1" prompt="Dear Sir/ Madam - Score entered is greater than Max. Marks allotted." showErrorMessage="1" sqref="BG112">
      <formula1>0</formula1>
      <formula2>NaN</formula2>
    </dataValidation>
    <dataValidation type="decimal" allowBlank="1" showInputMessage="1" prompt="Dear Sir/ Madam - Score entered is greater than Max. Marks allotted." showErrorMessage="1" sqref="BG113">
      <formula1>0</formula1>
      <formula2>NaN</formula2>
    </dataValidation>
    <dataValidation type="decimal" allowBlank="1" showInputMessage="1" prompt="Dear Sir/ Madam - Score entered is greater than Max. Marks allotted." showErrorMessage="1" sqref="BG114">
      <formula1>0</formula1>
      <formula2>NaN</formula2>
    </dataValidation>
    <dataValidation type="decimal" allowBlank="1" showInputMessage="1" prompt="Dear Sir/ Madam - Score entered is greater than Max. Marks allotted." showErrorMessage="1" sqref="BG115">
      <formula1>0</formula1>
      <formula2>NaN</formula2>
    </dataValidation>
    <dataValidation type="decimal" allowBlank="1" showInputMessage="1" prompt="Dear Sir/ Madam - Score entered is greater than Max. Marks allotted." showErrorMessage="1" sqref="BG116">
      <formula1>0</formula1>
      <formula2>NaN</formula2>
    </dataValidation>
    <dataValidation type="decimal" allowBlank="1" showInputMessage="1" prompt="Dear Sir/ Madam - Score entered is greater than Max. Marks allotted." showErrorMessage="1" sqref="BG117">
      <formula1>0</formula1>
      <formula2>NaN</formula2>
    </dataValidation>
    <dataValidation type="decimal" allowBlank="1" showInputMessage="1" prompt="Dear Sir/ Madam - Score entered is greater than Max. Marks allotted." showErrorMessage="1" sqref="BG118">
      <formula1>0</formula1>
      <formula2>NaN</formula2>
    </dataValidation>
    <dataValidation type="decimal" allowBlank="1" showInputMessage="1" prompt="Dear Sir/ Madam - Score entered is greater than Max. Marks allotted." showErrorMessage="1" sqref="BG119">
      <formula1>0</formula1>
      <formula2>NaN</formula2>
    </dataValidation>
    <dataValidation type="decimal" allowBlank="1" showInputMessage="1" prompt="Dear Sir/ Madam - Score entered is greater than Max. Marks allotted." showErrorMessage="1" sqref="BG120">
      <formula1>0</formula1>
      <formula2>NaN</formula2>
    </dataValidation>
    <dataValidation type="decimal" allowBlank="1" showInputMessage="1" prompt="Dear Sir/ Madam - Score entered is greater than Max. Marks allotted." showErrorMessage="1" sqref="BG121">
      <formula1>0</formula1>
      <formula2>NaN</formula2>
    </dataValidation>
    <dataValidation type="decimal" allowBlank="1" showInputMessage="1" prompt="Dear Sir/ Madam - Score entered is greater than Max. Marks allotted." showErrorMessage="1" sqref="BG122">
      <formula1>0</formula1>
      <formula2>NaN</formula2>
    </dataValidation>
    <dataValidation type="decimal" allowBlank="1" showInputMessage="1" prompt="Dear Sir/ Madam - Score entered is greater than Max. Marks allotted." showErrorMessage="1" sqref="BG123">
      <formula1>0</formula1>
      <formula2>NaN</formula2>
    </dataValidation>
    <dataValidation type="decimal" allowBlank="1" showInputMessage="1" prompt="Dear Sir/ Madam - Score entered is greater than Max. Marks allotted." showErrorMessage="1" sqref="BG124">
      <formula1>0</formula1>
      <formula2>NaN</formula2>
    </dataValidation>
    <dataValidation type="decimal" allowBlank="1" showInputMessage="1" prompt="Dear Sir/ Madam - Score entered is greater than Max. Marks allotted." showErrorMessage="1" sqref="BG125">
      <formula1>0</formula1>
      <formula2>NaN</formula2>
    </dataValidation>
    <dataValidation type="decimal" allowBlank="1" showInputMessage="1" prompt="Dear Sir/ Madam - Score entered is greater than Max. Marks allotted." showErrorMessage="1" sqref="BG126">
      <formula1>0</formula1>
      <formula2>NaN</formula2>
    </dataValidation>
    <dataValidation type="decimal" allowBlank="1" showInputMessage="1" prompt="Dear Sir/ Madam - Score entered is greater than Max. Marks allotted." showErrorMessage="1" sqref="BG127">
      <formula1>0</formula1>
      <formula2>NaN</formula2>
    </dataValidation>
    <dataValidation type="decimal" allowBlank="1" showInputMessage="1" prompt="Dear Sir/ Madam - Score entered is greater than Max. Marks allotted." showErrorMessage="1" sqref="BG128">
      <formula1>0</formula1>
      <formula2>NaN</formula2>
    </dataValidation>
    <dataValidation type="decimal" allowBlank="1" showInputMessage="1" prompt="Dear Sir/ Madam - Score entered is greater than Max. Marks allotted." showErrorMessage="1" sqref="BG129">
      <formula1>0</formula1>
      <formula2>NaN</formula2>
    </dataValidation>
    <dataValidation type="decimal" allowBlank="1" showInputMessage="1" prompt="Dear Sir/ Madam - Score entered is greater than Max. Marks allotted." showErrorMessage="1" sqref="BG13">
      <formula1>0</formula1>
      <formula2>NaN</formula2>
    </dataValidation>
    <dataValidation type="decimal" allowBlank="1" showInputMessage="1" prompt="Dear Sir/ Madam - Score entered is greater than Max. Marks allotted." showErrorMessage="1" sqref="BG130">
      <formula1>0</formula1>
      <formula2>NaN</formula2>
    </dataValidation>
    <dataValidation type="decimal" allowBlank="1" showInputMessage="1" prompt="Dear Sir/ Madam - Score entered is greater than Max. Marks allotted." showErrorMessage="1" sqref="BG131">
      <formula1>0</formula1>
      <formula2>NaN</formula2>
    </dataValidation>
    <dataValidation type="decimal" allowBlank="1" showInputMessage="1" prompt="Dear Sir/ Madam - Score entered is greater than Max. Marks allotted." showErrorMessage="1" sqref="BG132">
      <formula1>0</formula1>
      <formula2>NaN</formula2>
    </dataValidation>
    <dataValidation type="decimal" allowBlank="1" showInputMessage="1" prompt="Dear Sir/ Madam - Score entered is greater than Max. Marks allotted." showErrorMessage="1" sqref="BG133">
      <formula1>0</formula1>
      <formula2>NaN</formula2>
    </dataValidation>
    <dataValidation type="decimal" allowBlank="1" showInputMessage="1" prompt="Dear Sir/ Madam - Score entered is greater than Max. Marks allotted." showErrorMessage="1" sqref="BG134">
      <formula1>0</formula1>
      <formula2>NaN</formula2>
    </dataValidation>
    <dataValidation type="decimal" allowBlank="1" showInputMessage="1" prompt="Dear Sir/ Madam - Score entered is greater than Max. Marks allotted." showErrorMessage="1" sqref="BG135">
      <formula1>0</formula1>
      <formula2>NaN</formula2>
    </dataValidation>
    <dataValidation type="decimal" allowBlank="1" showInputMessage="1" prompt="Dear Sir/ Madam - Score entered is greater than Max. Marks allotted." showErrorMessage="1" sqref="BG136">
      <formula1>0</formula1>
      <formula2>NaN</formula2>
    </dataValidation>
    <dataValidation type="decimal" allowBlank="1" showInputMessage="1" prompt="Dear Sir/ Madam - Score entered is greater than Max. Marks allotted." showErrorMessage="1" sqref="BG137">
      <formula1>0</formula1>
      <formula2>NaN</formula2>
    </dataValidation>
    <dataValidation type="decimal" allowBlank="1" showInputMessage="1" prompt="Dear Sir/ Madam - Score entered is greater than Max. Marks allotted." showErrorMessage="1" sqref="BG138">
      <formula1>0</formula1>
      <formula2>NaN</formula2>
    </dataValidation>
    <dataValidation type="decimal" allowBlank="1" showInputMessage="1" prompt="Dear Sir/ Madam - Score entered is greater than Max. Marks allotted." showErrorMessage="1" sqref="BG139">
      <formula1>0</formula1>
      <formula2>NaN</formula2>
    </dataValidation>
    <dataValidation type="decimal" allowBlank="1" showInputMessage="1" prompt="Dear Sir/ Madam - Score entered is greater than Max. Marks allotted." showErrorMessage="1" sqref="BG14">
      <formula1>0</formula1>
      <formula2>NaN</formula2>
    </dataValidation>
    <dataValidation type="decimal" allowBlank="1" showInputMessage="1" prompt="Dear Sir/ Madam - Score entered is greater than Max. Marks allotted." showErrorMessage="1" sqref="BG140">
      <formula1>0</formula1>
      <formula2>NaN</formula2>
    </dataValidation>
    <dataValidation type="decimal" allowBlank="1" showInputMessage="1" prompt="Dear Sir/ Madam - Score entered is greater than Max. Marks allotted." showErrorMessage="1" sqref="BG141">
      <formula1>0</formula1>
      <formula2>NaN</formula2>
    </dataValidation>
    <dataValidation type="decimal" allowBlank="1" showInputMessage="1" prompt="Dear Sir/ Madam - Score entered is greater than Max. Marks allotted." showErrorMessage="1" sqref="BG142">
      <formula1>0</formula1>
      <formula2>NaN</formula2>
    </dataValidation>
    <dataValidation type="decimal" allowBlank="1" showInputMessage="1" prompt="Dear Sir/ Madam - Score entered is greater than Max. Marks allotted." showErrorMessage="1" sqref="BG143">
      <formula1>0</formula1>
      <formula2>NaN</formula2>
    </dataValidation>
    <dataValidation type="decimal" allowBlank="1" showInputMessage="1" prompt="Dear Sir/ Madam - Score entered is greater than Max. Marks allotted." showErrorMessage="1" sqref="BG144">
      <formula1>0</formula1>
      <formula2>NaN</formula2>
    </dataValidation>
    <dataValidation type="decimal" allowBlank="1" showInputMessage="1" prompt="Dear Sir/ Madam - Score entered is greater than Max. Marks allotted." showErrorMessage="1" sqref="BG145">
      <formula1>0</formula1>
      <formula2>NaN</formula2>
    </dataValidation>
    <dataValidation type="decimal" allowBlank="1" showInputMessage="1" prompt="Dear Sir/ Madam - Score entered is greater than Max. Marks allotted." showErrorMessage="1" sqref="BG146">
      <formula1>0</formula1>
      <formula2>NaN</formula2>
    </dataValidation>
    <dataValidation type="decimal" allowBlank="1" showInputMessage="1" prompt="Dear Sir/ Madam - Score entered is greater than Max. Marks allotted." showErrorMessage="1" sqref="BG147">
      <formula1>0</formula1>
      <formula2>NaN</formula2>
    </dataValidation>
    <dataValidation type="decimal" allowBlank="1" showInputMessage="1" prompt="Dear Sir/ Madam - Score entered is greater than Max. Marks allotted." showErrorMessage="1" sqref="BG148">
      <formula1>0</formula1>
      <formula2>NaN</formula2>
    </dataValidation>
    <dataValidation type="decimal" allowBlank="1" showInputMessage="1" prompt="Dear Sir/ Madam - Score entered is greater than Max. Marks allotted." showErrorMessage="1" sqref="BG149">
      <formula1>0</formula1>
      <formula2>NaN</formula2>
    </dataValidation>
    <dataValidation type="decimal" allowBlank="1" showInputMessage="1" prompt="Dear Sir/ Madam - Score entered is greater than Max. Marks allotted." showErrorMessage="1" sqref="BG15">
      <formula1>0</formula1>
      <formula2>NaN</formula2>
    </dataValidation>
    <dataValidation type="decimal" allowBlank="1" showInputMessage="1" prompt="Dear Sir/ Madam - Score entered is greater than Max. Marks allotted." showErrorMessage="1" sqref="BG150">
      <formula1>0</formula1>
      <formula2>NaN</formula2>
    </dataValidation>
    <dataValidation type="decimal" allowBlank="1" showInputMessage="1" prompt="Dear Sir/ Madam - Score entered is greater than Max. Marks allotted." showErrorMessage="1" sqref="BG151">
      <formula1>0</formula1>
      <formula2>NaN</formula2>
    </dataValidation>
    <dataValidation type="decimal" allowBlank="1" showInputMessage="1" prompt="Dear Sir/ Madam - Score entered is greater than Max. Marks allotted." showErrorMessage="1" sqref="BG152">
      <formula1>0</formula1>
      <formula2>NaN</formula2>
    </dataValidation>
    <dataValidation type="decimal" allowBlank="1" showInputMessage="1" prompt="Dear Sir/ Madam - Score entered is greater than Max. Marks allotted." showErrorMessage="1" sqref="BG153">
      <formula1>0</formula1>
      <formula2>NaN</formula2>
    </dataValidation>
    <dataValidation type="decimal" allowBlank="1" showInputMessage="1" prompt="Dear Sir/ Madam - Score entered is greater than Max. Marks allotted." showErrorMessage="1" sqref="BG154">
      <formula1>0</formula1>
      <formula2>NaN</formula2>
    </dataValidation>
    <dataValidation type="decimal" allowBlank="1" showInputMessage="1" prompt="Dear Sir/ Madam - Score entered is greater than Max. Marks allotted." showErrorMessage="1" sqref="BG155">
      <formula1>0</formula1>
      <formula2>NaN</formula2>
    </dataValidation>
    <dataValidation type="decimal" allowBlank="1" showInputMessage="1" prompt="Dear Sir/ Madam - Score entered is greater than Max. Marks allotted." showErrorMessage="1" sqref="BG156">
      <formula1>0</formula1>
      <formula2>NaN</formula2>
    </dataValidation>
    <dataValidation type="decimal" allowBlank="1" showInputMessage="1" prompt="Dear Sir/ Madam - Score entered is greater than Max. Marks allotted." showErrorMessage="1" sqref="BG157">
      <formula1>0</formula1>
      <formula2>NaN</formula2>
    </dataValidation>
    <dataValidation type="decimal" allowBlank="1" showInputMessage="1" prompt="Dear Sir/ Madam - Score entered is greater than Max. Marks allotted." showErrorMessage="1" sqref="BG158">
      <formula1>0</formula1>
      <formula2>NaN</formula2>
    </dataValidation>
    <dataValidation type="decimal" allowBlank="1" showInputMessage="1" prompt="Dear Sir/ Madam - Score entered is greater than Max. Marks allotted." showErrorMessage="1" sqref="BG159">
      <formula1>0</formula1>
      <formula2>NaN</formula2>
    </dataValidation>
    <dataValidation type="decimal" allowBlank="1" showInputMessage="1" prompt="Dear Sir/ Madam - Score entered is greater than Max. Marks allotted." showErrorMessage="1" sqref="BG16">
      <formula1>0</formula1>
      <formula2>NaN</formula2>
    </dataValidation>
    <dataValidation type="decimal" allowBlank="1" showInputMessage="1" prompt="Dear Sir/ Madam - Score entered is greater than Max. Marks allotted." showErrorMessage="1" sqref="BG160">
      <formula1>0</formula1>
      <formula2>NaN</formula2>
    </dataValidation>
    <dataValidation type="decimal" allowBlank="1" showInputMessage="1" prompt="Dear Sir/ Madam - Score entered is greater than Max. Marks allotted." showErrorMessage="1" sqref="BG161">
      <formula1>0</formula1>
      <formula2>NaN</formula2>
    </dataValidation>
    <dataValidation type="decimal" allowBlank="1" showInputMessage="1" prompt="Dear Sir/ Madam - Score entered is greater than Max. Marks allotted." showErrorMessage="1" sqref="BG162">
      <formula1>0</formula1>
      <formula2>NaN</formula2>
    </dataValidation>
    <dataValidation type="decimal" allowBlank="1" showInputMessage="1" prompt="Dear Sir/ Madam - Score entered is greater than Max. Marks allotted." showErrorMessage="1" sqref="BG163">
      <formula1>0</formula1>
      <formula2>NaN</formula2>
    </dataValidation>
    <dataValidation type="decimal" allowBlank="1" showInputMessage="1" prompt="Dear Sir/ Madam - Score entered is greater than Max. Marks allotted." showErrorMessage="1" sqref="BG164">
      <formula1>0</formula1>
      <formula2>NaN</formula2>
    </dataValidation>
    <dataValidation type="decimal" allowBlank="1" showInputMessage="1" prompt="Dear Sir/ Madam - Score entered is greater than Max. Marks allotted." showErrorMessage="1" sqref="BG165">
      <formula1>0</formula1>
      <formula2>NaN</formula2>
    </dataValidation>
    <dataValidation type="decimal" allowBlank="1" showInputMessage="1" prompt="Dear Sir/ Madam - Score entered is greater than Max. Marks allotted." showErrorMessage="1" sqref="BG166">
      <formula1>0</formula1>
      <formula2>NaN</formula2>
    </dataValidation>
    <dataValidation type="decimal" allowBlank="1" showInputMessage="1" prompt="Dear Sir/ Madam - Score entered is greater than Max. Marks allotted." showErrorMessage="1" sqref="BG167">
      <formula1>0</formula1>
      <formula2>NaN</formula2>
    </dataValidation>
    <dataValidation type="decimal" allowBlank="1" showInputMessage="1" prompt="Dear Sir/ Madam - Score entered is greater than Max. Marks allotted." showErrorMessage="1" sqref="BG168">
      <formula1>0</formula1>
      <formula2>NaN</formula2>
    </dataValidation>
    <dataValidation type="decimal" allowBlank="1" showInputMessage="1" prompt="Dear Sir/ Madam - Score entered is greater than Max. Marks allotted." showErrorMessage="1" sqref="BG169">
      <formula1>0</formula1>
      <formula2>NaN</formula2>
    </dataValidation>
    <dataValidation type="decimal" allowBlank="1" showInputMessage="1" prompt="Dear Sir/ Madam - Score entered is greater than Max. Marks allotted." showErrorMessage="1" sqref="BG17">
      <formula1>0</formula1>
      <formula2>NaN</formula2>
    </dataValidation>
    <dataValidation type="decimal" allowBlank="1" showInputMessage="1" prompt="Dear Sir/ Madam - Score entered is greater than Max. Marks allotted." showErrorMessage="1" sqref="BG170">
      <formula1>0</formula1>
      <formula2>NaN</formula2>
    </dataValidation>
    <dataValidation type="decimal" allowBlank="1" showInputMessage="1" prompt="Dear Sir/ Madam - Score entered is greater than Max. Marks allotted." showErrorMessage="1" sqref="BG171">
      <formula1>0</formula1>
      <formula2>NaN</formula2>
    </dataValidation>
    <dataValidation type="decimal" allowBlank="1" showInputMessage="1" prompt="Dear Sir/ Madam - Score entered is greater than Max. Marks allotted." showErrorMessage="1" sqref="BG172">
      <formula1>0</formula1>
      <formula2>NaN</formula2>
    </dataValidation>
    <dataValidation type="decimal" allowBlank="1" showInputMessage="1" prompt="Dear Sir/ Madam - Score entered is greater than Max. Marks allotted." showErrorMessage="1" sqref="BG173">
      <formula1>0</formula1>
      <formula2>NaN</formula2>
    </dataValidation>
    <dataValidation type="decimal" allowBlank="1" showInputMessage="1" prompt="Dear Sir/ Madam - Score entered is greater than Max. Marks allotted." showErrorMessage="1" sqref="BG174">
      <formula1>0</formula1>
      <formula2>NaN</formula2>
    </dataValidation>
    <dataValidation type="decimal" allowBlank="1" showInputMessage="1" prompt="Dear Sir/ Madam - Score entered is greater than Max. Marks allotted." showErrorMessage="1" sqref="BG175">
      <formula1>0</formula1>
      <formula2>NaN</formula2>
    </dataValidation>
    <dataValidation type="decimal" allowBlank="1" showInputMessage="1" prompt="Dear Sir/ Madam - Score entered is greater than Max. Marks allotted." showErrorMessage="1" sqref="BG176">
      <formula1>0</formula1>
      <formula2>NaN</formula2>
    </dataValidation>
    <dataValidation type="decimal" allowBlank="1" showInputMessage="1" prompt="Dear Sir/ Madam - Score entered is greater than Max. Marks allotted." showErrorMessage="1" sqref="BG177">
      <formula1>0</formula1>
      <formula2>NaN</formula2>
    </dataValidation>
    <dataValidation type="decimal" allowBlank="1" showInputMessage="1" prompt="Dear Sir/ Madam - Score entered is greater than Max. Marks allotted." showErrorMessage="1" sqref="BG178">
      <formula1>0</formula1>
      <formula2>NaN</formula2>
    </dataValidation>
    <dataValidation type="decimal" allowBlank="1" showInputMessage="1" prompt="Dear Sir/ Madam - Score entered is greater than Max. Marks allotted." showErrorMessage="1" sqref="BG179">
      <formula1>0</formula1>
      <formula2>NaN</formula2>
    </dataValidation>
    <dataValidation type="decimal" allowBlank="1" showInputMessage="1" prompt="Dear Sir/ Madam - Score entered is greater than Max. Marks allotted." showErrorMessage="1" sqref="BG18">
      <formula1>0</formula1>
      <formula2>NaN</formula2>
    </dataValidation>
    <dataValidation type="decimal" allowBlank="1" showInputMessage="1" prompt="Dear Sir/ Madam - Score entered is greater than Max. Marks allotted." showErrorMessage="1" sqref="BG180">
      <formula1>0</formula1>
      <formula2>NaN</formula2>
    </dataValidation>
    <dataValidation type="decimal" allowBlank="1" showInputMessage="1" prompt="Dear Sir/ Madam - Score entered is greater than Max. Marks allotted." showErrorMessage="1" sqref="BG181">
      <formula1>0</formula1>
      <formula2>NaN</formula2>
    </dataValidation>
    <dataValidation type="decimal" allowBlank="1" showInputMessage="1" prompt="Dear Sir/ Madam - Score entered is greater than Max. Marks allotted." showErrorMessage="1" sqref="BG182">
      <formula1>0</formula1>
      <formula2>NaN</formula2>
    </dataValidation>
    <dataValidation type="decimal" allowBlank="1" showInputMessage="1" prompt="Dear Sir/ Madam - Score entered is greater than Max. Marks allotted." showErrorMessage="1" sqref="BG183">
      <formula1>0</formula1>
      <formula2>NaN</formula2>
    </dataValidation>
    <dataValidation type="decimal" allowBlank="1" showInputMessage="1" prompt="Dear Sir/ Madam - Score entered is greater than Max. Marks allotted." showErrorMessage="1" sqref="BG184">
      <formula1>0</formula1>
      <formula2>NaN</formula2>
    </dataValidation>
    <dataValidation type="decimal" allowBlank="1" showInputMessage="1" prompt="Dear Sir/ Madam - Score entered is greater than Max. Marks allotted." showErrorMessage="1" sqref="BG185">
      <formula1>0</formula1>
      <formula2>NaN</formula2>
    </dataValidation>
    <dataValidation type="decimal" allowBlank="1" showInputMessage="1" prompt="Dear Sir/ Madam - Score entered is greater than Max. Marks allotted." showErrorMessage="1" sqref="BG186">
      <formula1>0</formula1>
      <formula2>NaN</formula2>
    </dataValidation>
    <dataValidation type="decimal" allowBlank="1" showInputMessage="1" prompt="Dear Sir/ Madam - Score entered is greater than Max. Marks allotted." showErrorMessage="1" sqref="BG187">
      <formula1>0</formula1>
      <formula2>NaN</formula2>
    </dataValidation>
    <dataValidation type="decimal" allowBlank="1" showInputMessage="1" prompt="Dear Sir/ Madam - Score entered is greater than Max. Marks allotted." showErrorMessage="1" sqref="BG188">
      <formula1>0</formula1>
      <formula2>NaN</formula2>
    </dataValidation>
    <dataValidation type="decimal" allowBlank="1" showInputMessage="1" prompt="Dear Sir/ Madam - Score entered is greater than Max. Marks allotted." showErrorMessage="1" sqref="BG189">
      <formula1>0</formula1>
      <formula2>NaN</formula2>
    </dataValidation>
    <dataValidation type="decimal" allowBlank="1" showInputMessage="1" prompt="Dear Sir/ Madam - Score entered is greater than Max. Marks allotted." showErrorMessage="1" sqref="BG19">
      <formula1>0</formula1>
      <formula2>NaN</formula2>
    </dataValidation>
    <dataValidation type="decimal" allowBlank="1" showInputMessage="1" prompt="Dear Sir/ Madam - Score entered is greater than Max. Marks allotted." showErrorMessage="1" sqref="BG190">
      <formula1>0</formula1>
      <formula2>NaN</formula2>
    </dataValidation>
    <dataValidation type="decimal" allowBlank="1" showInputMessage="1" prompt="Dear Sir/ Madam - Score entered is greater than Max. Marks allotted." showErrorMessage="1" sqref="BG191">
      <formula1>0</formula1>
      <formula2>NaN</formula2>
    </dataValidation>
    <dataValidation type="decimal" allowBlank="1" showInputMessage="1" prompt="Dear Sir/ Madam - Score entered is greater than Max. Marks allotted." showErrorMessage="1" sqref="BG192">
      <formula1>0</formula1>
      <formula2>NaN</formula2>
    </dataValidation>
    <dataValidation type="decimal" allowBlank="1" showInputMessage="1" prompt="Dear Sir/ Madam - Score entered is greater than Max. Marks allotted." showErrorMessage="1" sqref="BG193">
      <formula1>0</formula1>
      <formula2>NaN</formula2>
    </dataValidation>
    <dataValidation type="decimal" allowBlank="1" showInputMessage="1" prompt="Dear Sir/ Madam - Score entered is greater than Max. Marks allotted." showErrorMessage="1" sqref="BG194">
      <formula1>0</formula1>
      <formula2>NaN</formula2>
    </dataValidation>
    <dataValidation type="decimal" allowBlank="1" showInputMessage="1" prompt="Dear Sir/ Madam - Score entered is greater than Max. Marks allotted." showErrorMessage="1" sqref="BG195">
      <formula1>0</formula1>
      <formula2>NaN</formula2>
    </dataValidation>
    <dataValidation type="decimal" allowBlank="1" showInputMessage="1" prompt="Dear Sir/ Madam - Score entered is greater than Max. Marks allotted." showErrorMessage="1" sqref="BG196">
      <formula1>0</formula1>
      <formula2>NaN</formula2>
    </dataValidation>
    <dataValidation type="decimal" allowBlank="1" showInputMessage="1" prompt="Dear Sir/ Madam - Score entered is greater than Max. Marks allotted." showErrorMessage="1" sqref="BG197">
      <formula1>0</formula1>
      <formula2>NaN</formula2>
    </dataValidation>
    <dataValidation type="decimal" allowBlank="1" showInputMessage="1" prompt="Dear Sir/ Madam - Score entered is greater than Max. Marks allotted." showErrorMessage="1" sqref="BG198">
      <formula1>0</formula1>
      <formula2>NaN</formula2>
    </dataValidation>
    <dataValidation type="decimal" allowBlank="1" showInputMessage="1" prompt="Dear Sir/ Madam - Score entered is greater than Max. Marks allotted." showErrorMessage="1" sqref="BG199">
      <formula1>0</formula1>
      <formula2>NaN</formula2>
    </dataValidation>
    <dataValidation type="decimal" allowBlank="1" showInputMessage="1" prompt="Dear Sir/ Madam - Score entered is greater than Max. Marks allotted." showErrorMessage="1" sqref="BG20">
      <formula1>0</formula1>
      <formula2>NaN</formula2>
    </dataValidation>
    <dataValidation type="decimal" allowBlank="1" showInputMessage="1" prompt="Dear Sir/ Madam - Score entered is greater than Max. Marks allotted." showErrorMessage="1" sqref="BG200">
      <formula1>0</formula1>
      <formula2>NaN</formula2>
    </dataValidation>
    <dataValidation type="decimal" allowBlank="1" showInputMessage="1" prompt="Dear Sir/ Madam - Score entered is greater than Max. Marks allotted." showErrorMessage="1" sqref="BG21">
      <formula1>0</formula1>
      <formula2>NaN</formula2>
    </dataValidation>
    <dataValidation type="decimal" allowBlank="1" showInputMessage="1" prompt="Dear Sir/ Madam - Score entered is greater than Max. Marks allotted." showErrorMessage="1" sqref="BG22">
      <formula1>0</formula1>
      <formula2>NaN</formula2>
    </dataValidation>
    <dataValidation type="decimal" allowBlank="1" showInputMessage="1" prompt="Dear Sir/ Madam - Score entered is greater than Max. Marks allotted." showErrorMessage="1" sqref="BG23">
      <formula1>0</formula1>
      <formula2>NaN</formula2>
    </dataValidation>
    <dataValidation type="decimal" allowBlank="1" showInputMessage="1" prompt="Dear Sir/ Madam - Score entered is greater than Max. Marks allotted." showErrorMessage="1" sqref="BG24">
      <formula1>0</formula1>
      <formula2>NaN</formula2>
    </dataValidation>
    <dataValidation type="decimal" allowBlank="1" showInputMessage="1" prompt="Dear Sir/ Madam - Score entered is greater than Max. Marks allotted." showErrorMessage="1" sqref="BG25">
      <formula1>0</formula1>
      <formula2>NaN</formula2>
    </dataValidation>
    <dataValidation type="decimal" allowBlank="1" showInputMessage="1" prompt="Dear Sir/ Madam - Score entered is greater than Max. Marks allotted." showErrorMessage="1" sqref="BG26">
      <formula1>0</formula1>
      <formula2>NaN</formula2>
    </dataValidation>
    <dataValidation type="decimal" allowBlank="1" showInputMessage="1" prompt="Dear Sir/ Madam - Score entered is greater than Max. Marks allotted." showErrorMessage="1" sqref="BG27">
      <formula1>0</formula1>
      <formula2>NaN</formula2>
    </dataValidation>
    <dataValidation type="decimal" allowBlank="1" showInputMessage="1" prompt="Dear Sir/ Madam - Score entered is greater than Max. Marks allotted." showErrorMessage="1" sqref="BG28">
      <formula1>0</formula1>
      <formula2>NaN</formula2>
    </dataValidation>
    <dataValidation type="decimal" allowBlank="1" showInputMessage="1" prompt="Dear Sir/ Madam - Score entered is greater than Max. Marks allotted." showErrorMessage="1" sqref="BG29">
      <formula1>0</formula1>
      <formula2>NaN</formula2>
    </dataValidation>
    <dataValidation type="decimal" allowBlank="1" showInputMessage="1" prompt="Dear Sir/ Madam - Score entered is greater than Max. Marks allotted." showErrorMessage="1" sqref="BG30">
      <formula1>0</formula1>
      <formula2>NaN</formula2>
    </dataValidation>
    <dataValidation type="decimal" allowBlank="1" showInputMessage="1" prompt="Dear Sir/ Madam - Score entered is greater than Max. Marks allotted." showErrorMessage="1" sqref="BG31">
      <formula1>0</formula1>
      <formula2>NaN</formula2>
    </dataValidation>
    <dataValidation type="decimal" allowBlank="1" showInputMessage="1" prompt="Dear Sir/ Madam - Score entered is greater than Max. Marks allotted." showErrorMessage="1" sqref="BG32">
      <formula1>0</formula1>
      <formula2>NaN</formula2>
    </dataValidation>
    <dataValidation type="decimal" allowBlank="1" showInputMessage="1" prompt="Dear Sir/ Madam - Score entered is greater than Max. Marks allotted." showErrorMessage="1" sqref="BG33">
      <formula1>0</formula1>
      <formula2>NaN</formula2>
    </dataValidation>
    <dataValidation type="decimal" allowBlank="1" showInputMessage="1" prompt="Dear Sir/ Madam - Score entered is greater than Max. Marks allotted." showErrorMessage="1" sqref="BG34">
      <formula1>0</formula1>
      <formula2>NaN</formula2>
    </dataValidation>
    <dataValidation type="decimal" allowBlank="1" showInputMessage="1" prompt="Dear Sir/ Madam - Score entered is greater than Max. Marks allotted." showErrorMessage="1" sqref="BG35">
      <formula1>0</formula1>
      <formula2>NaN</formula2>
    </dataValidation>
    <dataValidation type="decimal" allowBlank="1" showInputMessage="1" prompt="Dear Sir/ Madam - Score entered is greater than Max. Marks allotted." showErrorMessage="1" sqref="BG36">
      <formula1>0</formula1>
      <formula2>NaN</formula2>
    </dataValidation>
    <dataValidation type="decimal" allowBlank="1" showInputMessage="1" prompt="Dear Sir/ Madam - Score entered is greater than Max. Marks allotted." showErrorMessage="1" sqref="BG37">
      <formula1>0</formula1>
      <formula2>NaN</formula2>
    </dataValidation>
    <dataValidation type="decimal" allowBlank="1" showInputMessage="1" prompt="Dear Sir/ Madam - Score entered is greater than Max. Marks allotted." showErrorMessage="1" sqref="BG38">
      <formula1>0</formula1>
      <formula2>NaN</formula2>
    </dataValidation>
    <dataValidation type="decimal" allowBlank="1" showInputMessage="1" prompt="Dear Sir/ Madam - Score entered is greater than Max. Marks allotted." showErrorMessage="1" sqref="BG39">
      <formula1>0</formula1>
      <formula2>NaN</formula2>
    </dataValidation>
    <dataValidation type="decimal" allowBlank="1" showInputMessage="1" prompt="Dear Sir/ Madam - Score entered is greater than Max. Marks allotted." showErrorMessage="1" sqref="BG40">
      <formula1>0</formula1>
      <formula2>NaN</formula2>
    </dataValidation>
    <dataValidation type="decimal" allowBlank="1" showInputMessage="1" prompt="Dear Sir/ Madam - Score entered is greater than Max. Marks allotted." showErrorMessage="1" sqref="BG41">
      <formula1>0</formula1>
      <formula2>NaN</formula2>
    </dataValidation>
    <dataValidation type="decimal" allowBlank="1" showInputMessage="1" prompt="Dear Sir/ Madam - Score entered is greater than Max. Marks allotted." showErrorMessage="1" sqref="BG42">
      <formula1>0</formula1>
      <formula2>NaN</formula2>
    </dataValidation>
    <dataValidation type="decimal" allowBlank="1" showInputMessage="1" prompt="Dear Sir/ Madam - Score entered is greater than Max. Marks allotted." showErrorMessage="1" sqref="BG43">
      <formula1>0</formula1>
      <formula2>NaN</formula2>
    </dataValidation>
    <dataValidation type="decimal" allowBlank="1" showInputMessage="1" prompt="Dear Sir/ Madam - Score entered is greater than Max. Marks allotted." showErrorMessage="1" sqref="BG44">
      <formula1>0</formula1>
      <formula2>NaN</formula2>
    </dataValidation>
    <dataValidation type="decimal" allowBlank="1" showInputMessage="1" prompt="Dear Sir/ Madam - Score entered is greater than Max. Marks allotted." showErrorMessage="1" sqref="BG45">
      <formula1>0</formula1>
      <formula2>NaN</formula2>
    </dataValidation>
    <dataValidation type="decimal" allowBlank="1" showInputMessage="1" prompt="Dear Sir/ Madam - Score entered is greater than Max. Marks allotted." showErrorMessage="1" sqref="BG46">
      <formula1>0</formula1>
      <formula2>NaN</formula2>
    </dataValidation>
    <dataValidation type="decimal" allowBlank="1" showInputMessage="1" prompt="Dear Sir/ Madam - Score entered is greater than Max. Marks allotted." showErrorMessage="1" sqref="BG47">
      <formula1>0</formula1>
      <formula2>NaN</formula2>
    </dataValidation>
    <dataValidation type="decimal" allowBlank="1" showInputMessage="1" prompt="Dear Sir/ Madam - Score entered is greater than Max. Marks allotted." showErrorMessage="1" sqref="BG48">
      <formula1>0</formula1>
      <formula2>NaN</formula2>
    </dataValidation>
    <dataValidation type="decimal" allowBlank="1" showInputMessage="1" prompt="Dear Sir/ Madam - Score entered is greater than Max. Marks allotted." showErrorMessage="1" sqref="BG49">
      <formula1>0</formula1>
      <formula2>NaN</formula2>
    </dataValidation>
    <dataValidation type="decimal" allowBlank="1" showInputMessage="1" prompt="Dear Sir/ Madam - Score entered is greater than Max. Marks allotted." showErrorMessage="1" sqref="BG50">
      <formula1>0</formula1>
      <formula2>NaN</formula2>
    </dataValidation>
    <dataValidation type="decimal" allowBlank="1" showInputMessage="1" prompt="Dear Sir/ Madam - Score entered is greater than Max. Marks allotted." showErrorMessage="1" sqref="BG51">
      <formula1>0</formula1>
      <formula2>NaN</formula2>
    </dataValidation>
    <dataValidation type="decimal" allowBlank="1" showInputMessage="1" prompt="Dear Sir/ Madam - Score entered is greater than Max. Marks allotted." showErrorMessage="1" sqref="BG52">
      <formula1>0</formula1>
      <formula2>NaN</formula2>
    </dataValidation>
    <dataValidation type="decimal" allowBlank="1" showInputMessage="1" prompt="Dear Sir/ Madam - Score entered is greater than Max. Marks allotted." showErrorMessage="1" sqref="BG53">
      <formula1>0</formula1>
      <formula2>NaN</formula2>
    </dataValidation>
    <dataValidation type="decimal" allowBlank="1" showInputMessage="1" prompt="Dear Sir/ Madam - Score entered is greater than Max. Marks allotted." showErrorMessage="1" sqref="BG54">
      <formula1>0</formula1>
      <formula2>NaN</formula2>
    </dataValidation>
    <dataValidation type="decimal" allowBlank="1" showInputMessage="1" prompt="Dear Sir/ Madam - Score entered is greater than Max. Marks allotted." showErrorMessage="1" sqref="BG55">
      <formula1>0</formula1>
      <formula2>NaN</formula2>
    </dataValidation>
    <dataValidation type="decimal" allowBlank="1" showInputMessage="1" prompt="Dear Sir/ Madam - Score entered is greater than Max. Marks allotted." showErrorMessage="1" sqref="BG56">
      <formula1>0</formula1>
      <formula2>NaN</formula2>
    </dataValidation>
    <dataValidation type="decimal" allowBlank="1" showInputMessage="1" prompt="Dear Sir/ Madam - Score entered is greater than Max. Marks allotted." showErrorMessage="1" sqref="BG57">
      <formula1>0</formula1>
      <formula2>NaN</formula2>
    </dataValidation>
    <dataValidation type="decimal" allowBlank="1" showInputMessage="1" prompt="Dear Sir/ Madam - Score entered is greater than Max. Marks allotted." showErrorMessage="1" sqref="BG58">
      <formula1>0</formula1>
      <formula2>NaN</formula2>
    </dataValidation>
    <dataValidation type="decimal" allowBlank="1" showInputMessage="1" prompt="Dear Sir/ Madam - Score entered is greater than Max. Marks allotted." showErrorMessage="1" sqref="BG59">
      <formula1>0</formula1>
      <formula2>NaN</formula2>
    </dataValidation>
    <dataValidation type="decimal" allowBlank="1" showInputMessage="1" prompt="Dear Sir/ Madam - Score entered is greater than Max. Marks allotted." showErrorMessage="1" sqref="BG60">
      <formula1>0</formula1>
      <formula2>NaN</formula2>
    </dataValidation>
    <dataValidation type="decimal" allowBlank="1" showInputMessage="1" prompt="Dear Sir/ Madam - Score entered is greater than Max. Marks allotted." showErrorMessage="1" sqref="BG61">
      <formula1>0</formula1>
      <formula2>NaN</formula2>
    </dataValidation>
    <dataValidation type="decimal" allowBlank="1" showInputMessage="1" prompt="Dear Sir/ Madam - Score entered is greater than Max. Marks allotted." showErrorMessage="1" sqref="BG62">
      <formula1>0</formula1>
      <formula2>NaN</formula2>
    </dataValidation>
    <dataValidation type="decimal" allowBlank="1" showInputMessage="1" prompt="Dear Sir/ Madam - Score entered is greater than Max. Marks allotted." showErrorMessage="1" sqref="BG63">
      <formula1>0</formula1>
      <formula2>NaN</formula2>
    </dataValidation>
    <dataValidation type="decimal" allowBlank="1" showInputMessage="1" prompt="Dear Sir/ Madam - Score entered is greater than Max. Marks allotted." showErrorMessage="1" sqref="BG64">
      <formula1>0</formula1>
      <formula2>NaN</formula2>
    </dataValidation>
    <dataValidation type="decimal" allowBlank="1" showInputMessage="1" prompt="Dear Sir/ Madam - Score entered is greater than Max. Marks allotted." showErrorMessage="1" sqref="BG65">
      <formula1>0</formula1>
      <formula2>NaN</formula2>
    </dataValidation>
    <dataValidation type="decimal" allowBlank="1" showInputMessage="1" prompt="Dear Sir/ Madam - Score entered is greater than Max. Marks allotted." showErrorMessage="1" sqref="BG66">
      <formula1>0</formula1>
      <formula2>NaN</formula2>
    </dataValidation>
    <dataValidation type="decimal" allowBlank="1" showInputMessage="1" prompt="Dear Sir/ Madam - Score entered is greater than Max. Marks allotted." showErrorMessage="1" sqref="BG67">
      <formula1>0</formula1>
      <formula2>NaN</formula2>
    </dataValidation>
    <dataValidation type="decimal" allowBlank="1" showInputMessage="1" prompt="Dear Sir/ Madam - Score entered is greater than Max. Marks allotted." showErrorMessage="1" sqref="BG68">
      <formula1>0</formula1>
      <formula2>NaN</formula2>
    </dataValidation>
    <dataValidation type="decimal" allowBlank="1" showInputMessage="1" prompt="Dear Sir/ Madam - Score entered is greater than Max. Marks allotted." showErrorMessage="1" sqref="BG69">
      <formula1>0</formula1>
      <formula2>NaN</formula2>
    </dataValidation>
    <dataValidation type="decimal" allowBlank="1" showInputMessage="1" prompt="Dear Sir/ Madam - Score entered is greater than Max. Marks allotted." showErrorMessage="1" sqref="BG70">
      <formula1>0</formula1>
      <formula2>NaN</formula2>
    </dataValidation>
    <dataValidation type="decimal" allowBlank="1" showInputMessage="1" prompt="Dear Sir/ Madam - Score entered is greater than Max. Marks allotted." showErrorMessage="1" sqref="BG71">
      <formula1>0</formula1>
      <formula2>NaN</formula2>
    </dataValidation>
    <dataValidation type="decimal" allowBlank="1" showInputMessage="1" prompt="Dear Sir/ Madam - Score entered is greater than Max. Marks allotted." showErrorMessage="1" sqref="BG72">
      <formula1>0</formula1>
      <formula2>NaN</formula2>
    </dataValidation>
    <dataValidation type="decimal" allowBlank="1" showInputMessage="1" prompt="Dear Sir/ Madam - Score entered is greater than Max. Marks allotted." showErrorMessage="1" sqref="BG73">
      <formula1>0</formula1>
      <formula2>NaN</formula2>
    </dataValidation>
    <dataValidation type="decimal" allowBlank="1" showInputMessage="1" prompt="Dear Sir/ Madam - Score entered is greater than Max. Marks allotted." showErrorMessage="1" sqref="BG74">
      <formula1>0</formula1>
      <formula2>NaN</formula2>
    </dataValidation>
    <dataValidation type="decimal" allowBlank="1" showInputMessage="1" prompt="Dear Sir/ Madam - Score entered is greater than Max. Marks allotted." showErrorMessage="1" sqref="BG75">
      <formula1>0</formula1>
      <formula2>NaN</formula2>
    </dataValidation>
    <dataValidation type="decimal" allowBlank="1" showInputMessage="1" prompt="Dear Sir/ Madam - Score entered is greater than Max. Marks allotted." showErrorMessage="1" sqref="BG76">
      <formula1>0</formula1>
      <formula2>NaN</formula2>
    </dataValidation>
    <dataValidation type="decimal" allowBlank="1" showInputMessage="1" prompt="Dear Sir/ Madam - Score entered is greater than Max. Marks allotted." showErrorMessage="1" sqref="BG77">
      <formula1>0</formula1>
      <formula2>NaN</formula2>
    </dataValidation>
    <dataValidation type="decimal" allowBlank="1" showInputMessage="1" prompt="Dear Sir/ Madam - Score entered is greater than Max. Marks allotted." showErrorMessage="1" sqref="BG78">
      <formula1>0</formula1>
      <formula2>NaN</formula2>
    </dataValidation>
    <dataValidation type="decimal" allowBlank="1" showInputMessage="1" prompt="Dear Sir/ Madam - Score entered is greater than Max. Marks allotted." showErrorMessage="1" sqref="BG79">
      <formula1>0</formula1>
      <formula2>NaN</formula2>
    </dataValidation>
    <dataValidation type="decimal" allowBlank="1" showInputMessage="1" prompt="Dear Sir/ Madam - Score entered is greater than Max. Marks allotted." showErrorMessage="1" sqref="BG80">
      <formula1>0</formula1>
      <formula2>NaN</formula2>
    </dataValidation>
    <dataValidation type="decimal" allowBlank="1" showInputMessage="1" prompt="Dear Sir/ Madam - Score entered is greater than Max. Marks allotted." showErrorMessage="1" sqref="BG81">
      <formula1>0</formula1>
      <formula2>NaN</formula2>
    </dataValidation>
    <dataValidation type="decimal" allowBlank="1" showInputMessage="1" prompt="Dear Sir/ Madam - Score entered is greater than Max. Marks allotted." showErrorMessage="1" sqref="BG82">
      <formula1>0</formula1>
      <formula2>NaN</formula2>
    </dataValidation>
    <dataValidation type="decimal" allowBlank="1" showInputMessage="1" prompt="Dear Sir/ Madam - Score entered is greater than Max. Marks allotted." showErrorMessage="1" sqref="BG83">
      <formula1>0</formula1>
      <formula2>NaN</formula2>
    </dataValidation>
    <dataValidation type="decimal" allowBlank="1" showInputMessage="1" prompt="Dear Sir/ Madam - Score entered is greater than Max. Marks allotted." showErrorMessage="1" sqref="BG84">
      <formula1>0</formula1>
      <formula2>NaN</formula2>
    </dataValidation>
    <dataValidation type="decimal" allowBlank="1" showInputMessage="1" prompt="Dear Sir/ Madam - Score entered is greater than Max. Marks allotted." showErrorMessage="1" sqref="BG85">
      <formula1>0</formula1>
      <formula2>NaN</formula2>
    </dataValidation>
    <dataValidation type="decimal" allowBlank="1" showInputMessage="1" prompt="Dear Sir/ Madam - Score entered is greater than Max. Marks allotted." showErrorMessage="1" sqref="BG86">
      <formula1>0</formula1>
      <formula2>NaN</formula2>
    </dataValidation>
    <dataValidation type="decimal" allowBlank="1" showInputMessage="1" prompt="Dear Sir/ Madam - Score entered is greater than Max. Marks allotted." showErrorMessage="1" sqref="BG87">
      <formula1>0</formula1>
      <formula2>NaN</formula2>
    </dataValidation>
    <dataValidation type="decimal" allowBlank="1" showInputMessage="1" prompt="Dear Sir/ Madam - Score entered is greater than Max. Marks allotted." showErrorMessage="1" sqref="BG88">
      <formula1>0</formula1>
      <formula2>NaN</formula2>
    </dataValidation>
    <dataValidation type="decimal" allowBlank="1" showInputMessage="1" prompt="Dear Sir/ Madam - Score entered is greater than Max. Marks allotted." showErrorMessage="1" sqref="BG89">
      <formula1>0</formula1>
      <formula2>NaN</formula2>
    </dataValidation>
    <dataValidation type="decimal" allowBlank="1" showInputMessage="1" prompt="Dear Sir/ Madam - Score entered is greater than Max. Marks allotted." showErrorMessage="1" sqref="BG90">
      <formula1>0</formula1>
      <formula2>NaN</formula2>
    </dataValidation>
    <dataValidation type="decimal" allowBlank="1" showInputMessage="1" prompt="Dear Sir/ Madam - Score entered is greater than Max. Marks allotted." showErrorMessage="1" sqref="BG91">
      <formula1>0</formula1>
      <formula2>NaN</formula2>
    </dataValidation>
    <dataValidation type="decimal" allowBlank="1" showInputMessage="1" prompt="Dear Sir/ Madam - Score entered is greater than Max. Marks allotted." showErrorMessage="1" sqref="BG92">
      <formula1>0</formula1>
      <formula2>NaN</formula2>
    </dataValidation>
    <dataValidation type="decimal" allowBlank="1" showInputMessage="1" prompt="Dear Sir/ Madam - Score entered is greater than Max. Marks allotted." showErrorMessage="1" sqref="BG93">
      <formula1>0</formula1>
      <formula2>NaN</formula2>
    </dataValidation>
    <dataValidation type="decimal" allowBlank="1" showInputMessage="1" prompt="Dear Sir/ Madam - Score entered is greater than Max. Marks allotted." showErrorMessage="1" sqref="BG94">
      <formula1>0</formula1>
      <formula2>NaN</formula2>
    </dataValidation>
    <dataValidation type="decimal" allowBlank="1" showInputMessage="1" prompt="Dear Sir/ Madam - Score entered is greater than Max. Marks allotted." showErrorMessage="1" sqref="BG95">
      <formula1>0</formula1>
      <formula2>NaN</formula2>
    </dataValidation>
    <dataValidation type="decimal" allowBlank="1" showInputMessage="1" prompt="Dear Sir/ Madam - Score entered is greater than Max. Marks allotted." showErrorMessage="1" sqref="BG96">
      <formula1>0</formula1>
      <formula2>NaN</formula2>
    </dataValidation>
    <dataValidation type="decimal" allowBlank="1" showInputMessage="1" prompt="Dear Sir/ Madam - Score entered is greater than Max. Marks allotted." showErrorMessage="1" sqref="BG97">
      <formula1>0</formula1>
      <formula2>NaN</formula2>
    </dataValidation>
    <dataValidation type="decimal" allowBlank="1" showInputMessage="1" prompt="Dear Sir/ Madam - Score entered is greater than Max. Marks allotted." showErrorMessage="1" sqref="BG98">
      <formula1>0</formula1>
      <formula2>NaN</formula2>
    </dataValidation>
    <dataValidation type="decimal" allowBlank="1" showInputMessage="1" prompt="Dear Sir/ Madam - Score entered is greater than Max. Marks allotted." showErrorMessage="1" sqref="BG99">
      <formula1>0</formula1>
      <formula2>NaN</formula2>
    </dataValidation>
    <dataValidation type="decimal" allowBlank="1" showInputMessage="1" prompt="Dear Sir/ Madam - Score entered is greater than Max. Marks allotted." showErrorMessage="1" sqref="BH100">
      <formula1>0</formula1>
      <formula2>NaN</formula2>
    </dataValidation>
    <dataValidation type="decimal" allowBlank="1" showInputMessage="1" prompt="Dear Sir/ Madam - Score entered is greater than Max. Marks allotted." showErrorMessage="1" sqref="BH101">
      <formula1>0</formula1>
      <formula2>NaN</formula2>
    </dataValidation>
    <dataValidation type="decimal" allowBlank="1" showInputMessage="1" prompt="Dear Sir/ Madam - Score entered is greater than Max. Marks allotted." showErrorMessage="1" sqref="BH102">
      <formula1>0</formula1>
      <formula2>NaN</formula2>
    </dataValidation>
    <dataValidation type="decimal" allowBlank="1" showInputMessage="1" prompt="Dear Sir/ Madam - Score entered is greater than Max. Marks allotted." showErrorMessage="1" sqref="BH103">
      <formula1>0</formula1>
      <formula2>NaN</formula2>
    </dataValidation>
    <dataValidation type="decimal" allowBlank="1" showInputMessage="1" prompt="Dear Sir/ Madam - Score entered is greater than Max. Marks allotted." showErrorMessage="1" sqref="BH104">
      <formula1>0</formula1>
      <formula2>NaN</formula2>
    </dataValidation>
    <dataValidation type="decimal" allowBlank="1" showInputMessage="1" prompt="Dear Sir/ Madam - Score entered is greater than Max. Marks allotted." showErrorMessage="1" sqref="BH105">
      <formula1>0</formula1>
      <formula2>NaN</formula2>
    </dataValidation>
    <dataValidation type="decimal" allowBlank="1" showInputMessage="1" prompt="Dear Sir/ Madam - Score entered is greater than Max. Marks allotted." showErrorMessage="1" sqref="BH106">
      <formula1>0</formula1>
      <formula2>NaN</formula2>
    </dataValidation>
    <dataValidation type="decimal" allowBlank="1" showInputMessage="1" prompt="Dear Sir/ Madam - Score entered is greater than Max. Marks allotted." showErrorMessage="1" sqref="BH107">
      <formula1>0</formula1>
      <formula2>NaN</formula2>
    </dataValidation>
    <dataValidation type="decimal" allowBlank="1" showInputMessage="1" prompt="Dear Sir/ Madam - Score entered is greater than Max. Marks allotted." showErrorMessage="1" sqref="BH108">
      <formula1>0</formula1>
      <formula2>NaN</formula2>
    </dataValidation>
    <dataValidation type="decimal" allowBlank="1" showInputMessage="1" prompt="Dear Sir/ Madam - Score entered is greater than Max. Marks allotted." showErrorMessage="1" sqref="BH109">
      <formula1>0</formula1>
      <formula2>NaN</formula2>
    </dataValidation>
    <dataValidation type="decimal" allowBlank="1" showInputMessage="1" prompt="Dear Sir/ Madam - Score entered is greater than Max. Marks allotted." showErrorMessage="1" sqref="BH110">
      <formula1>0</formula1>
      <formula2>NaN</formula2>
    </dataValidation>
    <dataValidation type="decimal" allowBlank="1" showInputMessage="1" prompt="Dear Sir/ Madam - Score entered is greater than Max. Marks allotted." showErrorMessage="1" sqref="BH111">
      <formula1>0</formula1>
      <formula2>NaN</formula2>
    </dataValidation>
    <dataValidation type="decimal" allowBlank="1" showInputMessage="1" prompt="Dear Sir/ Madam - Score entered is greater than Max. Marks allotted." showErrorMessage="1" sqref="BH112">
      <formula1>0</formula1>
      <formula2>NaN</formula2>
    </dataValidation>
    <dataValidation type="decimal" allowBlank="1" showInputMessage="1" prompt="Dear Sir/ Madam - Score entered is greater than Max. Marks allotted." showErrorMessage="1" sqref="BH113">
      <formula1>0</formula1>
      <formula2>NaN</formula2>
    </dataValidation>
    <dataValidation type="decimal" allowBlank="1" showInputMessage="1" prompt="Dear Sir/ Madam - Score entered is greater than Max. Marks allotted." showErrorMessage="1" sqref="BH114">
      <formula1>0</formula1>
      <formula2>NaN</formula2>
    </dataValidation>
    <dataValidation type="decimal" allowBlank="1" showInputMessage="1" prompt="Dear Sir/ Madam - Score entered is greater than Max. Marks allotted." showErrorMessage="1" sqref="BH115">
      <formula1>0</formula1>
      <formula2>NaN</formula2>
    </dataValidation>
    <dataValidation type="decimal" allowBlank="1" showInputMessage="1" prompt="Dear Sir/ Madam - Score entered is greater than Max. Marks allotted." showErrorMessage="1" sqref="BH116">
      <formula1>0</formula1>
      <formula2>NaN</formula2>
    </dataValidation>
    <dataValidation type="decimal" allowBlank="1" showInputMessage="1" prompt="Dear Sir/ Madam - Score entered is greater than Max. Marks allotted." showErrorMessage="1" sqref="BH117">
      <formula1>0</formula1>
      <formula2>NaN</formula2>
    </dataValidation>
    <dataValidation type="decimal" allowBlank="1" showInputMessage="1" prompt="Dear Sir/ Madam - Score entered is greater than Max. Marks allotted." showErrorMessage="1" sqref="BH118">
      <formula1>0</formula1>
      <formula2>NaN</formula2>
    </dataValidation>
    <dataValidation type="decimal" allowBlank="1" showInputMessage="1" prompt="Dear Sir/ Madam - Score entered is greater than Max. Marks allotted." showErrorMessage="1" sqref="BH119">
      <formula1>0</formula1>
      <formula2>NaN</formula2>
    </dataValidation>
    <dataValidation type="decimal" allowBlank="1" showInputMessage="1" prompt="Dear Sir/ Madam - Score entered is greater than Max. Marks allotted." showErrorMessage="1" sqref="BH120">
      <formula1>0</formula1>
      <formula2>NaN</formula2>
    </dataValidation>
    <dataValidation type="decimal" allowBlank="1" showInputMessage="1" prompt="Dear Sir/ Madam - Score entered is greater than Max. Marks allotted." showErrorMessage="1" sqref="BH121">
      <formula1>0</formula1>
      <formula2>NaN</formula2>
    </dataValidation>
    <dataValidation type="decimal" allowBlank="1" showInputMessage="1" prompt="Dear Sir/ Madam - Score entered is greater than Max. Marks allotted." showErrorMessage="1" sqref="BH122">
      <formula1>0</formula1>
      <formula2>NaN</formula2>
    </dataValidation>
    <dataValidation type="decimal" allowBlank="1" showInputMessage="1" prompt="Dear Sir/ Madam - Score entered is greater than Max. Marks allotted." showErrorMessage="1" sqref="BH123">
      <formula1>0</formula1>
      <formula2>NaN</formula2>
    </dataValidation>
    <dataValidation type="decimal" allowBlank="1" showInputMessage="1" prompt="Dear Sir/ Madam - Score entered is greater than Max. Marks allotted." showErrorMessage="1" sqref="BH124">
      <formula1>0</formula1>
      <formula2>NaN</formula2>
    </dataValidation>
    <dataValidation type="decimal" allowBlank="1" showInputMessage="1" prompt="Dear Sir/ Madam - Score entered is greater than Max. Marks allotted." showErrorMessage="1" sqref="BH125">
      <formula1>0</formula1>
      <formula2>NaN</formula2>
    </dataValidation>
    <dataValidation type="decimal" allowBlank="1" showInputMessage="1" prompt="Dear Sir/ Madam - Score entered is greater than Max. Marks allotted." showErrorMessage="1" sqref="BH126">
      <formula1>0</formula1>
      <formula2>NaN</formula2>
    </dataValidation>
    <dataValidation type="decimal" allowBlank="1" showInputMessage="1" prompt="Dear Sir/ Madam - Score entered is greater than Max. Marks allotted." showErrorMessage="1" sqref="BH127">
      <formula1>0</formula1>
      <formula2>NaN</formula2>
    </dataValidation>
    <dataValidation type="decimal" allowBlank="1" showInputMessage="1" prompt="Dear Sir/ Madam - Score entered is greater than Max. Marks allotted." showErrorMessage="1" sqref="BH128">
      <formula1>0</formula1>
      <formula2>NaN</formula2>
    </dataValidation>
    <dataValidation type="decimal" allowBlank="1" showInputMessage="1" prompt="Dear Sir/ Madam - Score entered is greater than Max. Marks allotted." showErrorMessage="1" sqref="BH129">
      <formula1>0</formula1>
      <formula2>NaN</formula2>
    </dataValidation>
    <dataValidation type="decimal" allowBlank="1" showInputMessage="1" prompt="Dear Sir/ Madam - Score entered is greater than Max. Marks allotted." showErrorMessage="1" sqref="BH13">
      <formula1>0</formula1>
      <formula2>NaN</formula2>
    </dataValidation>
    <dataValidation type="decimal" allowBlank="1" showInputMessage="1" prompt="Dear Sir/ Madam - Score entered is greater than Max. Marks allotted." showErrorMessage="1" sqref="BH130">
      <formula1>0</formula1>
      <formula2>NaN</formula2>
    </dataValidation>
    <dataValidation type="decimal" allowBlank="1" showInputMessage="1" prompt="Dear Sir/ Madam - Score entered is greater than Max. Marks allotted." showErrorMessage="1" sqref="BH131">
      <formula1>0</formula1>
      <formula2>NaN</formula2>
    </dataValidation>
    <dataValidation type="decimal" allowBlank="1" showInputMessage="1" prompt="Dear Sir/ Madam - Score entered is greater than Max. Marks allotted." showErrorMessage="1" sqref="BH132">
      <formula1>0</formula1>
      <formula2>NaN</formula2>
    </dataValidation>
    <dataValidation type="decimal" allowBlank="1" showInputMessage="1" prompt="Dear Sir/ Madam - Score entered is greater than Max. Marks allotted." showErrorMessage="1" sqref="BH133">
      <formula1>0</formula1>
      <formula2>NaN</formula2>
    </dataValidation>
    <dataValidation type="decimal" allowBlank="1" showInputMessage="1" prompt="Dear Sir/ Madam - Score entered is greater than Max. Marks allotted." showErrorMessage="1" sqref="BH134">
      <formula1>0</formula1>
      <formula2>NaN</formula2>
    </dataValidation>
    <dataValidation type="decimal" allowBlank="1" showInputMessage="1" prompt="Dear Sir/ Madam - Score entered is greater than Max. Marks allotted." showErrorMessage="1" sqref="BH135">
      <formula1>0</formula1>
      <formula2>NaN</formula2>
    </dataValidation>
    <dataValidation type="decimal" allowBlank="1" showInputMessage="1" prompt="Dear Sir/ Madam - Score entered is greater than Max. Marks allotted." showErrorMessage="1" sqref="BH136">
      <formula1>0</formula1>
      <formula2>NaN</formula2>
    </dataValidation>
    <dataValidation type="decimal" allowBlank="1" showInputMessage="1" prompt="Dear Sir/ Madam - Score entered is greater than Max. Marks allotted." showErrorMessage="1" sqref="BH137">
      <formula1>0</formula1>
      <formula2>NaN</formula2>
    </dataValidation>
    <dataValidation type="decimal" allowBlank="1" showInputMessage="1" prompt="Dear Sir/ Madam - Score entered is greater than Max. Marks allotted." showErrorMessage="1" sqref="BH138">
      <formula1>0</formula1>
      <formula2>NaN</formula2>
    </dataValidation>
    <dataValidation type="decimal" allowBlank="1" showInputMessage="1" prompt="Dear Sir/ Madam - Score entered is greater than Max. Marks allotted." showErrorMessage="1" sqref="BH139">
      <formula1>0</formula1>
      <formula2>NaN</formula2>
    </dataValidation>
    <dataValidation type="decimal" allowBlank="1" showInputMessage="1" prompt="Dear Sir/ Madam - Score entered is greater than Max. Marks allotted." showErrorMessage="1" sqref="BH14">
      <formula1>0</formula1>
      <formula2>NaN</formula2>
    </dataValidation>
    <dataValidation type="decimal" allowBlank="1" showInputMessage="1" prompt="Dear Sir/ Madam - Score entered is greater than Max. Marks allotted." showErrorMessage="1" sqref="BH140">
      <formula1>0</formula1>
      <formula2>NaN</formula2>
    </dataValidation>
    <dataValidation type="decimal" allowBlank="1" showInputMessage="1" prompt="Dear Sir/ Madam - Score entered is greater than Max. Marks allotted." showErrorMessage="1" sqref="BH141">
      <formula1>0</formula1>
      <formula2>NaN</formula2>
    </dataValidation>
    <dataValidation type="decimal" allowBlank="1" showInputMessage="1" prompt="Dear Sir/ Madam - Score entered is greater than Max. Marks allotted." showErrorMessage="1" sqref="BH142">
      <formula1>0</formula1>
      <formula2>NaN</formula2>
    </dataValidation>
    <dataValidation type="decimal" allowBlank="1" showInputMessage="1" prompt="Dear Sir/ Madam - Score entered is greater than Max. Marks allotted." showErrorMessage="1" sqref="BH143">
      <formula1>0</formula1>
      <formula2>NaN</formula2>
    </dataValidation>
    <dataValidation type="decimal" allowBlank="1" showInputMessage="1" prompt="Dear Sir/ Madam - Score entered is greater than Max. Marks allotted." showErrorMessage="1" sqref="BH144">
      <formula1>0</formula1>
      <formula2>NaN</formula2>
    </dataValidation>
    <dataValidation type="decimal" allowBlank="1" showInputMessage="1" prompt="Dear Sir/ Madam - Score entered is greater than Max. Marks allotted." showErrorMessage="1" sqref="BH145">
      <formula1>0</formula1>
      <formula2>NaN</formula2>
    </dataValidation>
    <dataValidation type="decimal" allowBlank="1" showInputMessage="1" prompt="Dear Sir/ Madam - Score entered is greater than Max. Marks allotted." showErrorMessage="1" sqref="BH146">
      <formula1>0</formula1>
      <formula2>NaN</formula2>
    </dataValidation>
    <dataValidation type="decimal" allowBlank="1" showInputMessage="1" prompt="Dear Sir/ Madam - Score entered is greater than Max. Marks allotted." showErrorMessage="1" sqref="BH147">
      <formula1>0</formula1>
      <formula2>NaN</formula2>
    </dataValidation>
    <dataValidation type="decimal" allowBlank="1" showInputMessage="1" prompt="Dear Sir/ Madam - Score entered is greater than Max. Marks allotted." showErrorMessage="1" sqref="BH148">
      <formula1>0</formula1>
      <formula2>NaN</formula2>
    </dataValidation>
    <dataValidation type="decimal" allowBlank="1" showInputMessage="1" prompt="Dear Sir/ Madam - Score entered is greater than Max. Marks allotted." showErrorMessage="1" sqref="BH149">
      <formula1>0</formula1>
      <formula2>NaN</formula2>
    </dataValidation>
    <dataValidation type="decimal" allowBlank="1" showInputMessage="1" prompt="Dear Sir/ Madam - Score entered is greater than Max. Marks allotted." showErrorMessage="1" sqref="BH15">
      <formula1>0</formula1>
      <formula2>NaN</formula2>
    </dataValidation>
    <dataValidation type="decimal" allowBlank="1" showInputMessage="1" prompt="Dear Sir/ Madam - Score entered is greater than Max. Marks allotted." showErrorMessage="1" sqref="BH150">
      <formula1>0</formula1>
      <formula2>NaN</formula2>
    </dataValidation>
    <dataValidation type="decimal" allowBlank="1" showInputMessage="1" prompt="Dear Sir/ Madam - Score entered is greater than Max. Marks allotted." showErrorMessage="1" sqref="BH151">
      <formula1>0</formula1>
      <formula2>NaN</formula2>
    </dataValidation>
    <dataValidation type="decimal" allowBlank="1" showInputMessage="1" prompt="Dear Sir/ Madam - Score entered is greater than Max. Marks allotted." showErrorMessage="1" sqref="BH152">
      <formula1>0</formula1>
      <formula2>NaN</formula2>
    </dataValidation>
    <dataValidation type="decimal" allowBlank="1" showInputMessage="1" prompt="Dear Sir/ Madam - Score entered is greater than Max. Marks allotted." showErrorMessage="1" sqref="BH153">
      <formula1>0</formula1>
      <formula2>NaN</formula2>
    </dataValidation>
    <dataValidation type="decimal" allowBlank="1" showInputMessage="1" prompt="Dear Sir/ Madam - Score entered is greater than Max. Marks allotted." showErrorMessage="1" sqref="BH154">
      <formula1>0</formula1>
      <formula2>NaN</formula2>
    </dataValidation>
    <dataValidation type="decimal" allowBlank="1" showInputMessage="1" prompt="Dear Sir/ Madam - Score entered is greater than Max. Marks allotted." showErrorMessage="1" sqref="BH155">
      <formula1>0</formula1>
      <formula2>NaN</formula2>
    </dataValidation>
    <dataValidation type="decimal" allowBlank="1" showInputMessage="1" prompt="Dear Sir/ Madam - Score entered is greater than Max. Marks allotted." showErrorMessage="1" sqref="BH156">
      <formula1>0</formula1>
      <formula2>NaN</formula2>
    </dataValidation>
    <dataValidation type="decimal" allowBlank="1" showInputMessage="1" prompt="Dear Sir/ Madam - Score entered is greater than Max. Marks allotted." showErrorMessage="1" sqref="BH157">
      <formula1>0</formula1>
      <formula2>NaN</formula2>
    </dataValidation>
    <dataValidation type="decimal" allowBlank="1" showInputMessage="1" prompt="Dear Sir/ Madam - Score entered is greater than Max. Marks allotted." showErrorMessage="1" sqref="BH158">
      <formula1>0</formula1>
      <formula2>NaN</formula2>
    </dataValidation>
    <dataValidation type="decimal" allowBlank="1" showInputMessage="1" prompt="Dear Sir/ Madam - Score entered is greater than Max. Marks allotted." showErrorMessage="1" sqref="BH159">
      <formula1>0</formula1>
      <formula2>NaN</formula2>
    </dataValidation>
    <dataValidation type="decimal" allowBlank="1" showInputMessage="1" prompt="Dear Sir/ Madam - Score entered is greater than Max. Marks allotted." showErrorMessage="1" sqref="BH16">
      <formula1>0</formula1>
      <formula2>NaN</formula2>
    </dataValidation>
    <dataValidation type="decimal" allowBlank="1" showInputMessage="1" prompt="Dear Sir/ Madam - Score entered is greater than Max. Marks allotted." showErrorMessage="1" sqref="BH160">
      <formula1>0</formula1>
      <formula2>NaN</formula2>
    </dataValidation>
    <dataValidation type="decimal" allowBlank="1" showInputMessage="1" prompt="Dear Sir/ Madam - Score entered is greater than Max. Marks allotted." showErrorMessage="1" sqref="BH161">
      <formula1>0</formula1>
      <formula2>NaN</formula2>
    </dataValidation>
    <dataValidation type="decimal" allowBlank="1" showInputMessage="1" prompt="Dear Sir/ Madam - Score entered is greater than Max. Marks allotted." showErrorMessage="1" sqref="BH162">
      <formula1>0</formula1>
      <formula2>NaN</formula2>
    </dataValidation>
    <dataValidation type="decimal" allowBlank="1" showInputMessage="1" prompt="Dear Sir/ Madam - Score entered is greater than Max. Marks allotted." showErrorMessage="1" sqref="BH163">
      <formula1>0</formula1>
      <formula2>NaN</formula2>
    </dataValidation>
    <dataValidation type="decimal" allowBlank="1" showInputMessage="1" prompt="Dear Sir/ Madam - Score entered is greater than Max. Marks allotted." showErrorMessage="1" sqref="BH164">
      <formula1>0</formula1>
      <formula2>NaN</formula2>
    </dataValidation>
    <dataValidation type="decimal" allowBlank="1" showInputMessage="1" prompt="Dear Sir/ Madam - Score entered is greater than Max. Marks allotted." showErrorMessage="1" sqref="BH165">
      <formula1>0</formula1>
      <formula2>NaN</formula2>
    </dataValidation>
    <dataValidation type="decimal" allowBlank="1" showInputMessage="1" prompt="Dear Sir/ Madam - Score entered is greater than Max. Marks allotted." showErrorMessage="1" sqref="BH166">
      <formula1>0</formula1>
      <formula2>NaN</formula2>
    </dataValidation>
    <dataValidation type="decimal" allowBlank="1" showInputMessage="1" prompt="Dear Sir/ Madam - Score entered is greater than Max. Marks allotted." showErrorMessage="1" sqref="BH167">
      <formula1>0</formula1>
      <formula2>NaN</formula2>
    </dataValidation>
    <dataValidation type="decimal" allowBlank="1" showInputMessage="1" prompt="Dear Sir/ Madam - Score entered is greater than Max. Marks allotted." showErrorMessage="1" sqref="BH168">
      <formula1>0</formula1>
      <formula2>NaN</formula2>
    </dataValidation>
    <dataValidation type="decimal" allowBlank="1" showInputMessage="1" prompt="Dear Sir/ Madam - Score entered is greater than Max. Marks allotted." showErrorMessage="1" sqref="BH169">
      <formula1>0</formula1>
      <formula2>NaN</formula2>
    </dataValidation>
    <dataValidation type="decimal" allowBlank="1" showInputMessage="1" prompt="Dear Sir/ Madam - Score entered is greater than Max. Marks allotted." showErrorMessage="1" sqref="BH17">
      <formula1>0</formula1>
      <formula2>NaN</formula2>
    </dataValidation>
    <dataValidation type="decimal" allowBlank="1" showInputMessage="1" prompt="Dear Sir/ Madam - Score entered is greater than Max. Marks allotted." showErrorMessage="1" sqref="BH170">
      <formula1>0</formula1>
      <formula2>NaN</formula2>
    </dataValidation>
    <dataValidation type="decimal" allowBlank="1" showInputMessage="1" prompt="Dear Sir/ Madam - Score entered is greater than Max. Marks allotted." showErrorMessage="1" sqref="BH171">
      <formula1>0</formula1>
      <formula2>NaN</formula2>
    </dataValidation>
    <dataValidation type="decimal" allowBlank="1" showInputMessage="1" prompt="Dear Sir/ Madam - Score entered is greater than Max. Marks allotted." showErrorMessage="1" sqref="BH172">
      <formula1>0</formula1>
      <formula2>NaN</formula2>
    </dataValidation>
    <dataValidation type="decimal" allowBlank="1" showInputMessage="1" prompt="Dear Sir/ Madam - Score entered is greater than Max. Marks allotted." showErrorMessage="1" sqref="BH173">
      <formula1>0</formula1>
      <formula2>NaN</formula2>
    </dataValidation>
    <dataValidation type="decimal" allowBlank="1" showInputMessage="1" prompt="Dear Sir/ Madam - Score entered is greater than Max. Marks allotted." showErrorMessage="1" sqref="BH174">
      <formula1>0</formula1>
      <formula2>NaN</formula2>
    </dataValidation>
    <dataValidation type="decimal" allowBlank="1" showInputMessage="1" prompt="Dear Sir/ Madam - Score entered is greater than Max. Marks allotted." showErrorMessage="1" sqref="BH175">
      <formula1>0</formula1>
      <formula2>NaN</formula2>
    </dataValidation>
    <dataValidation type="decimal" allowBlank="1" showInputMessage="1" prompt="Dear Sir/ Madam - Score entered is greater than Max. Marks allotted." showErrorMessage="1" sqref="BH176">
      <formula1>0</formula1>
      <formula2>NaN</formula2>
    </dataValidation>
    <dataValidation type="decimal" allowBlank="1" showInputMessage="1" prompt="Dear Sir/ Madam - Score entered is greater than Max. Marks allotted." showErrorMessage="1" sqref="BH177">
      <formula1>0</formula1>
      <formula2>NaN</formula2>
    </dataValidation>
    <dataValidation type="decimal" allowBlank="1" showInputMessage="1" prompt="Dear Sir/ Madam - Score entered is greater than Max. Marks allotted." showErrorMessage="1" sqref="BH178">
      <formula1>0</formula1>
      <formula2>NaN</formula2>
    </dataValidation>
    <dataValidation type="decimal" allowBlank="1" showInputMessage="1" prompt="Dear Sir/ Madam - Score entered is greater than Max. Marks allotted." showErrorMessage="1" sqref="BH179">
      <formula1>0</formula1>
      <formula2>NaN</formula2>
    </dataValidation>
    <dataValidation type="decimal" allowBlank="1" showInputMessage="1" prompt="Dear Sir/ Madam - Score entered is greater than Max. Marks allotted." showErrorMessage="1" sqref="BH18">
      <formula1>0</formula1>
      <formula2>NaN</formula2>
    </dataValidation>
    <dataValidation type="decimal" allowBlank="1" showInputMessage="1" prompt="Dear Sir/ Madam - Score entered is greater than Max. Marks allotted." showErrorMessage="1" sqref="BH180">
      <formula1>0</formula1>
      <formula2>NaN</formula2>
    </dataValidation>
    <dataValidation type="decimal" allowBlank="1" showInputMessage="1" prompt="Dear Sir/ Madam - Score entered is greater than Max. Marks allotted." showErrorMessage="1" sqref="BH181">
      <formula1>0</formula1>
      <formula2>NaN</formula2>
    </dataValidation>
    <dataValidation type="decimal" allowBlank="1" showInputMessage="1" prompt="Dear Sir/ Madam - Score entered is greater than Max. Marks allotted." showErrorMessage="1" sqref="BH182">
      <formula1>0</formula1>
      <formula2>NaN</formula2>
    </dataValidation>
    <dataValidation type="decimal" allowBlank="1" showInputMessage="1" prompt="Dear Sir/ Madam - Score entered is greater than Max. Marks allotted." showErrorMessage="1" sqref="BH183">
      <formula1>0</formula1>
      <formula2>NaN</formula2>
    </dataValidation>
    <dataValidation type="decimal" allowBlank="1" showInputMessage="1" prompt="Dear Sir/ Madam - Score entered is greater than Max. Marks allotted." showErrorMessage="1" sqref="BH184">
      <formula1>0</formula1>
      <formula2>NaN</formula2>
    </dataValidation>
    <dataValidation type="decimal" allowBlank="1" showInputMessage="1" prompt="Dear Sir/ Madam - Score entered is greater than Max. Marks allotted." showErrorMessage="1" sqref="BH185">
      <formula1>0</formula1>
      <formula2>NaN</formula2>
    </dataValidation>
    <dataValidation type="decimal" allowBlank="1" showInputMessage="1" prompt="Dear Sir/ Madam - Score entered is greater than Max. Marks allotted." showErrorMessage="1" sqref="BH186">
      <formula1>0</formula1>
      <formula2>NaN</formula2>
    </dataValidation>
    <dataValidation type="decimal" allowBlank="1" showInputMessage="1" prompt="Dear Sir/ Madam - Score entered is greater than Max. Marks allotted." showErrorMessage="1" sqref="BH187">
      <formula1>0</formula1>
      <formula2>NaN</formula2>
    </dataValidation>
    <dataValidation type="decimal" allowBlank="1" showInputMessage="1" prompt="Dear Sir/ Madam - Score entered is greater than Max. Marks allotted." showErrorMessage="1" sqref="BH188">
      <formula1>0</formula1>
      <formula2>NaN</formula2>
    </dataValidation>
    <dataValidation type="decimal" allowBlank="1" showInputMessage="1" prompt="Dear Sir/ Madam - Score entered is greater than Max. Marks allotted." showErrorMessage="1" sqref="BH189">
      <formula1>0</formula1>
      <formula2>NaN</formula2>
    </dataValidation>
    <dataValidation type="decimal" allowBlank="1" showInputMessage="1" prompt="Dear Sir/ Madam - Score entered is greater than Max. Marks allotted." showErrorMessage="1" sqref="BH19">
      <formula1>0</formula1>
      <formula2>NaN</formula2>
    </dataValidation>
    <dataValidation type="decimal" allowBlank="1" showInputMessage="1" prompt="Dear Sir/ Madam - Score entered is greater than Max. Marks allotted." showErrorMessage="1" sqref="BH190">
      <formula1>0</formula1>
      <formula2>NaN</formula2>
    </dataValidation>
    <dataValidation type="decimal" allowBlank="1" showInputMessage="1" prompt="Dear Sir/ Madam - Score entered is greater than Max. Marks allotted." showErrorMessage="1" sqref="BH191">
      <formula1>0</formula1>
      <formula2>NaN</formula2>
    </dataValidation>
    <dataValidation type="decimal" allowBlank="1" showInputMessage="1" prompt="Dear Sir/ Madam - Score entered is greater than Max. Marks allotted." showErrorMessage="1" sqref="BH192">
      <formula1>0</formula1>
      <formula2>NaN</formula2>
    </dataValidation>
    <dataValidation type="decimal" allowBlank="1" showInputMessage="1" prompt="Dear Sir/ Madam - Score entered is greater than Max. Marks allotted." showErrorMessage="1" sqref="BH193">
      <formula1>0</formula1>
      <formula2>NaN</formula2>
    </dataValidation>
    <dataValidation type="decimal" allowBlank="1" showInputMessage="1" prompt="Dear Sir/ Madam - Score entered is greater than Max. Marks allotted." showErrorMessage="1" sqref="BH194">
      <formula1>0</formula1>
      <formula2>NaN</formula2>
    </dataValidation>
    <dataValidation type="decimal" allowBlank="1" showInputMessage="1" prompt="Dear Sir/ Madam - Score entered is greater than Max. Marks allotted." showErrorMessage="1" sqref="BH195">
      <formula1>0</formula1>
      <formula2>NaN</formula2>
    </dataValidation>
    <dataValidation type="decimal" allowBlank="1" showInputMessage="1" prompt="Dear Sir/ Madam - Score entered is greater than Max. Marks allotted." showErrorMessage="1" sqref="BH196">
      <formula1>0</formula1>
      <formula2>NaN</formula2>
    </dataValidation>
    <dataValidation type="decimal" allowBlank="1" showInputMessage="1" prompt="Dear Sir/ Madam - Score entered is greater than Max. Marks allotted." showErrorMessage="1" sqref="BH197">
      <formula1>0</formula1>
      <formula2>NaN</formula2>
    </dataValidation>
    <dataValidation type="decimal" allowBlank="1" showInputMessage="1" prompt="Dear Sir/ Madam - Score entered is greater than Max. Marks allotted." showErrorMessage="1" sqref="BH198">
      <formula1>0</formula1>
      <formula2>NaN</formula2>
    </dataValidation>
    <dataValidation type="decimal" allowBlank="1" showInputMessage="1" prompt="Dear Sir/ Madam - Score entered is greater than Max. Marks allotted." showErrorMessage="1" sqref="BH199">
      <formula1>0</formula1>
      <formula2>NaN</formula2>
    </dataValidation>
    <dataValidation type="decimal" allowBlank="1" showInputMessage="1" prompt="Dear Sir/ Madam - Score entered is greater than Max. Marks allotted." showErrorMessage="1" sqref="BH20">
      <formula1>0</formula1>
      <formula2>NaN</formula2>
    </dataValidation>
    <dataValidation type="decimal" allowBlank="1" showInputMessage="1" prompt="Dear Sir/ Madam - Score entered is greater than Max. Marks allotted." showErrorMessage="1" sqref="BH200">
      <formula1>0</formula1>
      <formula2>NaN</formula2>
    </dataValidation>
    <dataValidation type="decimal" allowBlank="1" showInputMessage="1" prompt="Dear Sir/ Madam - Score entered is greater than Max. Marks allotted." showErrorMessage="1" sqref="BH21">
      <formula1>0</formula1>
      <formula2>NaN</formula2>
    </dataValidation>
    <dataValidation type="decimal" allowBlank="1" showInputMessage="1" prompt="Dear Sir/ Madam - Score entered is greater than Max. Marks allotted." showErrorMessage="1" sqref="BH22">
      <formula1>0</formula1>
      <formula2>NaN</formula2>
    </dataValidation>
    <dataValidation type="decimal" allowBlank="1" showInputMessage="1" prompt="Dear Sir/ Madam - Score entered is greater than Max. Marks allotted." showErrorMessage="1" sqref="BH23">
      <formula1>0</formula1>
      <formula2>NaN</formula2>
    </dataValidation>
    <dataValidation type="decimal" allowBlank="1" showInputMessage="1" prompt="Dear Sir/ Madam - Score entered is greater than Max. Marks allotted." showErrorMessage="1" sqref="BH24">
      <formula1>0</formula1>
      <formula2>NaN</formula2>
    </dataValidation>
    <dataValidation type="decimal" allowBlank="1" showInputMessage="1" prompt="Dear Sir/ Madam - Score entered is greater than Max. Marks allotted." showErrorMessage="1" sqref="BH25">
      <formula1>0</formula1>
      <formula2>NaN</formula2>
    </dataValidation>
    <dataValidation type="decimal" allowBlank="1" showInputMessage="1" prompt="Dear Sir/ Madam - Score entered is greater than Max. Marks allotted." showErrorMessage="1" sqref="BH26">
      <formula1>0</formula1>
      <formula2>NaN</formula2>
    </dataValidation>
    <dataValidation type="decimal" allowBlank="1" showInputMessage="1" prompt="Dear Sir/ Madam - Score entered is greater than Max. Marks allotted." showErrorMessage="1" sqref="BH27">
      <formula1>0</formula1>
      <formula2>NaN</formula2>
    </dataValidation>
    <dataValidation type="decimal" allowBlank="1" showInputMessage="1" prompt="Dear Sir/ Madam - Score entered is greater than Max. Marks allotted." showErrorMessage="1" sqref="BH28">
      <formula1>0</formula1>
      <formula2>NaN</formula2>
    </dataValidation>
    <dataValidation type="decimal" allowBlank="1" showInputMessage="1" prompt="Dear Sir/ Madam - Score entered is greater than Max. Marks allotted." showErrorMessage="1" sqref="BH29">
      <formula1>0</formula1>
      <formula2>NaN</formula2>
    </dataValidation>
    <dataValidation type="decimal" allowBlank="1" showInputMessage="1" prompt="Dear Sir/ Madam - Score entered is greater than Max. Marks allotted." showErrorMessage="1" sqref="BH30">
      <formula1>0</formula1>
      <formula2>NaN</formula2>
    </dataValidation>
    <dataValidation type="decimal" allowBlank="1" showInputMessage="1" prompt="Dear Sir/ Madam - Score entered is greater than Max. Marks allotted." showErrorMessage="1" sqref="BH31">
      <formula1>0</formula1>
      <formula2>NaN</formula2>
    </dataValidation>
    <dataValidation type="decimal" allowBlank="1" showInputMessage="1" prompt="Dear Sir/ Madam - Score entered is greater than Max. Marks allotted." showErrorMessage="1" sqref="BH32">
      <formula1>0</formula1>
      <formula2>NaN</formula2>
    </dataValidation>
    <dataValidation type="decimal" allowBlank="1" showInputMessage="1" prompt="Dear Sir/ Madam - Score entered is greater than Max. Marks allotted." showErrorMessage="1" sqref="BH33">
      <formula1>0</formula1>
      <formula2>NaN</formula2>
    </dataValidation>
    <dataValidation type="decimal" allowBlank="1" showInputMessage="1" prompt="Dear Sir/ Madam - Score entered is greater than Max. Marks allotted." showErrorMessage="1" sqref="BH34">
      <formula1>0</formula1>
      <formula2>NaN</formula2>
    </dataValidation>
    <dataValidation type="decimal" allowBlank="1" showInputMessage="1" prompt="Dear Sir/ Madam - Score entered is greater than Max. Marks allotted." showErrorMessage="1" sqref="BH35">
      <formula1>0</formula1>
      <formula2>NaN</formula2>
    </dataValidation>
    <dataValidation type="decimal" allowBlank="1" showInputMessage="1" prompt="Dear Sir/ Madam - Score entered is greater than Max. Marks allotted." showErrorMessage="1" sqref="BH36">
      <formula1>0</formula1>
      <formula2>NaN</formula2>
    </dataValidation>
    <dataValidation type="decimal" allowBlank="1" showInputMessage="1" prompt="Dear Sir/ Madam - Score entered is greater than Max. Marks allotted." showErrorMessage="1" sqref="BH37">
      <formula1>0</formula1>
      <formula2>NaN</formula2>
    </dataValidation>
    <dataValidation type="decimal" allowBlank="1" showInputMessage="1" prompt="Dear Sir/ Madam - Score entered is greater than Max. Marks allotted." showErrorMessage="1" sqref="BH38">
      <formula1>0</formula1>
      <formula2>NaN</formula2>
    </dataValidation>
    <dataValidation type="decimal" allowBlank="1" showInputMessage="1" prompt="Dear Sir/ Madam - Score entered is greater than Max. Marks allotted." showErrorMessage="1" sqref="BH39">
      <formula1>0</formula1>
      <formula2>NaN</formula2>
    </dataValidation>
    <dataValidation type="decimal" allowBlank="1" showInputMessage="1" prompt="Dear Sir/ Madam - Score entered is greater than Max. Marks allotted." showErrorMessage="1" sqref="BH40">
      <formula1>0</formula1>
      <formula2>NaN</formula2>
    </dataValidation>
    <dataValidation type="decimal" allowBlank="1" showInputMessage="1" prompt="Dear Sir/ Madam - Score entered is greater than Max. Marks allotted." showErrorMessage="1" sqref="BH41">
      <formula1>0</formula1>
      <formula2>NaN</formula2>
    </dataValidation>
    <dataValidation type="decimal" allowBlank="1" showInputMessage="1" prompt="Dear Sir/ Madam - Score entered is greater than Max. Marks allotted." showErrorMessage="1" sqref="BH42">
      <formula1>0</formula1>
      <formula2>NaN</formula2>
    </dataValidation>
    <dataValidation type="decimal" allowBlank="1" showInputMessage="1" prompt="Dear Sir/ Madam - Score entered is greater than Max. Marks allotted." showErrorMessage="1" sqref="BH43">
      <formula1>0</formula1>
      <formula2>NaN</formula2>
    </dataValidation>
    <dataValidation type="decimal" allowBlank="1" showInputMessage="1" prompt="Dear Sir/ Madam - Score entered is greater than Max. Marks allotted." showErrorMessage="1" sqref="BH44">
      <formula1>0</formula1>
      <formula2>NaN</formula2>
    </dataValidation>
    <dataValidation type="decimal" allowBlank="1" showInputMessage="1" prompt="Dear Sir/ Madam - Score entered is greater than Max. Marks allotted." showErrorMessage="1" sqref="BH45">
      <formula1>0</formula1>
      <formula2>NaN</formula2>
    </dataValidation>
    <dataValidation type="decimal" allowBlank="1" showInputMessage="1" prompt="Dear Sir/ Madam - Score entered is greater than Max. Marks allotted." showErrorMessage="1" sqref="BH46">
      <formula1>0</formula1>
      <formula2>NaN</formula2>
    </dataValidation>
    <dataValidation type="decimal" allowBlank="1" showInputMessage="1" prompt="Dear Sir/ Madam - Score entered is greater than Max. Marks allotted." showErrorMessage="1" sqref="BH47">
      <formula1>0</formula1>
      <formula2>NaN</formula2>
    </dataValidation>
    <dataValidation type="decimal" allowBlank="1" showInputMessage="1" prompt="Dear Sir/ Madam - Score entered is greater than Max. Marks allotted." showErrorMessage="1" sqref="BH48">
      <formula1>0</formula1>
      <formula2>NaN</formula2>
    </dataValidation>
    <dataValidation type="decimal" allowBlank="1" showInputMessage="1" prompt="Dear Sir/ Madam - Score entered is greater than Max. Marks allotted." showErrorMessage="1" sqref="BH49">
      <formula1>0</formula1>
      <formula2>NaN</formula2>
    </dataValidation>
    <dataValidation type="decimal" allowBlank="1" showInputMessage="1" prompt="Dear Sir/ Madam - Score entered is greater than Max. Marks allotted." showErrorMessage="1" sqref="BH50">
      <formula1>0</formula1>
      <formula2>NaN</formula2>
    </dataValidation>
    <dataValidation type="decimal" allowBlank="1" showInputMessage="1" prompt="Dear Sir/ Madam - Score entered is greater than Max. Marks allotted." showErrorMessage="1" sqref="BH51">
      <formula1>0</formula1>
      <formula2>NaN</formula2>
    </dataValidation>
    <dataValidation type="decimal" allowBlank="1" showInputMessage="1" prompt="Dear Sir/ Madam - Score entered is greater than Max. Marks allotted." showErrorMessage="1" sqref="BH52">
      <formula1>0</formula1>
      <formula2>NaN</formula2>
    </dataValidation>
    <dataValidation type="decimal" allowBlank="1" showInputMessage="1" prompt="Dear Sir/ Madam - Score entered is greater than Max. Marks allotted." showErrorMessage="1" sqref="BH53">
      <formula1>0</formula1>
      <formula2>NaN</formula2>
    </dataValidation>
    <dataValidation type="decimal" allowBlank="1" showInputMessage="1" prompt="Dear Sir/ Madam - Score entered is greater than Max. Marks allotted." showErrorMessage="1" sqref="BH54">
      <formula1>0</formula1>
      <formula2>NaN</formula2>
    </dataValidation>
    <dataValidation type="decimal" allowBlank="1" showInputMessage="1" prompt="Dear Sir/ Madam - Score entered is greater than Max. Marks allotted." showErrorMessage="1" sqref="BH55">
      <formula1>0</formula1>
      <formula2>NaN</formula2>
    </dataValidation>
    <dataValidation type="decimal" allowBlank="1" showInputMessage="1" prompt="Dear Sir/ Madam - Score entered is greater than Max. Marks allotted." showErrorMessage="1" sqref="BH56">
      <formula1>0</formula1>
      <formula2>NaN</formula2>
    </dataValidation>
    <dataValidation type="decimal" allowBlank="1" showInputMessage="1" prompt="Dear Sir/ Madam - Score entered is greater than Max. Marks allotted." showErrorMessage="1" sqref="BH57">
      <formula1>0</formula1>
      <formula2>NaN</formula2>
    </dataValidation>
    <dataValidation type="decimal" allowBlank="1" showInputMessage="1" prompt="Dear Sir/ Madam - Score entered is greater than Max. Marks allotted." showErrorMessage="1" sqref="BH58">
      <formula1>0</formula1>
      <formula2>NaN</formula2>
    </dataValidation>
    <dataValidation type="decimal" allowBlank="1" showInputMessage="1" prompt="Dear Sir/ Madam - Score entered is greater than Max. Marks allotted." showErrorMessage="1" sqref="BH59">
      <formula1>0</formula1>
      <formula2>NaN</formula2>
    </dataValidation>
    <dataValidation type="decimal" allowBlank="1" showInputMessage="1" prompt="Dear Sir/ Madam - Score entered is greater than Max. Marks allotted." showErrorMessage="1" sqref="BH60">
      <formula1>0</formula1>
      <formula2>NaN</formula2>
    </dataValidation>
    <dataValidation type="decimal" allowBlank="1" showInputMessage="1" prompt="Dear Sir/ Madam - Score entered is greater than Max. Marks allotted." showErrorMessage="1" sqref="BH61">
      <formula1>0</formula1>
      <formula2>NaN</formula2>
    </dataValidation>
    <dataValidation type="decimal" allowBlank="1" showInputMessage="1" prompt="Dear Sir/ Madam - Score entered is greater than Max. Marks allotted." showErrorMessage="1" sqref="BH62">
      <formula1>0</formula1>
      <formula2>NaN</formula2>
    </dataValidation>
    <dataValidation type="decimal" allowBlank="1" showInputMessage="1" prompt="Dear Sir/ Madam - Score entered is greater than Max. Marks allotted." showErrorMessage="1" sqref="BH63">
      <formula1>0</formula1>
      <formula2>NaN</formula2>
    </dataValidation>
    <dataValidation type="decimal" allowBlank="1" showInputMessage="1" prompt="Dear Sir/ Madam - Score entered is greater than Max. Marks allotted." showErrorMessage="1" sqref="BH64">
      <formula1>0</formula1>
      <formula2>NaN</formula2>
    </dataValidation>
    <dataValidation type="decimal" allowBlank="1" showInputMessage="1" prompt="Dear Sir/ Madam - Score entered is greater than Max. Marks allotted." showErrorMessage="1" sqref="BH65">
      <formula1>0</formula1>
      <formula2>NaN</formula2>
    </dataValidation>
    <dataValidation type="decimal" allowBlank="1" showInputMessage="1" prompt="Dear Sir/ Madam - Score entered is greater than Max. Marks allotted." showErrorMessage="1" sqref="BH66">
      <formula1>0</formula1>
      <formula2>NaN</formula2>
    </dataValidation>
    <dataValidation type="decimal" allowBlank="1" showInputMessage="1" prompt="Dear Sir/ Madam - Score entered is greater than Max. Marks allotted." showErrorMessage="1" sqref="BH67">
      <formula1>0</formula1>
      <formula2>NaN</formula2>
    </dataValidation>
    <dataValidation type="decimal" allowBlank="1" showInputMessage="1" prompt="Dear Sir/ Madam - Score entered is greater than Max. Marks allotted." showErrorMessage="1" sqref="BH68">
      <formula1>0</formula1>
      <formula2>NaN</formula2>
    </dataValidation>
    <dataValidation type="decimal" allowBlank="1" showInputMessage="1" prompt="Dear Sir/ Madam - Score entered is greater than Max. Marks allotted." showErrorMessage="1" sqref="BH69">
      <formula1>0</formula1>
      <formula2>NaN</formula2>
    </dataValidation>
    <dataValidation type="decimal" allowBlank="1" showInputMessage="1" prompt="Dear Sir/ Madam - Score entered is greater than Max. Marks allotted." showErrorMessage="1" sqref="BH70">
      <formula1>0</formula1>
      <formula2>NaN</formula2>
    </dataValidation>
    <dataValidation type="decimal" allowBlank="1" showInputMessage="1" prompt="Dear Sir/ Madam - Score entered is greater than Max. Marks allotted." showErrorMessage="1" sqref="BH71">
      <formula1>0</formula1>
      <formula2>NaN</formula2>
    </dataValidation>
    <dataValidation type="decimal" allowBlank="1" showInputMessage="1" prompt="Dear Sir/ Madam - Score entered is greater than Max. Marks allotted." showErrorMessage="1" sqref="BH72">
      <formula1>0</formula1>
      <formula2>NaN</formula2>
    </dataValidation>
    <dataValidation type="decimal" allowBlank="1" showInputMessage="1" prompt="Dear Sir/ Madam - Score entered is greater than Max. Marks allotted." showErrorMessage="1" sqref="BH73">
      <formula1>0</formula1>
      <formula2>NaN</formula2>
    </dataValidation>
    <dataValidation type="decimal" allowBlank="1" showInputMessage="1" prompt="Dear Sir/ Madam - Score entered is greater than Max. Marks allotted." showErrorMessage="1" sqref="BH74">
      <formula1>0</formula1>
      <formula2>NaN</formula2>
    </dataValidation>
    <dataValidation type="decimal" allowBlank="1" showInputMessage="1" prompt="Dear Sir/ Madam - Score entered is greater than Max. Marks allotted." showErrorMessage="1" sqref="BH75">
      <formula1>0</formula1>
      <formula2>NaN</formula2>
    </dataValidation>
    <dataValidation type="decimal" allowBlank="1" showInputMessage="1" prompt="Dear Sir/ Madam - Score entered is greater than Max. Marks allotted." showErrorMessage="1" sqref="BH76">
      <formula1>0</formula1>
      <formula2>NaN</formula2>
    </dataValidation>
    <dataValidation type="decimal" allowBlank="1" showInputMessage="1" prompt="Dear Sir/ Madam - Score entered is greater than Max. Marks allotted." showErrorMessage="1" sqref="BH77">
      <formula1>0</formula1>
      <formula2>NaN</formula2>
    </dataValidation>
    <dataValidation type="decimal" allowBlank="1" showInputMessage="1" prompt="Dear Sir/ Madam - Score entered is greater than Max. Marks allotted." showErrorMessage="1" sqref="BH78">
      <formula1>0</formula1>
      <formula2>NaN</formula2>
    </dataValidation>
    <dataValidation type="decimal" allowBlank="1" showInputMessage="1" prompt="Dear Sir/ Madam - Score entered is greater than Max. Marks allotted." showErrorMessage="1" sqref="BH79">
      <formula1>0</formula1>
      <formula2>NaN</formula2>
    </dataValidation>
    <dataValidation type="decimal" allowBlank="1" showInputMessage="1" prompt="Dear Sir/ Madam - Score entered is greater than Max. Marks allotted." showErrorMessage="1" sqref="BH80">
      <formula1>0</formula1>
      <formula2>NaN</formula2>
    </dataValidation>
    <dataValidation type="decimal" allowBlank="1" showInputMessage="1" prompt="Dear Sir/ Madam - Score entered is greater than Max. Marks allotted." showErrorMessage="1" sqref="BH81">
      <formula1>0</formula1>
      <formula2>NaN</formula2>
    </dataValidation>
    <dataValidation type="decimal" allowBlank="1" showInputMessage="1" prompt="Dear Sir/ Madam - Score entered is greater than Max. Marks allotted." showErrorMessage="1" sqref="BH82">
      <formula1>0</formula1>
      <formula2>NaN</formula2>
    </dataValidation>
    <dataValidation type="decimal" allowBlank="1" showInputMessage="1" prompt="Dear Sir/ Madam - Score entered is greater than Max. Marks allotted." showErrorMessage="1" sqref="BH83">
      <formula1>0</formula1>
      <formula2>NaN</formula2>
    </dataValidation>
    <dataValidation type="decimal" allowBlank="1" showInputMessage="1" prompt="Dear Sir/ Madam - Score entered is greater than Max. Marks allotted." showErrorMessage="1" sqref="BH84">
      <formula1>0</formula1>
      <formula2>NaN</formula2>
    </dataValidation>
    <dataValidation type="decimal" allowBlank="1" showInputMessage="1" prompt="Dear Sir/ Madam - Score entered is greater than Max. Marks allotted." showErrorMessage="1" sqref="BH85">
      <formula1>0</formula1>
      <formula2>NaN</formula2>
    </dataValidation>
    <dataValidation type="decimal" allowBlank="1" showInputMessage="1" prompt="Dear Sir/ Madam - Score entered is greater than Max. Marks allotted." showErrorMessage="1" sqref="BH86">
      <formula1>0</formula1>
      <formula2>NaN</formula2>
    </dataValidation>
    <dataValidation type="decimal" allowBlank="1" showInputMessage="1" prompt="Dear Sir/ Madam - Score entered is greater than Max. Marks allotted." showErrorMessage="1" sqref="BH87">
      <formula1>0</formula1>
      <formula2>NaN</formula2>
    </dataValidation>
    <dataValidation type="decimal" allowBlank="1" showInputMessage="1" prompt="Dear Sir/ Madam - Score entered is greater than Max. Marks allotted." showErrorMessage="1" sqref="BH88">
      <formula1>0</formula1>
      <formula2>NaN</formula2>
    </dataValidation>
    <dataValidation type="decimal" allowBlank="1" showInputMessage="1" prompt="Dear Sir/ Madam - Score entered is greater than Max. Marks allotted." showErrorMessage="1" sqref="BH89">
      <formula1>0</formula1>
      <formula2>NaN</formula2>
    </dataValidation>
    <dataValidation type="decimal" allowBlank="1" showInputMessage="1" prompt="Dear Sir/ Madam - Score entered is greater than Max. Marks allotted." showErrorMessage="1" sqref="BH90">
      <formula1>0</formula1>
      <formula2>NaN</formula2>
    </dataValidation>
    <dataValidation type="decimal" allowBlank="1" showInputMessage="1" prompt="Dear Sir/ Madam - Score entered is greater than Max. Marks allotted." showErrorMessage="1" sqref="BH91">
      <formula1>0</formula1>
      <formula2>NaN</formula2>
    </dataValidation>
    <dataValidation type="decimal" allowBlank="1" showInputMessage="1" prompt="Dear Sir/ Madam - Score entered is greater than Max. Marks allotted." showErrorMessage="1" sqref="BH92">
      <formula1>0</formula1>
      <formula2>NaN</formula2>
    </dataValidation>
    <dataValidation type="decimal" allowBlank="1" showInputMessage="1" prompt="Dear Sir/ Madam - Score entered is greater than Max. Marks allotted." showErrorMessage="1" sqref="BH93">
      <formula1>0</formula1>
      <formula2>NaN</formula2>
    </dataValidation>
    <dataValidation type="decimal" allowBlank="1" showInputMessage="1" prompt="Dear Sir/ Madam - Score entered is greater than Max. Marks allotted." showErrorMessage="1" sqref="BH94">
      <formula1>0</formula1>
      <formula2>NaN</formula2>
    </dataValidation>
    <dataValidation type="decimal" allowBlank="1" showInputMessage="1" prompt="Dear Sir/ Madam - Score entered is greater than Max. Marks allotted." showErrorMessage="1" sqref="BH95">
      <formula1>0</formula1>
      <formula2>NaN</formula2>
    </dataValidation>
    <dataValidation type="decimal" allowBlank="1" showInputMessage="1" prompt="Dear Sir/ Madam - Score entered is greater than Max. Marks allotted." showErrorMessage="1" sqref="BH96">
      <formula1>0</formula1>
      <formula2>NaN</formula2>
    </dataValidation>
    <dataValidation type="decimal" allowBlank="1" showInputMessage="1" prompt="Dear Sir/ Madam - Score entered is greater than Max. Marks allotted." showErrorMessage="1" sqref="BH97">
      <formula1>0</formula1>
      <formula2>NaN</formula2>
    </dataValidation>
    <dataValidation type="decimal" allowBlank="1" showInputMessage="1" prompt="Dear Sir/ Madam - Score entered is greater than Max. Marks allotted." showErrorMessage="1" sqref="BH98">
      <formula1>0</formula1>
      <formula2>NaN</formula2>
    </dataValidation>
    <dataValidation type="decimal" allowBlank="1" showInputMessage="1" prompt="Dear Sir/ Madam - Score entered is greater than Max. Marks allotted." showErrorMessage="1" sqref="BH99">
      <formula1>0</formula1>
      <formula2>NaN</formula2>
    </dataValidation>
    <dataValidation type="decimal" allowBlank="1" showInputMessage="1" prompt="Dear Sir/ Madam - Score entered is greater than Max. Marks allotted." showErrorMessage="1" sqref="D108">
      <formula1>0</formula1>
      <formula2>NaN</formula2>
    </dataValidation>
    <dataValidation type="decimal" allowBlank="1" showInputMessage="1" prompt="Dear Sir/ Madam - Score entered is greater than Max. Marks allotted." showErrorMessage="1" sqref="D109">
      <formula1>0</formula1>
      <formula2>NaN</formula2>
    </dataValidation>
    <dataValidation type="decimal" allowBlank="1" showInputMessage="1" prompt="Dear Sir/ Madam - Score entered is greater than Max. Marks allotted." showErrorMessage="1" sqref="D110">
      <formula1>0</formula1>
      <formula2>NaN</formula2>
    </dataValidation>
    <dataValidation type="decimal" allowBlank="1" showInputMessage="1" prompt="Dear Sir/ Madam - Score entered is greater than Max. Marks allotted." showErrorMessage="1" sqref="D111">
      <formula1>0</formula1>
      <formula2>NaN</formula2>
    </dataValidation>
    <dataValidation type="decimal" allowBlank="1" showInputMessage="1" prompt="Dear Sir/ Madam - Score entered is greater than Max. Marks allotted." showErrorMessage="1" sqref="D112">
      <formula1>0</formula1>
      <formula2>NaN</formula2>
    </dataValidation>
    <dataValidation type="decimal" allowBlank="1" showInputMessage="1" prompt="Dear Sir/ Madam - Score entered is greater than Max. Marks allotted." showErrorMessage="1" sqref="D113">
      <formula1>0</formula1>
      <formula2>NaN</formula2>
    </dataValidation>
    <dataValidation type="decimal" allowBlank="1" showInputMessage="1" prompt="Dear Sir/ Madam - Score entered is greater than Max. Marks allotted." showErrorMessage="1" sqref="D114">
      <formula1>0</formula1>
      <formula2>NaN</formula2>
    </dataValidation>
    <dataValidation type="decimal" allowBlank="1" showInputMessage="1" prompt="Dear Sir/ Madam - Score entered is greater than Max. Marks allotted." showErrorMessage="1" sqref="D115">
      <formula1>0</formula1>
      <formula2>NaN</formula2>
    </dataValidation>
    <dataValidation type="decimal" allowBlank="1" showInputMessage="1" prompt="Dear Sir/ Madam - Score entered is greater than Max. Marks allotted." showErrorMessage="1" sqref="D116">
      <formula1>0</formula1>
      <formula2>NaN</formula2>
    </dataValidation>
    <dataValidation type="decimal" allowBlank="1" showInputMessage="1" prompt="Dear Sir/ Madam - Score entered is greater than Max. Marks allotted." showErrorMessage="1" sqref="D117">
      <formula1>0</formula1>
      <formula2>NaN</formula2>
    </dataValidation>
    <dataValidation type="decimal" allowBlank="1" showInputMessage="1" prompt="Dear Sir/ Madam - Score entered is greater than Max. Marks allotted." showErrorMessage="1" sqref="D118">
      <formula1>0</formula1>
      <formula2>NaN</formula2>
    </dataValidation>
    <dataValidation type="decimal" allowBlank="1" showInputMessage="1" prompt="Dear Sir/ Madam - Score entered is greater than Max. Marks allotted." showErrorMessage="1" sqref="D119">
      <formula1>0</formula1>
      <formula2>NaN</formula2>
    </dataValidation>
    <dataValidation type="decimal" allowBlank="1" showInputMessage="1" prompt="Dear Sir/ Madam - Score entered is greater than Max. Marks allotted." showErrorMessage="1" sqref="D120">
      <formula1>0</formula1>
      <formula2>NaN</formula2>
    </dataValidation>
    <dataValidation type="decimal" allowBlank="1" showInputMessage="1" prompt="Dear Sir/ Madam - Score entered is greater than Max. Marks allotted." showErrorMessage="1" sqref="D121">
      <formula1>0</formula1>
      <formula2>NaN</formula2>
    </dataValidation>
    <dataValidation type="decimal" allowBlank="1" showInputMessage="1" prompt="Dear Sir/ Madam - Score entered is greater than Max. Marks allotted." showErrorMessage="1" sqref="D122">
      <formula1>0</formula1>
      <formula2>NaN</formula2>
    </dataValidation>
    <dataValidation type="decimal" allowBlank="1" showInputMessage="1" prompt="Dear Sir/ Madam - Score entered is greater than Max. Marks allotted." showErrorMessage="1" sqref="D123">
      <formula1>0</formula1>
      <formula2>NaN</formula2>
    </dataValidation>
    <dataValidation type="decimal" allowBlank="1" showInputMessage="1" prompt="Dear Sir/ Madam - Score entered is greater than Max. Marks allotted." showErrorMessage="1" sqref="D124">
      <formula1>0</formula1>
      <formula2>NaN</formula2>
    </dataValidation>
    <dataValidation type="decimal" allowBlank="1" showInputMessage="1" prompt="Dear Sir/ Madam - Score entered is greater than Max. Marks allotted." showErrorMessage="1" sqref="D125">
      <formula1>0</formula1>
      <formula2>NaN</formula2>
    </dataValidation>
    <dataValidation type="decimal" allowBlank="1" showInputMessage="1" prompt="Dear Sir/ Madam - Score entered is greater than Max. Marks allotted." showErrorMessage="1" sqref="D126">
      <formula1>0</formula1>
      <formula2>NaN</formula2>
    </dataValidation>
    <dataValidation type="decimal" allowBlank="1" showInputMessage="1" prompt="Dear Sir/ Madam - Score entered is greater than Max. Marks allotted." showErrorMessage="1" sqref="D127">
      <formula1>0</formula1>
      <formula2>NaN</formula2>
    </dataValidation>
    <dataValidation type="decimal" allowBlank="1" showInputMessage="1" prompt="Dear Sir/ Madam - Score entered is greater than Max. Marks allotted." showErrorMessage="1" sqref="D128">
      <formula1>0</formula1>
      <formula2>NaN</formula2>
    </dataValidation>
    <dataValidation type="decimal" allowBlank="1" showInputMessage="1" prompt="Dear Sir/ Madam - Score entered is greater than Max. Marks allotted." showErrorMessage="1" sqref="D129">
      <formula1>0</formula1>
      <formula2>NaN</formula2>
    </dataValidation>
    <dataValidation type="decimal" allowBlank="1" showInputMessage="1" prompt="Dear Sir/ Madam - Score entered is greater than Max. Marks allotted." showErrorMessage="1" sqref="D130">
      <formula1>0</formula1>
      <formula2>NaN</formula2>
    </dataValidation>
    <dataValidation type="decimal" allowBlank="1" showInputMessage="1" prompt="Dear Sir/ Madam - Score entered is greater than Max. Marks allotted." showErrorMessage="1" sqref="D131">
      <formula1>0</formula1>
      <formula2>NaN</formula2>
    </dataValidation>
    <dataValidation type="decimal" allowBlank="1" showInputMessage="1" prompt="Dear Sir/ Madam - Score entered is greater than Max. Marks allotted." showErrorMessage="1" sqref="D132">
      <formula1>0</formula1>
      <formula2>NaN</formula2>
    </dataValidation>
    <dataValidation type="decimal" allowBlank="1" showInputMessage="1" prompt="Dear Sir/ Madam - Score entered is greater than Max. Marks allotted." showErrorMessage="1" sqref="D133">
      <formula1>0</formula1>
      <formula2>NaN</formula2>
    </dataValidation>
    <dataValidation type="decimal" allowBlank="1" showInputMessage="1" prompt="Dear Sir/ Madam - Score entered is greater than Max. Marks allotted." showErrorMessage="1" sqref="D134">
      <formula1>0</formula1>
      <formula2>NaN</formula2>
    </dataValidation>
    <dataValidation type="decimal" allowBlank="1" showInputMessage="1" prompt="Dear Sir/ Madam - Score entered is greater than Max. Marks allotted." showErrorMessage="1" sqref="D135">
      <formula1>0</formula1>
      <formula2>NaN</formula2>
    </dataValidation>
    <dataValidation type="decimal" allowBlank="1" showInputMessage="1" prompt="Dear Sir/ Madam - Score entered is greater than Max. Marks allotted." showErrorMessage="1" sqref="E108">
      <formula1>0</formula1>
      <formula2>NaN</formula2>
    </dataValidation>
    <dataValidation type="decimal" allowBlank="1" showInputMessage="1" prompt="Dear Sir/ Madam - Score entered is greater than Max. Marks allotted." showErrorMessage="1" sqref="E109">
      <formula1>0</formula1>
      <formula2>NaN</formula2>
    </dataValidation>
    <dataValidation type="decimal" allowBlank="1" showInputMessage="1" prompt="Dear Sir/ Madam - Score entered is greater than Max. Marks allotted." showErrorMessage="1" sqref="E110">
      <formula1>0</formula1>
      <formula2>NaN</formula2>
    </dataValidation>
    <dataValidation type="decimal" allowBlank="1" showInputMessage="1" prompt="Dear Sir/ Madam - Score entered is greater than Max. Marks allotted." showErrorMessage="1" sqref="E111">
      <formula1>0</formula1>
      <formula2>NaN</formula2>
    </dataValidation>
    <dataValidation type="decimal" allowBlank="1" showInputMessage="1" prompt="Dear Sir/ Madam - Score entered is greater than Max. Marks allotted." showErrorMessage="1" sqref="E112">
      <formula1>0</formula1>
      <formula2>NaN</formula2>
    </dataValidation>
    <dataValidation type="decimal" allowBlank="1" showInputMessage="1" prompt="Dear Sir/ Madam - Score entered is greater than Max. Marks allotted." showErrorMessage="1" sqref="E113">
      <formula1>0</formula1>
      <formula2>NaN</formula2>
    </dataValidation>
    <dataValidation type="decimal" allowBlank="1" showInputMessage="1" prompt="Dear Sir/ Madam - Score entered is greater than Max. Marks allotted." showErrorMessage="1" sqref="E114">
      <formula1>0</formula1>
      <formula2>NaN</formula2>
    </dataValidation>
    <dataValidation type="decimal" allowBlank="1" showInputMessage="1" prompt="Dear Sir/ Madam - Score entered is greater than Max. Marks allotted." showErrorMessage="1" sqref="E115">
      <formula1>0</formula1>
      <formula2>NaN</formula2>
    </dataValidation>
    <dataValidation type="decimal" allowBlank="1" showInputMessage="1" prompt="Dear Sir/ Madam - Score entered is greater than Max. Marks allotted." showErrorMessage="1" sqref="E116">
      <formula1>0</formula1>
      <formula2>NaN</formula2>
    </dataValidation>
    <dataValidation type="decimal" allowBlank="1" showInputMessage="1" prompt="Dear Sir/ Madam - Score entered is greater than Max. Marks allotted." showErrorMessage="1" sqref="E117">
      <formula1>0</formula1>
      <formula2>NaN</formula2>
    </dataValidation>
    <dataValidation type="decimal" allowBlank="1" showInputMessage="1" prompt="Dear Sir/ Madam - Score entered is greater than Max. Marks allotted." showErrorMessage="1" sqref="E118">
      <formula1>0</formula1>
      <formula2>NaN</formula2>
    </dataValidation>
    <dataValidation type="decimal" allowBlank="1" showInputMessage="1" prompt="Dear Sir/ Madam - Score entered is greater than Max. Marks allotted." showErrorMessage="1" sqref="E119">
      <formula1>0</formula1>
      <formula2>NaN</formula2>
    </dataValidation>
    <dataValidation type="decimal" allowBlank="1" showInputMessage="1" prompt="Dear Sir/ Madam - Score entered is greater than Max. Marks allotted." showErrorMessage="1" sqref="E120">
      <formula1>0</formula1>
      <formula2>NaN</formula2>
    </dataValidation>
    <dataValidation type="decimal" allowBlank="1" showInputMessage="1" prompt="Dear Sir/ Madam - Score entered is greater than Max. Marks allotted." showErrorMessage="1" sqref="E121">
      <formula1>0</formula1>
      <formula2>NaN</formula2>
    </dataValidation>
    <dataValidation type="decimal" allowBlank="1" showInputMessage="1" prompt="Dear Sir/ Madam - Score entered is greater than Max. Marks allotted." showErrorMessage="1" sqref="E122">
      <formula1>0</formula1>
      <formula2>NaN</formula2>
    </dataValidation>
    <dataValidation type="decimal" allowBlank="1" showInputMessage="1" prompt="Dear Sir/ Madam - Score entered is greater than Max. Marks allotted." showErrorMessage="1" sqref="E123">
      <formula1>0</formula1>
      <formula2>NaN</formula2>
    </dataValidation>
    <dataValidation type="decimal" allowBlank="1" showInputMessage="1" prompt="Dear Sir/ Madam - Score entered is greater than Max. Marks allotted." showErrorMessage="1" sqref="E124">
      <formula1>0</formula1>
      <formula2>NaN</formula2>
    </dataValidation>
    <dataValidation type="decimal" allowBlank="1" showInputMessage="1" prompt="Dear Sir/ Madam - Score entered is greater than Max. Marks allotted." showErrorMessage="1" sqref="E125">
      <formula1>0</formula1>
      <formula2>NaN</formula2>
    </dataValidation>
    <dataValidation type="decimal" allowBlank="1" showInputMessage="1" prompt="Dear Sir/ Madam - Score entered is greater than Max. Marks allotted." showErrorMessage="1" sqref="E126">
      <formula1>0</formula1>
      <formula2>NaN</formula2>
    </dataValidation>
    <dataValidation type="decimal" allowBlank="1" showInputMessage="1" prompt="Dear Sir/ Madam - Score entered is greater than Max. Marks allotted." showErrorMessage="1" sqref="E127">
      <formula1>0</formula1>
      <formula2>NaN</formula2>
    </dataValidation>
    <dataValidation type="decimal" allowBlank="1" showInputMessage="1" prompt="Dear Sir/ Madam - Score entered is greater than Max. Marks allotted." showErrorMessage="1" sqref="E128">
      <formula1>0</formula1>
      <formula2>NaN</formula2>
    </dataValidation>
    <dataValidation type="decimal" allowBlank="1" showInputMessage="1" prompt="Dear Sir/ Madam - Score entered is greater than Max. Marks allotted." showErrorMessage="1" sqref="E129">
      <formula1>0</formula1>
      <formula2>NaN</formula2>
    </dataValidation>
    <dataValidation type="decimal" allowBlank="1" showInputMessage="1" prompt="Dear Sir/ Madam - Score entered is greater than Max. Marks allotted." showErrorMessage="1" sqref="E130">
      <formula1>0</formula1>
      <formula2>NaN</formula2>
    </dataValidation>
    <dataValidation type="decimal" allowBlank="1" showInputMessage="1" prompt="Dear Sir/ Madam - Score entered is greater than Max. Marks allotted." showErrorMessage="1" sqref="E131">
      <formula1>0</formula1>
      <formula2>NaN</formula2>
    </dataValidation>
    <dataValidation type="decimal" allowBlank="1" showInputMessage="1" prompt="Dear Sir/ Madam - Score entered is greater than Max. Marks allotted." showErrorMessage="1" sqref="E132">
      <formula1>0</formula1>
      <formula2>NaN</formula2>
    </dataValidation>
    <dataValidation type="decimal" allowBlank="1" showInputMessage="1" prompt="Dear Sir/ Madam - Score entered is greater than Max. Marks allotted." showErrorMessage="1" sqref="E133">
      <formula1>0</formula1>
      <formula2>NaN</formula2>
    </dataValidation>
    <dataValidation type="decimal" allowBlank="1" showInputMessage="1" prompt="Dear Sir/ Madam - Score entered is greater than Max. Marks allotted." showErrorMessage="1" sqref="E134">
      <formula1>0</formula1>
      <formula2>NaN</formula2>
    </dataValidation>
    <dataValidation type="decimal" allowBlank="1" showInputMessage="1" prompt="Dear Sir/ Madam - Score entered is greater than Max. Marks allotted." showErrorMessage="1" sqref="E135">
      <formula1>0</formula1>
      <formula2>NaN</formula2>
    </dataValidation>
    <dataValidation type="decimal" allowBlank="1" showInputMessage="1" prompt="Dear Sir/ Madam - Score entered is greater than Max. Marks allotted." showErrorMessage="1" sqref="F108">
      <formula1>0</formula1>
      <formula2>NaN</formula2>
    </dataValidation>
    <dataValidation type="decimal" allowBlank="1" showInputMessage="1" prompt="Dear Sir/ Madam - Score entered is greater than Max. Marks allotted." showErrorMessage="1" sqref="F109">
      <formula1>0</formula1>
      <formula2>NaN</formula2>
    </dataValidation>
    <dataValidation type="decimal" allowBlank="1" showInputMessage="1" prompt="Dear Sir/ Madam - Score entered is greater than Max. Marks allotted." showErrorMessage="1" sqref="F110">
      <formula1>0</formula1>
      <formula2>NaN</formula2>
    </dataValidation>
    <dataValidation type="decimal" allowBlank="1" showInputMessage="1" prompt="Dear Sir/ Madam - Score entered is greater than Max. Marks allotted." showErrorMessage="1" sqref="F111">
      <formula1>0</formula1>
      <formula2>NaN</formula2>
    </dataValidation>
    <dataValidation type="decimal" allowBlank="1" showInputMessage="1" prompt="Dear Sir/ Madam - Score entered is greater than Max. Marks allotted." showErrorMessage="1" sqref="F112">
      <formula1>0</formula1>
      <formula2>NaN</formula2>
    </dataValidation>
    <dataValidation type="decimal" allowBlank="1" showInputMessage="1" prompt="Dear Sir/ Madam - Score entered is greater than Max. Marks allotted." showErrorMessage="1" sqref="F113">
      <formula1>0</formula1>
      <formula2>NaN</formula2>
    </dataValidation>
    <dataValidation type="decimal" allowBlank="1" showInputMessage="1" prompt="Dear Sir/ Madam - Score entered is greater than Max. Marks allotted." showErrorMessage="1" sqref="F114">
      <formula1>0</formula1>
      <formula2>NaN</formula2>
    </dataValidation>
    <dataValidation type="decimal" allowBlank="1" showInputMessage="1" prompt="Dear Sir/ Madam - Score entered is greater than Max. Marks allotted." showErrorMessage="1" sqref="F115">
      <formula1>0</formula1>
      <formula2>NaN</formula2>
    </dataValidation>
    <dataValidation type="decimal" allowBlank="1" showInputMessage="1" prompt="Dear Sir/ Madam - Score entered is greater than Max. Marks allotted." showErrorMessage="1" sqref="F116">
      <formula1>0</formula1>
      <formula2>NaN</formula2>
    </dataValidation>
    <dataValidation type="decimal" allowBlank="1" showInputMessage="1" prompt="Dear Sir/ Madam - Score entered is greater than Max. Marks allotted." showErrorMessage="1" sqref="F117">
      <formula1>0</formula1>
      <formula2>NaN</formula2>
    </dataValidation>
    <dataValidation type="decimal" allowBlank="1" showInputMessage="1" prompt="Dear Sir/ Madam - Score entered is greater than Max. Marks allotted." showErrorMessage="1" sqref="F118">
      <formula1>0</formula1>
      <formula2>NaN</formula2>
    </dataValidation>
    <dataValidation type="decimal" allowBlank="1" showInputMessage="1" prompt="Dear Sir/ Madam - Score entered is greater than Max. Marks allotted." showErrorMessage="1" sqref="F119">
      <formula1>0</formula1>
      <formula2>NaN</formula2>
    </dataValidation>
    <dataValidation type="decimal" allowBlank="1" showInputMessage="1" prompt="Dear Sir/ Madam - Score entered is greater than Max. Marks allotted." showErrorMessage="1" sqref="F120">
      <formula1>0</formula1>
      <formula2>NaN</formula2>
    </dataValidation>
    <dataValidation type="decimal" allowBlank="1" showInputMessage="1" prompt="Dear Sir/ Madam - Score entered is greater than Max. Marks allotted." showErrorMessage="1" sqref="F121">
      <formula1>0</formula1>
      <formula2>NaN</formula2>
    </dataValidation>
    <dataValidation type="decimal" allowBlank="1" showInputMessage="1" prompt="Dear Sir/ Madam - Score entered is greater than Max. Marks allotted." showErrorMessage="1" sqref="F122">
      <formula1>0</formula1>
      <formula2>NaN</formula2>
    </dataValidation>
    <dataValidation type="decimal" allowBlank="1" showInputMessage="1" prompt="Dear Sir/ Madam - Score entered is greater than Max. Marks allotted." showErrorMessage="1" sqref="F123">
      <formula1>0</formula1>
      <formula2>NaN</formula2>
    </dataValidation>
    <dataValidation type="decimal" allowBlank="1" showInputMessage="1" prompt="Dear Sir/ Madam - Score entered is greater than Max. Marks allotted." showErrorMessage="1" sqref="F124">
      <formula1>0</formula1>
      <formula2>NaN</formula2>
    </dataValidation>
    <dataValidation type="decimal" allowBlank="1" showInputMessage="1" prompt="Dear Sir/ Madam - Score entered is greater than Max. Marks allotted." showErrorMessage="1" sqref="F125">
      <formula1>0</formula1>
      <formula2>NaN</formula2>
    </dataValidation>
    <dataValidation type="decimal" allowBlank="1" showInputMessage="1" prompt="Dear Sir/ Madam - Score entered is greater than Max. Marks allotted." showErrorMessage="1" sqref="F126">
      <formula1>0</formula1>
      <formula2>NaN</formula2>
    </dataValidation>
    <dataValidation type="decimal" allowBlank="1" showInputMessage="1" prompt="Dear Sir/ Madam - Score entered is greater than Max. Marks allotted." showErrorMessage="1" sqref="F127">
      <formula1>0</formula1>
      <formula2>NaN</formula2>
    </dataValidation>
    <dataValidation type="decimal" allowBlank="1" showInputMessage="1" prompt="Dear Sir/ Madam - Score entered is greater than Max. Marks allotted." showErrorMessage="1" sqref="F128">
      <formula1>0</formula1>
      <formula2>NaN</formula2>
    </dataValidation>
    <dataValidation type="decimal" allowBlank="1" showInputMessage="1" prompt="Dear Sir/ Madam - Score entered is greater than Max. Marks allotted." showErrorMessage="1" sqref="F129">
      <formula1>0</formula1>
      <formula2>NaN</formula2>
    </dataValidation>
    <dataValidation type="decimal" allowBlank="1" showInputMessage="1" prompt="Dear Sir/ Madam - Score entered is greater than Max. Marks allotted." showErrorMessage="1" sqref="F130">
      <formula1>0</formula1>
      <formula2>NaN</formula2>
    </dataValidation>
    <dataValidation type="decimal" allowBlank="1" showInputMessage="1" prompt="Dear Sir/ Madam - Score entered is greater than Max. Marks allotted." showErrorMessage="1" sqref="F131">
      <formula1>0</formula1>
      <formula2>NaN</formula2>
    </dataValidation>
    <dataValidation type="decimal" allowBlank="1" showInputMessage="1" prompt="Dear Sir/ Madam - Score entered is greater than Max. Marks allotted." showErrorMessage="1" sqref="F132">
      <formula1>0</formula1>
      <formula2>NaN</formula2>
    </dataValidation>
    <dataValidation type="decimal" allowBlank="1" showInputMessage="1" prompt="Dear Sir/ Madam - Score entered is greater than Max. Marks allotted." showErrorMessage="1" sqref="F133">
      <formula1>0</formula1>
      <formula2>NaN</formula2>
    </dataValidation>
    <dataValidation type="decimal" allowBlank="1" showInputMessage="1" prompt="Dear Sir/ Madam - Score entered is greater than Max. Marks allotted." showErrorMessage="1" sqref="F134">
      <formula1>0</formula1>
      <formula2>NaN</formula2>
    </dataValidation>
    <dataValidation type="decimal" allowBlank="1" showInputMessage="1" prompt="Dear Sir/ Madam - Score entered is greater than Max. Marks allotted." showErrorMessage="1" sqref="F135">
      <formula1>0</formula1>
      <formula2>NaN</formula2>
    </dataValidation>
    <dataValidation type="decimal" allowBlank="1" showInputMessage="1" prompt="Dear Sir/ Madam - Score entered is greater than Max. Marks allotted." showErrorMessage="1" sqref="G108">
      <formula1>0</formula1>
      <formula2>NaN</formula2>
    </dataValidation>
    <dataValidation type="decimal" allowBlank="1" showInputMessage="1" prompt="Dear Sir/ Madam - Score entered is greater than Max. Marks allotted." showErrorMessage="1" sqref="G109">
      <formula1>0</formula1>
      <formula2>NaN</formula2>
    </dataValidation>
    <dataValidation type="decimal" allowBlank="1" showInputMessage="1" prompt="Dear Sir/ Madam - Score entered is greater than Max. Marks allotted." showErrorMessage="1" sqref="G110">
      <formula1>0</formula1>
      <formula2>NaN</formula2>
    </dataValidation>
    <dataValidation type="decimal" allowBlank="1" showInputMessage="1" prompt="Dear Sir/ Madam - Score entered is greater than Max. Marks allotted." showErrorMessage="1" sqref="G111">
      <formula1>0</formula1>
      <formula2>NaN</formula2>
    </dataValidation>
    <dataValidation type="decimal" allowBlank="1" showInputMessage="1" prompt="Dear Sir/ Madam - Score entered is greater than Max. Marks allotted." showErrorMessage="1" sqref="G112">
      <formula1>0</formula1>
      <formula2>NaN</formula2>
    </dataValidation>
    <dataValidation type="decimal" allowBlank="1" showInputMessage="1" prompt="Dear Sir/ Madam - Score entered is greater than Max. Marks allotted." showErrorMessage="1" sqref="G113">
      <formula1>0</formula1>
      <formula2>NaN</formula2>
    </dataValidation>
    <dataValidation type="decimal" allowBlank="1" showInputMessage="1" prompt="Dear Sir/ Madam - Score entered is greater than Max. Marks allotted." showErrorMessage="1" sqref="G114">
      <formula1>0</formula1>
      <formula2>NaN</formula2>
    </dataValidation>
    <dataValidation type="decimal" allowBlank="1" showInputMessage="1" prompt="Dear Sir/ Madam - Score entered is greater than Max. Marks allotted." showErrorMessage="1" sqref="G115">
      <formula1>0</formula1>
      <formula2>NaN</formula2>
    </dataValidation>
    <dataValidation type="decimal" allowBlank="1" showInputMessage="1" prompt="Dear Sir/ Madam - Score entered is greater than Max. Marks allotted." showErrorMessage="1" sqref="G116">
      <formula1>0</formula1>
      <formula2>NaN</formula2>
    </dataValidation>
    <dataValidation type="decimal" allowBlank="1" showInputMessage="1" prompt="Dear Sir/ Madam - Score entered is greater than Max. Marks allotted." showErrorMessage="1" sqref="G117">
      <formula1>0</formula1>
      <formula2>NaN</formula2>
    </dataValidation>
    <dataValidation type="decimal" allowBlank="1" showInputMessage="1" prompt="Dear Sir/ Madam - Score entered is greater than Max. Marks allotted." showErrorMessage="1" sqref="G118">
      <formula1>0</formula1>
      <formula2>NaN</formula2>
    </dataValidation>
    <dataValidation type="decimal" allowBlank="1" showInputMessage="1" prompt="Dear Sir/ Madam - Score entered is greater than Max. Marks allotted." showErrorMessage="1" sqref="G119">
      <formula1>0</formula1>
      <formula2>NaN</formula2>
    </dataValidation>
    <dataValidation type="decimal" allowBlank="1" showInputMessage="1" prompt="Dear Sir/ Madam - Score entered is greater than Max. Marks allotted." showErrorMessage="1" sqref="G120">
      <formula1>0</formula1>
      <formula2>NaN</formula2>
    </dataValidation>
    <dataValidation type="decimal" allowBlank="1" showInputMessage="1" prompt="Dear Sir/ Madam - Score entered is greater than Max. Marks allotted." showErrorMessage="1" sqref="G121">
      <formula1>0</formula1>
      <formula2>NaN</formula2>
    </dataValidation>
    <dataValidation type="decimal" allowBlank="1" showInputMessage="1" prompt="Dear Sir/ Madam - Score entered is greater than Max. Marks allotted." showErrorMessage="1" sqref="G122">
      <formula1>0</formula1>
      <formula2>NaN</formula2>
    </dataValidation>
    <dataValidation type="decimal" allowBlank="1" showInputMessage="1" prompt="Dear Sir/ Madam - Score entered is greater than Max. Marks allotted." showErrorMessage="1" sqref="G123">
      <formula1>0</formula1>
      <formula2>NaN</formula2>
    </dataValidation>
    <dataValidation type="decimal" allowBlank="1" showInputMessage="1" prompt="Dear Sir/ Madam - Score entered is greater than Max. Marks allotted." showErrorMessage="1" sqref="G124">
      <formula1>0</formula1>
      <formula2>NaN</formula2>
    </dataValidation>
    <dataValidation type="decimal" allowBlank="1" showInputMessage="1" prompt="Dear Sir/ Madam - Score entered is greater than Max. Marks allotted." showErrorMessage="1" sqref="G125">
      <formula1>0</formula1>
      <formula2>NaN</formula2>
    </dataValidation>
    <dataValidation type="decimal" allowBlank="1" showInputMessage="1" prompt="Dear Sir/ Madam - Score entered is greater than Max. Marks allotted." showErrorMessage="1" sqref="G126">
      <formula1>0</formula1>
      <formula2>NaN</formula2>
    </dataValidation>
    <dataValidation type="decimal" allowBlank="1" showInputMessage="1" prompt="Dear Sir/ Madam - Score entered is greater than Max. Marks allotted." showErrorMessage="1" sqref="G127">
      <formula1>0</formula1>
      <formula2>NaN</formula2>
    </dataValidation>
    <dataValidation type="decimal" allowBlank="1" showInputMessage="1" prompt="Dear Sir/ Madam - Score entered is greater than Max. Marks allotted." showErrorMessage="1" sqref="G128">
      <formula1>0</formula1>
      <formula2>NaN</formula2>
    </dataValidation>
    <dataValidation type="decimal" allowBlank="1" showInputMessage="1" prompt="Dear Sir/ Madam - Score entered is greater than Max. Marks allotted." showErrorMessage="1" sqref="G129">
      <formula1>0</formula1>
      <formula2>NaN</formula2>
    </dataValidation>
    <dataValidation type="decimal" allowBlank="1" showInputMessage="1" prompt="Dear Sir/ Madam - Score entered is greater than Max. Marks allotted." showErrorMessage="1" sqref="G130">
      <formula1>0</formula1>
      <formula2>NaN</formula2>
    </dataValidation>
    <dataValidation type="decimal" allowBlank="1" showInputMessage="1" prompt="Dear Sir/ Madam - Score entered is greater than Max. Marks allotted." showErrorMessage="1" sqref="G131">
      <formula1>0</formula1>
      <formula2>NaN</formula2>
    </dataValidation>
    <dataValidation type="decimal" allowBlank="1" showInputMessage="1" prompt="Dear Sir/ Madam - Score entered is greater than Max. Marks allotted." showErrorMessage="1" sqref="G132">
      <formula1>0</formula1>
      <formula2>NaN</formula2>
    </dataValidation>
    <dataValidation type="decimal" allowBlank="1" showInputMessage="1" prompt="Dear Sir/ Madam - Score entered is greater than Max. Marks allotted." showErrorMessage="1" sqref="G133">
      <formula1>0</formula1>
      <formula2>NaN</formula2>
    </dataValidation>
    <dataValidation type="decimal" allowBlank="1" showInputMessage="1" prompt="Dear Sir/ Madam - Score entered is greater than Max. Marks allotted." showErrorMessage="1" sqref="G134">
      <formula1>0</formula1>
      <formula2>NaN</formula2>
    </dataValidation>
    <dataValidation type="decimal" allowBlank="1" showInputMessage="1" prompt="Dear Sir/ Madam - Score entered is greater than Max. Marks allotted." showErrorMessage="1" sqref="G135">
      <formula1>0</formula1>
      <formula2>NaN</formula2>
    </dataValidation>
    <dataValidation type="decimal" allowBlank="1" showInputMessage="1" prompt="Dear Sir/ Madam - Score entered is greater than Max. Marks allotted." showErrorMessage="1" sqref="H108">
      <formula1>0</formula1>
      <formula2>NaN</formula2>
    </dataValidation>
    <dataValidation type="decimal" allowBlank="1" showInputMessage="1" prompt="Dear Sir/ Madam - Score entered is greater than Max. Marks allotted." showErrorMessage="1" sqref="H109">
      <formula1>0</formula1>
      <formula2>NaN</formula2>
    </dataValidation>
    <dataValidation type="decimal" allowBlank="1" showInputMessage="1" prompt="Dear Sir/ Madam - Score entered is greater than Max. Marks allotted." showErrorMessage="1" sqref="H110">
      <formula1>0</formula1>
      <formula2>NaN</formula2>
    </dataValidation>
    <dataValidation type="decimal" allowBlank="1" showInputMessage="1" prompt="Dear Sir/ Madam - Score entered is greater than Max. Marks allotted." showErrorMessage="1" sqref="H111">
      <formula1>0</formula1>
      <formula2>NaN</formula2>
    </dataValidation>
    <dataValidation type="decimal" allowBlank="1" showInputMessage="1" prompt="Dear Sir/ Madam - Score entered is greater than Max. Marks allotted." showErrorMessage="1" sqref="H112">
      <formula1>0</formula1>
      <formula2>NaN</formula2>
    </dataValidation>
    <dataValidation type="decimal" allowBlank="1" showInputMessage="1" prompt="Dear Sir/ Madam - Score entered is greater than Max. Marks allotted." showErrorMessage="1" sqref="H113">
      <formula1>0</formula1>
      <formula2>NaN</formula2>
    </dataValidation>
    <dataValidation type="decimal" allowBlank="1" showInputMessage="1" prompt="Dear Sir/ Madam - Score entered is greater than Max. Marks allotted." showErrorMessage="1" sqref="H114">
      <formula1>0</formula1>
      <formula2>NaN</formula2>
    </dataValidation>
    <dataValidation type="decimal" allowBlank="1" showInputMessage="1" prompt="Dear Sir/ Madam - Score entered is greater than Max. Marks allotted." showErrorMessage="1" sqref="H115">
      <formula1>0</formula1>
      <formula2>NaN</formula2>
    </dataValidation>
    <dataValidation type="decimal" allowBlank="1" showInputMessage="1" prompt="Dear Sir/ Madam - Score entered is greater than Max. Marks allotted." showErrorMessage="1" sqref="H116">
      <formula1>0</formula1>
      <formula2>NaN</formula2>
    </dataValidation>
    <dataValidation type="decimal" allowBlank="1" showInputMessage="1" prompt="Dear Sir/ Madam - Score entered is greater than Max. Marks allotted." showErrorMessage="1" sqref="H117">
      <formula1>0</formula1>
      <formula2>NaN</formula2>
    </dataValidation>
    <dataValidation type="decimal" allowBlank="1" showInputMessage="1" prompt="Dear Sir/ Madam - Score entered is greater than Max. Marks allotted." showErrorMessage="1" sqref="H118">
      <formula1>0</formula1>
      <formula2>NaN</formula2>
    </dataValidation>
    <dataValidation type="decimal" allowBlank="1" showInputMessage="1" prompt="Dear Sir/ Madam - Score entered is greater than Max. Marks allotted." showErrorMessage="1" sqref="H119">
      <formula1>0</formula1>
      <formula2>NaN</formula2>
    </dataValidation>
    <dataValidation type="decimal" allowBlank="1" showInputMessage="1" prompt="Dear Sir/ Madam - Score entered is greater than Max. Marks allotted." showErrorMessage="1" sqref="H120">
      <formula1>0</formula1>
      <formula2>NaN</formula2>
    </dataValidation>
    <dataValidation type="decimal" allowBlank="1" showInputMessage="1" prompt="Dear Sir/ Madam - Score entered is greater than Max. Marks allotted." showErrorMessage="1" sqref="H121">
      <formula1>0</formula1>
      <formula2>NaN</formula2>
    </dataValidation>
    <dataValidation type="decimal" allowBlank="1" showInputMessage="1" prompt="Dear Sir/ Madam - Score entered is greater than Max. Marks allotted." showErrorMessage="1" sqref="H122">
      <formula1>0</formula1>
      <formula2>NaN</formula2>
    </dataValidation>
    <dataValidation type="decimal" allowBlank="1" showInputMessage="1" prompt="Dear Sir/ Madam - Score entered is greater than Max. Marks allotted." showErrorMessage="1" sqref="H123">
      <formula1>0</formula1>
      <formula2>NaN</formula2>
    </dataValidation>
    <dataValidation type="decimal" allowBlank="1" showInputMessage="1" prompt="Dear Sir/ Madam - Score entered is greater than Max. Marks allotted." showErrorMessage="1" sqref="H124">
      <formula1>0</formula1>
      <formula2>NaN</formula2>
    </dataValidation>
    <dataValidation type="decimal" allowBlank="1" showInputMessage="1" prompt="Dear Sir/ Madam - Score entered is greater than Max. Marks allotted." showErrorMessage="1" sqref="H125">
      <formula1>0</formula1>
      <formula2>NaN</formula2>
    </dataValidation>
    <dataValidation type="decimal" allowBlank="1" showInputMessage="1" prompt="Dear Sir/ Madam - Score entered is greater than Max. Marks allotted." showErrorMessage="1" sqref="H126">
      <formula1>0</formula1>
      <formula2>NaN</formula2>
    </dataValidation>
    <dataValidation type="decimal" allowBlank="1" showInputMessage="1" prompt="Dear Sir/ Madam - Score entered is greater than Max. Marks allotted." showErrorMessage="1" sqref="H127">
      <formula1>0</formula1>
      <formula2>NaN</formula2>
    </dataValidation>
    <dataValidation type="decimal" allowBlank="1" showInputMessage="1" prompt="Dear Sir/ Madam - Score entered is greater than Max. Marks allotted." showErrorMessage="1" sqref="H128">
      <formula1>0</formula1>
      <formula2>NaN</formula2>
    </dataValidation>
    <dataValidation type="decimal" allowBlank="1" showInputMessage="1" prompt="Dear Sir/ Madam - Score entered is greater than Max. Marks allotted." showErrorMessage="1" sqref="H129">
      <formula1>0</formula1>
      <formula2>NaN</formula2>
    </dataValidation>
    <dataValidation type="decimal" allowBlank="1" showInputMessage="1" prompt="Dear Sir/ Madam - Score entered is greater than Max. Marks allotted." showErrorMessage="1" sqref="H130">
      <formula1>0</formula1>
      <formula2>NaN</formula2>
    </dataValidation>
    <dataValidation type="decimal" allowBlank="1" showInputMessage="1" prompt="Dear Sir/ Madam - Score entered is greater than Max. Marks allotted." showErrorMessage="1" sqref="H131">
      <formula1>0</formula1>
      <formula2>NaN</formula2>
    </dataValidation>
    <dataValidation type="decimal" allowBlank="1" showInputMessage="1" prompt="Dear Sir/ Madam - Score entered is greater than Max. Marks allotted." showErrorMessage="1" sqref="H132">
      <formula1>0</formula1>
      <formula2>NaN</formula2>
    </dataValidation>
    <dataValidation type="decimal" allowBlank="1" showInputMessage="1" prompt="Dear Sir/ Madam - Score entered is greater than Max. Marks allotted." showErrorMessage="1" sqref="H133">
      <formula1>0</formula1>
      <formula2>NaN</formula2>
    </dataValidation>
    <dataValidation type="decimal" allowBlank="1" showInputMessage="1" prompt="Dear Sir/ Madam - Score entered is greater than Max. Marks allotted." showErrorMessage="1" sqref="H134">
      <formula1>0</formula1>
      <formula2>NaN</formula2>
    </dataValidation>
    <dataValidation type="decimal" allowBlank="1" showInputMessage="1" prompt="Dear Sir/ Madam - Score entered is greater than Max. Marks allotted." showErrorMessage="1" sqref="H135">
      <formula1>0</formula1>
      <formula2>NaN</formula2>
    </dataValidation>
    <dataValidation type="decimal" allowBlank="1" showInputMessage="1" prompt="Dear Sir/ Madam - Score entered is greater than Max. Marks allotted." showErrorMessage="1" sqref="I108">
      <formula1>0</formula1>
      <formula2>NaN</formula2>
    </dataValidation>
    <dataValidation type="decimal" allowBlank="1" showInputMessage="1" prompt="Dear Sir/ Madam - Score entered is greater than Max. Marks allotted." showErrorMessage="1" sqref="I109">
      <formula1>0</formula1>
      <formula2>NaN</formula2>
    </dataValidation>
    <dataValidation type="decimal" allowBlank="1" showInputMessage="1" prompt="Dear Sir/ Madam - Score entered is greater than Max. Marks allotted." showErrorMessage="1" sqref="I110">
      <formula1>0</formula1>
      <formula2>NaN</formula2>
    </dataValidation>
    <dataValidation type="decimal" allowBlank="1" showInputMessage="1" prompt="Dear Sir/ Madam - Score entered is greater than Max. Marks allotted." showErrorMessage="1" sqref="I111">
      <formula1>0</formula1>
      <formula2>NaN</formula2>
    </dataValidation>
    <dataValidation type="decimal" allowBlank="1" showInputMessage="1" prompt="Dear Sir/ Madam - Score entered is greater than Max. Marks allotted." showErrorMessage="1" sqref="I112">
      <formula1>0</formula1>
      <formula2>NaN</formula2>
    </dataValidation>
    <dataValidation type="decimal" allowBlank="1" showInputMessage="1" prompt="Dear Sir/ Madam - Score entered is greater than Max. Marks allotted." showErrorMessage="1" sqref="I113">
      <formula1>0</formula1>
      <formula2>NaN</formula2>
    </dataValidation>
    <dataValidation type="decimal" allowBlank="1" showInputMessage="1" prompt="Dear Sir/ Madam - Score entered is greater than Max. Marks allotted." showErrorMessage="1" sqref="I114">
      <formula1>0</formula1>
      <formula2>NaN</formula2>
    </dataValidation>
    <dataValidation type="decimal" allowBlank="1" showInputMessage="1" prompt="Dear Sir/ Madam - Score entered is greater than Max. Marks allotted." showErrorMessage="1" sqref="I115">
      <formula1>0</formula1>
      <formula2>NaN</formula2>
    </dataValidation>
    <dataValidation type="decimal" allowBlank="1" showInputMessage="1" prompt="Dear Sir/ Madam - Score entered is greater than Max. Marks allotted." showErrorMessage="1" sqref="I116">
      <formula1>0</formula1>
      <formula2>NaN</formula2>
    </dataValidation>
    <dataValidation type="decimal" allowBlank="1" showInputMessage="1" prompt="Dear Sir/ Madam - Score entered is greater than Max. Marks allotted." showErrorMessage="1" sqref="I117">
      <formula1>0</formula1>
      <formula2>NaN</formula2>
    </dataValidation>
    <dataValidation type="decimal" allowBlank="1" showInputMessage="1" prompt="Dear Sir/ Madam - Score entered is greater than Max. Marks allotted." showErrorMessage="1" sqref="I118">
      <formula1>0</formula1>
      <formula2>NaN</formula2>
    </dataValidation>
    <dataValidation type="decimal" allowBlank="1" showInputMessage="1" prompt="Dear Sir/ Madam - Score entered is greater than Max. Marks allotted." showErrorMessage="1" sqref="I119">
      <formula1>0</formula1>
      <formula2>NaN</formula2>
    </dataValidation>
    <dataValidation type="decimal" allowBlank="1" showInputMessage="1" prompt="Dear Sir/ Madam - Score entered is greater than Max. Marks allotted." showErrorMessage="1" sqref="I120">
      <formula1>0</formula1>
      <formula2>NaN</formula2>
    </dataValidation>
    <dataValidation type="decimal" allowBlank="1" showInputMessage="1" prompt="Dear Sir/ Madam - Score entered is greater than Max. Marks allotted." showErrorMessage="1" sqref="I121">
      <formula1>0</formula1>
      <formula2>NaN</formula2>
    </dataValidation>
    <dataValidation type="decimal" allowBlank="1" showInputMessage="1" prompt="Dear Sir/ Madam - Score entered is greater than Max. Marks allotted." showErrorMessage="1" sqref="I122">
      <formula1>0</formula1>
      <formula2>NaN</formula2>
    </dataValidation>
    <dataValidation type="decimal" allowBlank="1" showInputMessage="1" prompt="Dear Sir/ Madam - Score entered is greater than Max. Marks allotted." showErrorMessage="1" sqref="I123">
      <formula1>0</formula1>
      <formula2>NaN</formula2>
    </dataValidation>
    <dataValidation type="decimal" allowBlank="1" showInputMessage="1" prompt="Dear Sir/ Madam - Score entered is greater than Max. Marks allotted." showErrorMessage="1" sqref="I124">
      <formula1>0</formula1>
      <formula2>NaN</formula2>
    </dataValidation>
    <dataValidation type="decimal" allowBlank="1" showInputMessage="1" prompt="Dear Sir/ Madam - Score entered is greater than Max. Marks allotted." showErrorMessage="1" sqref="I125">
      <formula1>0</formula1>
      <formula2>NaN</formula2>
    </dataValidation>
    <dataValidation type="decimal" allowBlank="1" showInputMessage="1" prompt="Dear Sir/ Madam - Score entered is greater than Max. Marks allotted." showErrorMessage="1" sqref="I126">
      <formula1>0</formula1>
      <formula2>NaN</formula2>
    </dataValidation>
    <dataValidation type="decimal" allowBlank="1" showInputMessage="1" prompt="Dear Sir/ Madam - Score entered is greater than Max. Marks allotted." showErrorMessage="1" sqref="I127">
      <formula1>0</formula1>
      <formula2>NaN</formula2>
    </dataValidation>
    <dataValidation type="decimal" allowBlank="1" showInputMessage="1" prompt="Dear Sir/ Madam - Score entered is greater than Max. Marks allotted." showErrorMessage="1" sqref="I128">
      <formula1>0</formula1>
      <formula2>NaN</formula2>
    </dataValidation>
    <dataValidation type="decimal" allowBlank="1" showInputMessage="1" prompt="Dear Sir/ Madam - Score entered is greater than Max. Marks allotted." showErrorMessage="1" sqref="I129">
      <formula1>0</formula1>
      <formula2>NaN</formula2>
    </dataValidation>
    <dataValidation type="decimal" allowBlank="1" showInputMessage="1" prompt="Dear Sir/ Madam - Score entered is greater than Max. Marks allotted." showErrorMessage="1" sqref="I130">
      <formula1>0</formula1>
      <formula2>NaN</formula2>
    </dataValidation>
    <dataValidation type="decimal" allowBlank="1" showInputMessage="1" prompt="Dear Sir/ Madam - Score entered is greater than Max. Marks allotted." showErrorMessage="1" sqref="I131">
      <formula1>0</formula1>
      <formula2>NaN</formula2>
    </dataValidation>
    <dataValidation type="decimal" allowBlank="1" showInputMessage="1" prompt="Dear Sir/ Madam - Score entered is greater than Max. Marks allotted." showErrorMessage="1" sqref="I132">
      <formula1>0</formula1>
      <formula2>NaN</formula2>
    </dataValidation>
    <dataValidation type="decimal" allowBlank="1" showInputMessage="1" prompt="Dear Sir/ Madam - Score entered is greater than Max. Marks allotted." showErrorMessage="1" sqref="I133">
      <formula1>0</formula1>
      <formula2>NaN</formula2>
    </dataValidation>
    <dataValidation type="decimal" allowBlank="1" showInputMessage="1" prompt="Dear Sir/ Madam - Score entered is greater than Max. Marks allotted." showErrorMessage="1" sqref="I134">
      <formula1>0</formula1>
      <formula2>NaN</formula2>
    </dataValidation>
    <dataValidation type="decimal" allowBlank="1" showInputMessage="1" prompt="Dear Sir/ Madam - Score entered is greater than Max. Marks allotted." showErrorMessage="1" sqref="I135">
      <formula1>0</formula1>
      <formula2>NaN</formula2>
    </dataValidation>
    <dataValidation type="decimal" allowBlank="1" showInputMessage="1" prompt="Dear Sir/ Madam - Score entered is greater than Max. Marks allotted." showErrorMessage="1" sqref="J108">
      <formula1>0</formula1>
      <formula2>NaN</formula2>
    </dataValidation>
    <dataValidation type="decimal" allowBlank="1" showInputMessage="1" prompt="Dear Sir/ Madam - Score entered is greater than Max. Marks allotted." showErrorMessage="1" sqref="J109">
      <formula1>0</formula1>
      <formula2>NaN</formula2>
    </dataValidation>
    <dataValidation type="decimal" allowBlank="1" showInputMessage="1" prompt="Dear Sir/ Madam - Score entered is greater than Max. Marks allotted." showErrorMessage="1" sqref="J110">
      <formula1>0</formula1>
      <formula2>NaN</formula2>
    </dataValidation>
    <dataValidation type="decimal" allowBlank="1" showInputMessage="1" prompt="Dear Sir/ Madam - Score entered is greater than Max. Marks allotted." showErrorMessage="1" sqref="J111">
      <formula1>0</formula1>
      <formula2>NaN</formula2>
    </dataValidation>
    <dataValidation type="decimal" allowBlank="1" showInputMessage="1" prompt="Dear Sir/ Madam - Score entered is greater than Max. Marks allotted." showErrorMessage="1" sqref="J112">
      <formula1>0</formula1>
      <formula2>NaN</formula2>
    </dataValidation>
    <dataValidation type="decimal" allowBlank="1" showInputMessage="1" prompt="Dear Sir/ Madam - Score entered is greater than Max. Marks allotted." showErrorMessage="1" sqref="J113">
      <formula1>0</formula1>
      <formula2>NaN</formula2>
    </dataValidation>
    <dataValidation type="decimal" allowBlank="1" showInputMessage="1" prompt="Dear Sir/ Madam - Score entered is greater than Max. Marks allotted." showErrorMessage="1" sqref="J114">
      <formula1>0</formula1>
      <formula2>NaN</formula2>
    </dataValidation>
    <dataValidation type="decimal" allowBlank="1" showInputMessage="1" prompt="Dear Sir/ Madam - Score entered is greater than Max. Marks allotted." showErrorMessage="1" sqref="J115">
      <formula1>0</formula1>
      <formula2>NaN</formula2>
    </dataValidation>
    <dataValidation type="decimal" allowBlank="1" showInputMessage="1" prompt="Dear Sir/ Madam - Score entered is greater than Max. Marks allotted." showErrorMessage="1" sqref="J116">
      <formula1>0</formula1>
      <formula2>NaN</formula2>
    </dataValidation>
    <dataValidation type="decimal" allowBlank="1" showInputMessage="1" prompt="Dear Sir/ Madam - Score entered is greater than Max. Marks allotted." showErrorMessage="1" sqref="J117">
      <formula1>0</formula1>
      <formula2>NaN</formula2>
    </dataValidation>
    <dataValidation type="decimal" allowBlank="1" showInputMessage="1" prompt="Dear Sir/ Madam - Score entered is greater than Max. Marks allotted." showErrorMessage="1" sqref="J118">
      <formula1>0</formula1>
      <formula2>NaN</formula2>
    </dataValidation>
    <dataValidation type="decimal" allowBlank="1" showInputMessage="1" prompt="Dear Sir/ Madam - Score entered is greater than Max. Marks allotted." showErrorMessage="1" sqref="J119">
      <formula1>0</formula1>
      <formula2>NaN</formula2>
    </dataValidation>
    <dataValidation type="decimal" allowBlank="1" showInputMessage="1" prompt="Dear Sir/ Madam - Score entered is greater than Max. Marks allotted." showErrorMessage="1" sqref="J120">
      <formula1>0</formula1>
      <formula2>NaN</formula2>
    </dataValidation>
    <dataValidation type="decimal" allowBlank="1" showInputMessage="1" prompt="Dear Sir/ Madam - Score entered is greater than Max. Marks allotted." showErrorMessage="1" sqref="J121">
      <formula1>0</formula1>
      <formula2>NaN</formula2>
    </dataValidation>
    <dataValidation type="decimal" allowBlank="1" showInputMessage="1" prompt="Dear Sir/ Madam - Score entered is greater than Max. Marks allotted." showErrorMessage="1" sqref="J122">
      <formula1>0</formula1>
      <formula2>NaN</formula2>
    </dataValidation>
    <dataValidation type="decimal" allowBlank="1" showInputMessage="1" prompt="Dear Sir/ Madam - Score entered is greater than Max. Marks allotted." showErrorMessage="1" sqref="J123">
      <formula1>0</formula1>
      <formula2>NaN</formula2>
    </dataValidation>
    <dataValidation type="decimal" allowBlank="1" showInputMessage="1" prompt="Dear Sir/ Madam - Score entered is greater than Max. Marks allotted." showErrorMessage="1" sqref="J124">
      <formula1>0</formula1>
      <formula2>NaN</formula2>
    </dataValidation>
    <dataValidation type="decimal" allowBlank="1" showInputMessage="1" prompt="Dear Sir/ Madam - Score entered is greater than Max. Marks allotted." showErrorMessage="1" sqref="J125">
      <formula1>0</formula1>
      <formula2>NaN</formula2>
    </dataValidation>
    <dataValidation type="decimal" allowBlank="1" showInputMessage="1" prompt="Dear Sir/ Madam - Score entered is greater than Max. Marks allotted." showErrorMessage="1" sqref="J126">
      <formula1>0</formula1>
      <formula2>NaN</formula2>
    </dataValidation>
    <dataValidation type="decimal" allowBlank="1" showInputMessage="1" prompt="Dear Sir/ Madam - Score entered is greater than Max. Marks allotted." showErrorMessage="1" sqref="J127">
      <formula1>0</formula1>
      <formula2>NaN</formula2>
    </dataValidation>
    <dataValidation type="decimal" allowBlank="1" showInputMessage="1" prompt="Dear Sir/ Madam - Score entered is greater than Max. Marks allotted." showErrorMessage="1" sqref="J128">
      <formula1>0</formula1>
      <formula2>NaN</formula2>
    </dataValidation>
    <dataValidation type="decimal" allowBlank="1" showInputMessage="1" prompt="Dear Sir/ Madam - Score entered is greater than Max. Marks allotted." showErrorMessage="1" sqref="J129">
      <formula1>0</formula1>
      <formula2>NaN</formula2>
    </dataValidation>
    <dataValidation type="decimal" allowBlank="1" showInputMessage="1" prompt="Dear Sir/ Madam - Score entered is greater than Max. Marks allotted." showErrorMessage="1" sqref="J130">
      <formula1>0</formula1>
      <formula2>NaN</formula2>
    </dataValidation>
    <dataValidation type="decimal" allowBlank="1" showInputMessage="1" prompt="Dear Sir/ Madam - Score entered is greater than Max. Marks allotted." showErrorMessage="1" sqref="J131">
      <formula1>0</formula1>
      <formula2>NaN</formula2>
    </dataValidation>
    <dataValidation type="decimal" allowBlank="1" showInputMessage="1" prompt="Dear Sir/ Madam - Score entered is greater than Max. Marks allotted." showErrorMessage="1" sqref="J132">
      <formula1>0</formula1>
      <formula2>NaN</formula2>
    </dataValidation>
    <dataValidation type="decimal" allowBlank="1" showInputMessage="1" prompt="Dear Sir/ Madam - Score entered is greater than Max. Marks allotted." showErrorMessage="1" sqref="J133">
      <formula1>0</formula1>
      <formula2>NaN</formula2>
    </dataValidation>
    <dataValidation type="decimal" allowBlank="1" showInputMessage="1" prompt="Dear Sir/ Madam - Score entered is greater than Max. Marks allotted." showErrorMessage="1" sqref="J134">
      <formula1>0</formula1>
      <formula2>NaN</formula2>
    </dataValidation>
    <dataValidation type="decimal" allowBlank="1" showInputMessage="1" prompt="Dear Sir/ Madam - Score entered is greater than Max. Marks allotted." showErrorMessage="1" sqref="J135">
      <formula1>0</formula1>
      <formula2>NaN</formula2>
    </dataValidation>
    <dataValidation type="decimal" allowBlank="1" showInputMessage="1" prompt="Dear Sir/ Madam - Score entered is greater than Max. Marks allotted." showErrorMessage="1" sqref="K100">
      <formula1>0</formula1>
      <formula2>NaN</formula2>
    </dataValidation>
    <dataValidation type="decimal" allowBlank="1" showInputMessage="1" prompt="Dear Sir/ Madam - Score entered is greater than Max. Marks allotted." showErrorMessage="1" sqref="K101">
      <formula1>0</formula1>
      <formula2>NaN</formula2>
    </dataValidation>
    <dataValidation type="decimal" allowBlank="1" showInputMessage="1" prompt="Dear Sir/ Madam - Score entered is greater than Max. Marks allotted." showErrorMessage="1" sqref="K102">
      <formula1>0</formula1>
      <formula2>NaN</formula2>
    </dataValidation>
    <dataValidation type="decimal" allowBlank="1" showInputMessage="1" prompt="Dear Sir/ Madam - Score entered is greater than Max. Marks allotted." showErrorMessage="1" sqref="K103">
      <formula1>0</formula1>
      <formula2>NaN</formula2>
    </dataValidation>
    <dataValidation type="decimal" allowBlank="1" showInputMessage="1" prompt="Dear Sir/ Madam - Score entered is greater than Max. Marks allotted." showErrorMessage="1" sqref="K104">
      <formula1>0</formula1>
      <formula2>NaN</formula2>
    </dataValidation>
    <dataValidation type="decimal" allowBlank="1" showInputMessage="1" prompt="Dear Sir/ Madam - Score entered is greater than Max. Marks allotted." showErrorMessage="1" sqref="K105">
      <formula1>0</formula1>
      <formula2>NaN</formula2>
    </dataValidation>
    <dataValidation type="decimal" allowBlank="1" showInputMessage="1" prompt="Dear Sir/ Madam - Score entered is greater than Max. Marks allotted." showErrorMessage="1" sqref="K106">
      <formula1>0</formula1>
      <formula2>NaN</formula2>
    </dataValidation>
    <dataValidation type="decimal" allowBlank="1" showInputMessage="1" prompt="Dear Sir/ Madam - Score entered is greater than Max. Marks allotted." showErrorMessage="1" sqref="K107">
      <formula1>0</formula1>
      <formula2>NaN</formula2>
    </dataValidation>
    <dataValidation type="decimal" allowBlank="1" showInputMessage="1" prompt="Dear Sir/ Madam - Score entered is greater than Max. Marks allotted." showErrorMessage="1" sqref="K108">
      <formula1>0</formula1>
      <formula2>NaN</formula2>
    </dataValidation>
    <dataValidation type="decimal" allowBlank="1" showInputMessage="1" prompt="Dear Sir/ Madam - Score entered is greater than Max. Marks allotted." showErrorMessage="1" sqref="K109">
      <formula1>0</formula1>
      <formula2>NaN</formula2>
    </dataValidation>
    <dataValidation type="decimal" allowBlank="1" showInputMessage="1" prompt="Dear Sir/ Madam - Score entered is greater than Max. Marks allotted." showErrorMessage="1" sqref="K110">
      <formula1>0</formula1>
      <formula2>NaN</formula2>
    </dataValidation>
    <dataValidation type="decimal" allowBlank="1" showInputMessage="1" prompt="Dear Sir/ Madam - Score entered is greater than Max. Marks allotted." showErrorMessage="1" sqref="K111">
      <formula1>0</formula1>
      <formula2>NaN</formula2>
    </dataValidation>
    <dataValidation type="decimal" allowBlank="1" showInputMessage="1" prompt="Dear Sir/ Madam - Score entered is greater than Max. Marks allotted." showErrorMessage="1" sqref="K112">
      <formula1>0</formula1>
      <formula2>NaN</formula2>
    </dataValidation>
    <dataValidation type="decimal" allowBlank="1" showInputMessage="1" prompt="Dear Sir/ Madam - Score entered is greater than Max. Marks allotted." showErrorMessage="1" sqref="K113">
      <formula1>0</formula1>
      <formula2>NaN</formula2>
    </dataValidation>
    <dataValidation type="decimal" allowBlank="1" showInputMessage="1" prompt="Dear Sir/ Madam - Score entered is greater than Max. Marks allotted." showErrorMessage="1" sqref="K114">
      <formula1>0</formula1>
      <formula2>NaN</formula2>
    </dataValidation>
    <dataValidation type="decimal" allowBlank="1" showInputMessage="1" prompt="Dear Sir/ Madam - Score entered is greater than Max. Marks allotted." showErrorMessage="1" sqref="K115">
      <formula1>0</formula1>
      <formula2>NaN</formula2>
    </dataValidation>
    <dataValidation type="decimal" allowBlank="1" showInputMessage="1" prompt="Dear Sir/ Madam - Score entered is greater than Max. Marks allotted." showErrorMessage="1" sqref="K116">
      <formula1>0</formula1>
      <formula2>NaN</formula2>
    </dataValidation>
    <dataValidation type="decimal" allowBlank="1" showInputMessage="1" prompt="Dear Sir/ Madam - Score entered is greater than Max. Marks allotted." showErrorMessage="1" sqref="K117">
      <formula1>0</formula1>
      <formula2>NaN</formula2>
    </dataValidation>
    <dataValidation type="decimal" allowBlank="1" showInputMessage="1" prompt="Dear Sir/ Madam - Score entered is greater than Max. Marks allotted." showErrorMessage="1" sqref="K118">
      <formula1>0</formula1>
      <formula2>NaN</formula2>
    </dataValidation>
    <dataValidation type="decimal" allowBlank="1" showInputMessage="1" prompt="Dear Sir/ Madam - Score entered is greater than Max. Marks allotted." showErrorMessage="1" sqref="K119">
      <formula1>0</formula1>
      <formula2>NaN</formula2>
    </dataValidation>
    <dataValidation type="decimal" allowBlank="1" showInputMessage="1" prompt="Dear Sir/ Madam - Score entered is greater than Max. Marks allotted." showErrorMessage="1" sqref="K120">
      <formula1>0</formula1>
      <formula2>NaN</formula2>
    </dataValidation>
    <dataValidation type="decimal" allowBlank="1" showInputMessage="1" prompt="Dear Sir/ Madam - Score entered is greater than Max. Marks allotted." showErrorMessage="1" sqref="K121">
      <formula1>0</formula1>
      <formula2>NaN</formula2>
    </dataValidation>
    <dataValidation type="decimal" allowBlank="1" showInputMessage="1" prompt="Dear Sir/ Madam - Score entered is greater than Max. Marks allotted." showErrorMessage="1" sqref="K122">
      <formula1>0</formula1>
      <formula2>NaN</formula2>
    </dataValidation>
    <dataValidation type="decimal" allowBlank="1" showInputMessage="1" prompt="Dear Sir/ Madam - Score entered is greater than Max. Marks allotted." showErrorMessage="1" sqref="K123">
      <formula1>0</formula1>
      <formula2>NaN</formula2>
    </dataValidation>
    <dataValidation type="decimal" allowBlank="1" showInputMessage="1" prompt="Dear Sir/ Madam - Score entered is greater than Max. Marks allotted." showErrorMessage="1" sqref="K124">
      <formula1>0</formula1>
      <formula2>NaN</formula2>
    </dataValidation>
    <dataValidation type="decimal" allowBlank="1" showInputMessage="1" prompt="Dear Sir/ Madam - Score entered is greater than Max. Marks allotted." showErrorMessage="1" sqref="K125">
      <formula1>0</formula1>
      <formula2>NaN</formula2>
    </dataValidation>
    <dataValidation type="decimal" allowBlank="1" showInputMessage="1" prompt="Dear Sir/ Madam - Score entered is greater than Max. Marks allotted." showErrorMessage="1" sqref="K126">
      <formula1>0</formula1>
      <formula2>NaN</formula2>
    </dataValidation>
    <dataValidation type="decimal" allowBlank="1" showInputMessage="1" prompt="Dear Sir/ Madam - Score entered is greater than Max. Marks allotted." showErrorMessage="1" sqref="K127">
      <formula1>0</formula1>
      <formula2>NaN</formula2>
    </dataValidation>
    <dataValidation type="decimal" allowBlank="1" showInputMessage="1" prompt="Dear Sir/ Madam - Score entered is greater than Max. Marks allotted." showErrorMessage="1" sqref="K128">
      <formula1>0</formula1>
      <formula2>NaN</formula2>
    </dataValidation>
    <dataValidation type="decimal" allowBlank="1" showInputMessage="1" prompt="Dear Sir/ Madam - Score entered is greater than Max. Marks allotted." showErrorMessage="1" sqref="K129">
      <formula1>0</formula1>
      <formula2>NaN</formula2>
    </dataValidation>
    <dataValidation type="decimal" allowBlank="1" showInputMessage="1" prompt="Dear Sir/ Madam - Score entered is greater than Max. Marks allotted." showErrorMessage="1" sqref="K130">
      <formula1>0</formula1>
      <formula2>NaN</formula2>
    </dataValidation>
    <dataValidation type="decimal" allowBlank="1" showInputMessage="1" prompt="Dear Sir/ Madam - Score entered is greater than Max. Marks allotted." showErrorMessage="1" sqref="K131">
      <formula1>0</formula1>
      <formula2>NaN</formula2>
    </dataValidation>
    <dataValidation type="decimal" allowBlank="1" showInputMessage="1" prompt="Dear Sir/ Madam - Score entered is greater than Max. Marks allotted." showErrorMessage="1" sqref="K132">
      <formula1>0</formula1>
      <formula2>NaN</formula2>
    </dataValidation>
    <dataValidation type="decimal" allowBlank="1" showInputMessage="1" prompt="Dear Sir/ Madam - Score entered is greater than Max. Marks allotted." showErrorMessage="1" sqref="K133">
      <formula1>0</formula1>
      <formula2>NaN</formula2>
    </dataValidation>
    <dataValidation type="decimal" allowBlank="1" showInputMessage="1" prompt="Dear Sir/ Madam - Score entered is greater than Max. Marks allotted." showErrorMessage="1" sqref="K134">
      <formula1>0</formula1>
      <formula2>NaN</formula2>
    </dataValidation>
    <dataValidation type="decimal" allowBlank="1" showInputMessage="1" prompt="Dear Sir/ Madam - Score entered is greater than Max. Marks allotted." showErrorMessage="1" sqref="K135">
      <formula1>0</formula1>
      <formula2>NaN</formula2>
    </dataValidation>
    <dataValidation type="decimal" allowBlank="1" showInputMessage="1" prompt="Dear Sir/ Madam - Score entered is greater than Max. Marks allotted." showErrorMessage="1" sqref="K24">
      <formula1>0</formula1>
      <formula2>NaN</formula2>
    </dataValidation>
    <dataValidation type="decimal" allowBlank="1" showInputMessage="1" prompt="Dear Sir/ Madam - Score entered is greater than Max. Marks allotted." showErrorMessage="1" sqref="K25">
      <formula1>0</formula1>
      <formula2>NaN</formula2>
    </dataValidation>
    <dataValidation type="decimal" allowBlank="1" showInputMessage="1" prompt="Dear Sir/ Madam - Score entered is greater than Max. Marks allotted." showErrorMessage="1" sqref="K26">
      <formula1>0</formula1>
      <formula2>NaN</formula2>
    </dataValidation>
    <dataValidation type="decimal" allowBlank="1" showInputMessage="1" prompt="Dear Sir/ Madam - Score entered is greater than Max. Marks allotted." showErrorMessage="1" sqref="K27">
      <formula1>0</formula1>
      <formula2>NaN</formula2>
    </dataValidation>
    <dataValidation type="decimal" allowBlank="1" showInputMessage="1" prompt="Dear Sir/ Madam - Score entered is greater than Max. Marks allotted." showErrorMessage="1" sqref="K28">
      <formula1>0</formula1>
      <formula2>NaN</formula2>
    </dataValidation>
    <dataValidation type="decimal" allowBlank="1" showInputMessage="1" prompt="Dear Sir/ Madam - Score entered is greater than Max. Marks allotted." showErrorMessage="1" sqref="K29">
      <formula1>0</formula1>
      <formula2>NaN</formula2>
    </dataValidation>
    <dataValidation type="decimal" allowBlank="1" showInputMessage="1" prompt="Dear Sir/ Madam - Score entered is greater than Max. Marks allotted." showErrorMessage="1" sqref="K30">
      <formula1>0</formula1>
      <formula2>NaN</formula2>
    </dataValidation>
    <dataValidation type="decimal" allowBlank="1" showInputMessage="1" prompt="Dear Sir/ Madam - Score entered is greater than Max. Marks allotted." showErrorMessage="1" sqref="K31">
      <formula1>0</formula1>
      <formula2>NaN</formula2>
    </dataValidation>
    <dataValidation type="decimal" allowBlank="1" showInputMessage="1" prompt="Dear Sir/ Madam - Score entered is greater than Max. Marks allotted." showErrorMessage="1" sqref="K32">
      <formula1>0</formula1>
      <formula2>NaN</formula2>
    </dataValidation>
    <dataValidation type="decimal" allowBlank="1" showInputMessage="1" prompt="Dear Sir/ Madam - Score entered is greater than Max. Marks allotted." showErrorMessage="1" sqref="K33">
      <formula1>0</formula1>
      <formula2>NaN</formula2>
    </dataValidation>
    <dataValidation type="decimal" allowBlank="1" showInputMessage="1" prompt="Dear Sir/ Madam - Score entered is greater than Max. Marks allotted." showErrorMessage="1" sqref="K34">
      <formula1>0</formula1>
      <formula2>NaN</formula2>
    </dataValidation>
    <dataValidation type="decimal" allowBlank="1" showInputMessage="1" prompt="Dear Sir/ Madam - Score entered is greater than Max. Marks allotted." showErrorMessage="1" sqref="K35">
      <formula1>0</formula1>
      <formula2>NaN</formula2>
    </dataValidation>
    <dataValidation type="decimal" allowBlank="1" showInputMessage="1" prompt="Dear Sir/ Madam - Score entered is greater than Max. Marks allotted." showErrorMessage="1" sqref="K36">
      <formula1>0</formula1>
      <formula2>NaN</formula2>
    </dataValidation>
    <dataValidation type="decimal" allowBlank="1" showInputMessage="1" prompt="Dear Sir/ Madam - Score entered is greater than Max. Marks allotted." showErrorMessage="1" sqref="K37">
      <formula1>0</formula1>
      <formula2>NaN</formula2>
    </dataValidation>
    <dataValidation type="decimal" allowBlank="1" showInputMessage="1" prompt="Dear Sir/ Madam - Score entered is greater than Max. Marks allotted." showErrorMessage="1" sqref="K38">
      <formula1>0</formula1>
      <formula2>NaN</formula2>
    </dataValidation>
    <dataValidation type="decimal" allowBlank="1" showInputMessage="1" prompt="Dear Sir/ Madam - Score entered is greater than Max. Marks allotted." showErrorMessage="1" sqref="K39">
      <formula1>0</formula1>
      <formula2>NaN</formula2>
    </dataValidation>
    <dataValidation type="decimal" allowBlank="1" showInputMessage="1" prompt="Dear Sir/ Madam - Score entered is greater than Max. Marks allotted." showErrorMessage="1" sqref="K40">
      <formula1>0</formula1>
      <formula2>NaN</formula2>
    </dataValidation>
    <dataValidation type="decimal" allowBlank="1" showInputMessage="1" prompt="Dear Sir/ Madam - Score entered is greater than Max. Marks allotted." showErrorMessage="1" sqref="K41">
      <formula1>0</formula1>
      <formula2>NaN</formula2>
    </dataValidation>
    <dataValidation type="decimal" allowBlank="1" showInputMessage="1" prompt="Dear Sir/ Madam - Score entered is greater than Max. Marks allotted." showErrorMessage="1" sqref="K42">
      <formula1>0</formula1>
      <formula2>NaN</formula2>
    </dataValidation>
    <dataValidation type="decimal" allowBlank="1" showInputMessage="1" prompt="Dear Sir/ Madam - Score entered is greater than Max. Marks allotted." showErrorMessage="1" sqref="K43">
      <formula1>0</formula1>
      <formula2>NaN</formula2>
    </dataValidation>
    <dataValidation type="decimal" allowBlank="1" showInputMessage="1" prompt="Dear Sir/ Madam - Score entered is greater than Max. Marks allotted." showErrorMessage="1" sqref="K44">
      <formula1>0</formula1>
      <formula2>NaN</formula2>
    </dataValidation>
    <dataValidation type="decimal" allowBlank="1" showInputMessage="1" prompt="Dear Sir/ Madam - Score entered is greater than Max. Marks allotted." showErrorMessage="1" sqref="K45">
      <formula1>0</formula1>
      <formula2>NaN</formula2>
    </dataValidation>
    <dataValidation type="decimal" allowBlank="1" showInputMessage="1" prompt="Dear Sir/ Madam - Score entered is greater than Max. Marks allotted." showErrorMessage="1" sqref="K46">
      <formula1>0</formula1>
      <formula2>NaN</formula2>
    </dataValidation>
    <dataValidation type="decimal" allowBlank="1" showInputMessage="1" prompt="Dear Sir/ Madam - Score entered is greater than Max. Marks allotted." showErrorMessage="1" sqref="K47">
      <formula1>0</formula1>
      <formula2>NaN</formula2>
    </dataValidation>
    <dataValidation type="decimal" allowBlank="1" showInputMessage="1" prompt="Dear Sir/ Madam - Score entered is greater than Max. Marks allotted." showErrorMessage="1" sqref="K48">
      <formula1>0</formula1>
      <formula2>NaN</formula2>
    </dataValidation>
    <dataValidation type="decimal" allowBlank="1" showInputMessage="1" prompt="Dear Sir/ Madam - Score entered is greater than Max. Marks allotted." showErrorMessage="1" sqref="K49">
      <formula1>0</formula1>
      <formula2>NaN</formula2>
    </dataValidation>
    <dataValidation type="decimal" allowBlank="1" showInputMessage="1" prompt="Dear Sir/ Madam - Score entered is greater than Max. Marks allotted." showErrorMessage="1" sqref="K50">
      <formula1>0</formula1>
      <formula2>NaN</formula2>
    </dataValidation>
    <dataValidation type="decimal" allowBlank="1" showInputMessage="1" prompt="Dear Sir/ Madam - Score entered is greater than Max. Marks allotted." showErrorMessage="1" sqref="K51">
      <formula1>0</formula1>
      <formula2>NaN</formula2>
    </dataValidation>
    <dataValidation type="decimal" allowBlank="1" showInputMessage="1" prompt="Dear Sir/ Madam - Score entered is greater than Max. Marks allotted." showErrorMessage="1" sqref="K52">
      <formula1>0</formula1>
      <formula2>NaN</formula2>
    </dataValidation>
    <dataValidation type="decimal" allowBlank="1" showInputMessage="1" prompt="Dear Sir/ Madam - Score entered is greater than Max. Marks allotted." showErrorMessage="1" sqref="K53">
      <formula1>0</formula1>
      <formula2>NaN</formula2>
    </dataValidation>
    <dataValidation type="decimal" allowBlank="1" showInputMessage="1" prompt="Dear Sir/ Madam - Score entered is greater than Max. Marks allotted." showErrorMessage="1" sqref="K54">
      <formula1>0</formula1>
      <formula2>NaN</formula2>
    </dataValidation>
    <dataValidation type="decimal" allowBlank="1" showInputMessage="1" prompt="Dear Sir/ Madam - Score entered is greater than Max. Marks allotted." showErrorMessage="1" sqref="K55">
      <formula1>0</formula1>
      <formula2>NaN</formula2>
    </dataValidation>
    <dataValidation type="decimal" allowBlank="1" showInputMessage="1" prompt="Dear Sir/ Madam - Score entered is greater than Max. Marks allotted." showErrorMessage="1" sqref="K56">
      <formula1>0</formula1>
      <formula2>NaN</formula2>
    </dataValidation>
    <dataValidation type="decimal" allowBlank="1" showInputMessage="1" prompt="Dear Sir/ Madam - Score entered is greater than Max. Marks allotted." showErrorMessage="1" sqref="K57">
      <formula1>0</formula1>
      <formula2>NaN</formula2>
    </dataValidation>
    <dataValidation type="decimal" allowBlank="1" showInputMessage="1" prompt="Dear Sir/ Madam - Score entered is greater than Max. Marks allotted." showErrorMessage="1" sqref="K58">
      <formula1>0</formula1>
      <formula2>NaN</formula2>
    </dataValidation>
    <dataValidation type="decimal" allowBlank="1" showInputMessage="1" prompt="Dear Sir/ Madam - Score entered is greater than Max. Marks allotted." showErrorMessage="1" sqref="K59">
      <formula1>0</formula1>
      <formula2>NaN</formula2>
    </dataValidation>
    <dataValidation type="decimal" allowBlank="1" showInputMessage="1" prompt="Dear Sir/ Madam - Score entered is greater than Max. Marks allotted." showErrorMessage="1" sqref="K60">
      <formula1>0</formula1>
      <formula2>NaN</formula2>
    </dataValidation>
    <dataValidation type="decimal" allowBlank="1" showInputMessage="1" prompt="Dear Sir/ Madam - Score entered is greater than Max. Marks allotted." showErrorMessage="1" sqref="K61">
      <formula1>0</formula1>
      <formula2>NaN</formula2>
    </dataValidation>
    <dataValidation type="decimal" allowBlank="1" showInputMessage="1" prompt="Dear Sir/ Madam - Score entered is greater than Max. Marks allotted." showErrorMessage="1" sqref="K62">
      <formula1>0</formula1>
      <formula2>NaN</formula2>
    </dataValidation>
    <dataValidation type="decimal" allowBlank="1" showInputMessage="1" prompt="Dear Sir/ Madam - Score entered is greater than Max. Marks allotted." showErrorMessage="1" sqref="K63">
      <formula1>0</formula1>
      <formula2>NaN</formula2>
    </dataValidation>
    <dataValidation type="decimal" allowBlank="1" showInputMessage="1" prompt="Dear Sir/ Madam - Score entered is greater than Max. Marks allotted." showErrorMessage="1" sqref="K64">
      <formula1>0</formula1>
      <formula2>NaN</formula2>
    </dataValidation>
    <dataValidation type="decimal" allowBlank="1" showInputMessage="1" prompt="Dear Sir/ Madam - Score entered is greater than Max. Marks allotted." showErrorMessage="1" sqref="K65">
      <formula1>0</formula1>
      <formula2>NaN</formula2>
    </dataValidation>
    <dataValidation type="decimal" allowBlank="1" showInputMessage="1" prompt="Dear Sir/ Madam - Score entered is greater than Max. Marks allotted." showErrorMessage="1" sqref="K66">
      <formula1>0</formula1>
      <formula2>NaN</formula2>
    </dataValidation>
    <dataValidation type="decimal" allowBlank="1" showInputMessage="1" prompt="Dear Sir/ Madam - Score entered is greater than Max. Marks allotted." showErrorMessage="1" sqref="K67">
      <formula1>0</formula1>
      <formula2>NaN</formula2>
    </dataValidation>
    <dataValidation type="decimal" allowBlank="1" showInputMessage="1" prompt="Dear Sir/ Madam - Score entered is greater than Max. Marks allotted." showErrorMessage="1" sqref="K68">
      <formula1>0</formula1>
      <formula2>NaN</formula2>
    </dataValidation>
    <dataValidation type="decimal" allowBlank="1" showInputMessage="1" prompt="Dear Sir/ Madam - Score entered is greater than Max. Marks allotted." showErrorMessage="1" sqref="K69">
      <formula1>0</formula1>
      <formula2>NaN</formula2>
    </dataValidation>
    <dataValidation type="decimal" allowBlank="1" showInputMessage="1" prompt="Dear Sir/ Madam - Score entered is greater than Max. Marks allotted." showErrorMessage="1" sqref="K74">
      <formula1>0</formula1>
      <formula2>NaN</formula2>
    </dataValidation>
    <dataValidation type="decimal" allowBlank="1" showInputMessage="1" prompt="Dear Sir/ Madam - Score entered is greater than Max. Marks allotted." showErrorMessage="1" sqref="K75">
      <formula1>0</formula1>
      <formula2>NaN</formula2>
    </dataValidation>
    <dataValidation type="decimal" allowBlank="1" showInputMessage="1" prompt="Dear Sir/ Madam - Score entered is greater than Max. Marks allotted." showErrorMessage="1" sqref="K76">
      <formula1>0</formula1>
      <formula2>NaN</formula2>
    </dataValidation>
    <dataValidation type="decimal" allowBlank="1" showInputMessage="1" prompt="Dear Sir/ Madam - Score entered is greater than Max. Marks allotted." showErrorMessage="1" sqref="K77">
      <formula1>0</formula1>
      <formula2>NaN</formula2>
    </dataValidation>
    <dataValidation type="decimal" allowBlank="1" showInputMessage="1" prompt="Dear Sir/ Madam - Score entered is greater than Max. Marks allotted." showErrorMessage="1" sqref="K78">
      <formula1>0</formula1>
      <formula2>NaN</formula2>
    </dataValidation>
    <dataValidation type="decimal" allowBlank="1" showInputMessage="1" prompt="Dear Sir/ Madam - Score entered is greater than Max. Marks allotted." showErrorMessage="1" sqref="K79">
      <formula1>0</formula1>
      <formula2>NaN</formula2>
    </dataValidation>
    <dataValidation type="decimal" allowBlank="1" showInputMessage="1" prompt="Dear Sir/ Madam - Score entered is greater than Max. Marks allotted." showErrorMessage="1" sqref="K80">
      <formula1>0</formula1>
      <formula2>NaN</formula2>
    </dataValidation>
    <dataValidation type="decimal" allowBlank="1" showInputMessage="1" prompt="Dear Sir/ Madam - Score entered is greater than Max. Marks allotted." showErrorMessage="1" sqref="K81">
      <formula1>0</formula1>
      <formula2>NaN</formula2>
    </dataValidation>
    <dataValidation type="decimal" allowBlank="1" showInputMessage="1" prompt="Dear Sir/ Madam - Score entered is greater than Max. Marks allotted." showErrorMessage="1" sqref="K82">
      <formula1>0</formula1>
      <formula2>NaN</formula2>
    </dataValidation>
    <dataValidation type="decimal" allowBlank="1" showInputMessage="1" prompt="Dear Sir/ Madam - Score entered is greater than Max. Marks allotted." showErrorMessage="1" sqref="K83">
      <formula1>0</formula1>
      <formula2>NaN</formula2>
    </dataValidation>
    <dataValidation type="decimal" allowBlank="1" showInputMessage="1" prompt="Dear Sir/ Madam - Score entered is greater than Max. Marks allotted." showErrorMessage="1" sqref="K84">
      <formula1>0</formula1>
      <formula2>NaN</formula2>
    </dataValidation>
    <dataValidation type="decimal" allowBlank="1" showInputMessage="1" prompt="Dear Sir/ Madam - Score entered is greater than Max. Marks allotted." showErrorMessage="1" sqref="K85">
      <formula1>0</formula1>
      <formula2>NaN</formula2>
    </dataValidation>
    <dataValidation type="decimal" allowBlank="1" showInputMessage="1" prompt="Dear Sir/ Madam - Score entered is greater than Max. Marks allotted." showErrorMessage="1" sqref="K86">
      <formula1>0</formula1>
      <formula2>NaN</formula2>
    </dataValidation>
    <dataValidation type="decimal" allowBlank="1" showInputMessage="1" prompt="Dear Sir/ Madam - Score entered is greater than Max. Marks allotted." showErrorMessage="1" sqref="K87">
      <formula1>0</formula1>
      <formula2>NaN</formula2>
    </dataValidation>
    <dataValidation type="decimal" allowBlank="1" showInputMessage="1" prompt="Dear Sir/ Madam - Score entered is greater than Max. Marks allotted." showErrorMessage="1" sqref="K88">
      <formula1>0</formula1>
      <formula2>NaN</formula2>
    </dataValidation>
    <dataValidation type="decimal" allowBlank="1" showInputMessage="1" prompt="Dear Sir/ Madam - Score entered is greater than Max. Marks allotted." showErrorMessage="1" sqref="K89">
      <formula1>0</formula1>
      <formula2>NaN</formula2>
    </dataValidation>
    <dataValidation type="decimal" allowBlank="1" showInputMessage="1" prompt="Dear Sir/ Madam - Score entered is greater than Max. Marks allotted." showErrorMessage="1" sqref="K90">
      <formula1>0</formula1>
      <formula2>NaN</formula2>
    </dataValidation>
    <dataValidation type="decimal" allowBlank="1" showInputMessage="1" prompt="Dear Sir/ Madam - Score entered is greater than Max. Marks allotted." showErrorMessage="1" sqref="K91">
      <formula1>0</formula1>
      <formula2>NaN</formula2>
    </dataValidation>
    <dataValidation type="decimal" allowBlank="1" showInputMessage="1" prompt="Dear Sir/ Madam - Score entered is greater than Max. Marks allotted." showErrorMessage="1" sqref="K92">
      <formula1>0</formula1>
      <formula2>NaN</formula2>
    </dataValidation>
    <dataValidation type="decimal" allowBlank="1" showInputMessage="1" prompt="Dear Sir/ Madam - Score entered is greater than Max. Marks allotted." showErrorMessage="1" sqref="K93">
      <formula1>0</formula1>
      <formula2>NaN</formula2>
    </dataValidation>
    <dataValidation type="decimal" allowBlank="1" showInputMessage="1" prompt="Dear Sir/ Madam - Score entered is greater than Max. Marks allotted." showErrorMessage="1" sqref="K94">
      <formula1>0</formula1>
      <formula2>NaN</formula2>
    </dataValidation>
    <dataValidation type="decimal" allowBlank="1" showInputMessage="1" prompt="Dear Sir/ Madam - Score entered is greater than Max. Marks allotted." showErrorMessage="1" sqref="K95">
      <formula1>0</formula1>
      <formula2>NaN</formula2>
    </dataValidation>
    <dataValidation type="decimal" allowBlank="1" showInputMessage="1" prompt="Dear Sir/ Madam - Score entered is greater than Max. Marks allotted." showErrorMessage="1" sqref="K96">
      <formula1>0</formula1>
      <formula2>NaN</formula2>
    </dataValidation>
    <dataValidation type="decimal" allowBlank="1" showInputMessage="1" prompt="Dear Sir/ Madam - Score entered is greater than Max. Marks allotted." showErrorMessage="1" sqref="K97">
      <formula1>0</formula1>
      <formula2>NaN</formula2>
    </dataValidation>
    <dataValidation type="decimal" allowBlank="1" showInputMessage="1" prompt="Dear Sir/ Madam - Score entered is greater than Max. Marks allotted." showErrorMessage="1" sqref="K98">
      <formula1>0</formula1>
      <formula2>NaN</formula2>
    </dataValidation>
    <dataValidation type="decimal" allowBlank="1" showInputMessage="1" prompt="Dear Sir/ Madam - Score entered is greater than Max. Marks allotted." showErrorMessage="1" sqref="K99">
      <formula1>0</formula1>
      <formula2>NaN</formula2>
    </dataValidation>
    <dataValidation type="decimal" allowBlank="1" showInputMessage="1" prompt="Dear Sir/ Madam - Score entered is greater than Max. Marks allotted." showErrorMessage="1" sqref="L108">
      <formula1>0</formula1>
      <formula2>NaN</formula2>
    </dataValidation>
    <dataValidation type="decimal" allowBlank="1" showInputMessage="1" prompt="Dear Sir/ Madam - Score entered is greater than Max. Marks allotted." showErrorMessage="1" sqref="L109">
      <formula1>0</formula1>
      <formula2>NaN</formula2>
    </dataValidation>
    <dataValidation type="decimal" allowBlank="1" showInputMessage="1" prompt="Dear Sir/ Madam - Score entered is greater than Max. Marks allotted." showErrorMessage="1" sqref="L110">
      <formula1>0</formula1>
      <formula2>NaN</formula2>
    </dataValidation>
    <dataValidation type="decimal" allowBlank="1" showInputMessage="1" prompt="Dear Sir/ Madam - Score entered is greater than Max. Marks allotted." showErrorMessage="1" sqref="L111">
      <formula1>0</formula1>
      <formula2>NaN</formula2>
    </dataValidation>
    <dataValidation type="decimal" allowBlank="1" showInputMessage="1" prompt="Dear Sir/ Madam - Score entered is greater than Max. Marks allotted." showErrorMessage="1" sqref="L112">
      <formula1>0</formula1>
      <formula2>NaN</formula2>
    </dataValidation>
    <dataValidation type="decimal" allowBlank="1" showInputMessage="1" prompt="Dear Sir/ Madam - Score entered is greater than Max. Marks allotted." showErrorMessage="1" sqref="L113">
      <formula1>0</formula1>
      <formula2>NaN</formula2>
    </dataValidation>
    <dataValidation type="decimal" allowBlank="1" showInputMessage="1" prompt="Dear Sir/ Madam - Score entered is greater than Max. Marks allotted." showErrorMessage="1" sqref="L114">
      <formula1>0</formula1>
      <formula2>NaN</formula2>
    </dataValidation>
    <dataValidation type="decimal" allowBlank="1" showInputMessage="1" prompt="Dear Sir/ Madam - Score entered is greater than Max. Marks allotted." showErrorMessage="1" sqref="L115">
      <formula1>0</formula1>
      <formula2>NaN</formula2>
    </dataValidation>
    <dataValidation type="decimal" allowBlank="1" showInputMessage="1" prompt="Dear Sir/ Madam - Score entered is greater than Max. Marks allotted." showErrorMessage="1" sqref="L116">
      <formula1>0</formula1>
      <formula2>NaN</formula2>
    </dataValidation>
    <dataValidation type="decimal" allowBlank="1" showInputMessage="1" prompt="Dear Sir/ Madam - Score entered is greater than Max. Marks allotted." showErrorMessage="1" sqref="L117">
      <formula1>0</formula1>
      <formula2>NaN</formula2>
    </dataValidation>
    <dataValidation type="decimal" allowBlank="1" showInputMessage="1" prompt="Dear Sir/ Madam - Score entered is greater than Max. Marks allotted." showErrorMessage="1" sqref="L118">
      <formula1>0</formula1>
      <formula2>NaN</formula2>
    </dataValidation>
    <dataValidation type="decimal" allowBlank="1" showInputMessage="1" prompt="Dear Sir/ Madam - Score entered is greater than Max. Marks allotted." showErrorMessage="1" sqref="L119">
      <formula1>0</formula1>
      <formula2>NaN</formula2>
    </dataValidation>
    <dataValidation type="decimal" allowBlank="1" showInputMessage="1" prompt="Dear Sir/ Madam - Score entered is greater than Max. Marks allotted." showErrorMessage="1" sqref="L120">
      <formula1>0</formula1>
      <formula2>NaN</formula2>
    </dataValidation>
    <dataValidation type="decimal" allowBlank="1" showInputMessage="1" prompt="Dear Sir/ Madam - Score entered is greater than Max. Marks allotted." showErrorMessage="1" sqref="L121">
      <formula1>0</formula1>
      <formula2>NaN</formula2>
    </dataValidation>
    <dataValidation type="decimal" allowBlank="1" showInputMessage="1" prompt="Dear Sir/ Madam - Score entered is greater than Max. Marks allotted." showErrorMessage="1" sqref="L122">
      <formula1>0</formula1>
      <formula2>NaN</formula2>
    </dataValidation>
    <dataValidation type="decimal" allowBlank="1" showInputMessage="1" prompt="Dear Sir/ Madam - Score entered is greater than Max. Marks allotted." showErrorMessage="1" sqref="L123">
      <formula1>0</formula1>
      <formula2>NaN</formula2>
    </dataValidation>
    <dataValidation type="decimal" allowBlank="1" showInputMessage="1" prompt="Dear Sir/ Madam - Score entered is greater than Max. Marks allotted." showErrorMessage="1" sqref="L124">
      <formula1>0</formula1>
      <formula2>NaN</formula2>
    </dataValidation>
    <dataValidation type="decimal" allowBlank="1" showInputMessage="1" prompt="Dear Sir/ Madam - Score entered is greater than Max. Marks allotted." showErrorMessage="1" sqref="L125">
      <formula1>0</formula1>
      <formula2>NaN</formula2>
    </dataValidation>
    <dataValidation type="decimal" allowBlank="1" showInputMessage="1" prompt="Dear Sir/ Madam - Score entered is greater than Max. Marks allotted." showErrorMessage="1" sqref="L126">
      <formula1>0</formula1>
      <formula2>NaN</formula2>
    </dataValidation>
    <dataValidation type="decimal" allowBlank="1" showInputMessage="1" prompt="Dear Sir/ Madam - Score entered is greater than Max. Marks allotted." showErrorMessage="1" sqref="L127">
      <formula1>0</formula1>
      <formula2>NaN</formula2>
    </dataValidation>
    <dataValidation type="decimal" allowBlank="1" showInputMessage="1" prompt="Dear Sir/ Madam - Score entered is greater than Max. Marks allotted." showErrorMessage="1" sqref="L128">
      <formula1>0</formula1>
      <formula2>NaN</formula2>
    </dataValidation>
    <dataValidation type="decimal" allowBlank="1" showInputMessage="1" prompt="Dear Sir/ Madam - Score entered is greater than Max. Marks allotted." showErrorMessage="1" sqref="L129">
      <formula1>0</formula1>
      <formula2>NaN</formula2>
    </dataValidation>
    <dataValidation type="decimal" allowBlank="1" showInputMessage="1" prompt="Dear Sir/ Madam - Score entered is greater than Max. Marks allotted." showErrorMessage="1" sqref="L130">
      <formula1>0</formula1>
      <formula2>NaN</formula2>
    </dataValidation>
    <dataValidation type="decimal" allowBlank="1" showInputMessage="1" prompt="Dear Sir/ Madam - Score entered is greater than Max. Marks allotted." showErrorMessage="1" sqref="L131">
      <formula1>0</formula1>
      <formula2>NaN</formula2>
    </dataValidation>
    <dataValidation type="decimal" allowBlank="1" showInputMessage="1" prompt="Dear Sir/ Madam - Score entered is greater than Max. Marks allotted." showErrorMessage="1" sqref="L132">
      <formula1>0</formula1>
      <formula2>NaN</formula2>
    </dataValidation>
    <dataValidation type="decimal" allowBlank="1" showInputMessage="1" prompt="Dear Sir/ Madam - Score entered is greater than Max. Marks allotted." showErrorMessage="1" sqref="L133">
      <formula1>0</formula1>
      <formula2>NaN</formula2>
    </dataValidation>
    <dataValidation type="decimal" allowBlank="1" showInputMessage="1" prompt="Dear Sir/ Madam - Score entered is greater than Max. Marks allotted." showErrorMessage="1" sqref="L134">
      <formula1>0</formula1>
      <formula2>NaN</formula2>
    </dataValidation>
    <dataValidation type="decimal" allowBlank="1" showInputMessage="1" prompt="Dear Sir/ Madam - Score entered is greater than Max. Marks allotted." showErrorMessage="1" sqref="L135">
      <formula1>0</formula1>
      <formula2>NaN</formula2>
    </dataValidation>
    <dataValidation type="decimal" allowBlank="1" showInputMessage="1" prompt="Dear Sir/ Madam - Score entered is greater than Max. Marks allotted." showErrorMessage="1" sqref="M108">
      <formula1>0</formula1>
      <formula2>NaN</formula2>
    </dataValidation>
    <dataValidation type="decimal" allowBlank="1" showInputMessage="1" prompt="Dear Sir/ Madam - Score entered is greater than Max. Marks allotted." showErrorMessage="1" sqref="M109">
      <formula1>0</formula1>
      <formula2>NaN</formula2>
    </dataValidation>
    <dataValidation type="decimal" allowBlank="1" showInputMessage="1" prompt="Dear Sir/ Madam - Score entered is greater than Max. Marks allotted." showErrorMessage="1" sqref="M110">
      <formula1>0</formula1>
      <formula2>NaN</formula2>
    </dataValidation>
    <dataValidation type="decimal" allowBlank="1" showInputMessage="1" prompt="Dear Sir/ Madam - Score entered is greater than Max. Marks allotted." showErrorMessage="1" sqref="M111">
      <formula1>0</formula1>
      <formula2>NaN</formula2>
    </dataValidation>
    <dataValidation type="decimal" allowBlank="1" showInputMessage="1" prompt="Dear Sir/ Madam - Score entered is greater than Max. Marks allotted." showErrorMessage="1" sqref="M112">
      <formula1>0</formula1>
      <formula2>NaN</formula2>
    </dataValidation>
    <dataValidation type="decimal" allowBlank="1" showInputMessage="1" prompt="Dear Sir/ Madam - Score entered is greater than Max. Marks allotted." showErrorMessage="1" sqref="M113">
      <formula1>0</formula1>
      <formula2>NaN</formula2>
    </dataValidation>
    <dataValidation type="decimal" allowBlank="1" showInputMessage="1" prompt="Dear Sir/ Madam - Score entered is greater than Max. Marks allotted." showErrorMessage="1" sqref="M114">
      <formula1>0</formula1>
      <formula2>NaN</formula2>
    </dataValidation>
    <dataValidation type="decimal" allowBlank="1" showInputMessage="1" prompt="Dear Sir/ Madam - Score entered is greater than Max. Marks allotted." showErrorMessage="1" sqref="M115">
      <formula1>0</formula1>
      <formula2>NaN</formula2>
    </dataValidation>
    <dataValidation type="decimal" allowBlank="1" showInputMessage="1" prompt="Dear Sir/ Madam - Score entered is greater than Max. Marks allotted." showErrorMessage="1" sqref="M116">
      <formula1>0</formula1>
      <formula2>NaN</formula2>
    </dataValidation>
    <dataValidation type="decimal" allowBlank="1" showInputMessage="1" prompt="Dear Sir/ Madam - Score entered is greater than Max. Marks allotted." showErrorMessage="1" sqref="M117">
      <formula1>0</formula1>
      <formula2>NaN</formula2>
    </dataValidation>
    <dataValidation type="decimal" allowBlank="1" showInputMessage="1" prompt="Dear Sir/ Madam - Score entered is greater than Max. Marks allotted." showErrorMessage="1" sqref="M118">
      <formula1>0</formula1>
      <formula2>NaN</formula2>
    </dataValidation>
    <dataValidation type="decimal" allowBlank="1" showInputMessage="1" prompt="Dear Sir/ Madam - Score entered is greater than Max. Marks allotted." showErrorMessage="1" sqref="M119">
      <formula1>0</formula1>
      <formula2>NaN</formula2>
    </dataValidation>
    <dataValidation type="decimal" allowBlank="1" showInputMessage="1" prompt="Dear Sir/ Madam - Score entered is greater than Max. Marks allotted." showErrorMessage="1" sqref="M120">
      <formula1>0</formula1>
      <formula2>NaN</formula2>
    </dataValidation>
    <dataValidation type="decimal" allowBlank="1" showInputMessage="1" prompt="Dear Sir/ Madam - Score entered is greater than Max. Marks allotted." showErrorMessage="1" sqref="M121">
      <formula1>0</formula1>
      <formula2>NaN</formula2>
    </dataValidation>
    <dataValidation type="decimal" allowBlank="1" showInputMessage="1" prompt="Dear Sir/ Madam - Score entered is greater than Max. Marks allotted." showErrorMessage="1" sqref="M122">
      <formula1>0</formula1>
      <formula2>NaN</formula2>
    </dataValidation>
    <dataValidation type="decimal" allowBlank="1" showInputMessage="1" prompt="Dear Sir/ Madam - Score entered is greater than Max. Marks allotted." showErrorMessage="1" sqref="M123">
      <formula1>0</formula1>
      <formula2>NaN</formula2>
    </dataValidation>
    <dataValidation type="decimal" allowBlank="1" showInputMessage="1" prompt="Dear Sir/ Madam - Score entered is greater than Max. Marks allotted." showErrorMessage="1" sqref="M124">
      <formula1>0</formula1>
      <formula2>NaN</formula2>
    </dataValidation>
    <dataValidation type="decimal" allowBlank="1" showInputMessage="1" prompt="Dear Sir/ Madam - Score entered is greater than Max. Marks allotted." showErrorMessage="1" sqref="M125">
      <formula1>0</formula1>
      <formula2>NaN</formula2>
    </dataValidation>
    <dataValidation type="decimal" allowBlank="1" showInputMessage="1" prompt="Dear Sir/ Madam - Score entered is greater than Max. Marks allotted." showErrorMessage="1" sqref="M126">
      <formula1>0</formula1>
      <formula2>NaN</formula2>
    </dataValidation>
    <dataValidation type="decimal" allowBlank="1" showInputMessage="1" prompt="Dear Sir/ Madam - Score entered is greater than Max. Marks allotted." showErrorMessage="1" sqref="M127">
      <formula1>0</formula1>
      <formula2>NaN</formula2>
    </dataValidation>
    <dataValidation type="decimal" allowBlank="1" showInputMessage="1" prompt="Dear Sir/ Madam - Score entered is greater than Max. Marks allotted." showErrorMessage="1" sqref="M128">
      <formula1>0</formula1>
      <formula2>NaN</formula2>
    </dataValidation>
    <dataValidation type="decimal" allowBlank="1" showInputMessage="1" prompt="Dear Sir/ Madam - Score entered is greater than Max. Marks allotted." showErrorMessage="1" sqref="M129">
      <formula1>0</formula1>
      <formula2>NaN</formula2>
    </dataValidation>
    <dataValidation type="decimal" allowBlank="1" showInputMessage="1" prompt="Dear Sir/ Madam - Score entered is greater than Max. Marks allotted." showErrorMessage="1" sqref="M130">
      <formula1>0</formula1>
      <formula2>NaN</formula2>
    </dataValidation>
    <dataValidation type="decimal" allowBlank="1" showInputMessage="1" prompt="Dear Sir/ Madam - Score entered is greater than Max. Marks allotted." showErrorMessage="1" sqref="M131">
      <formula1>0</formula1>
      <formula2>NaN</formula2>
    </dataValidation>
    <dataValidation type="decimal" allowBlank="1" showInputMessage="1" prompt="Dear Sir/ Madam - Score entered is greater than Max. Marks allotted." showErrorMessage="1" sqref="M132">
      <formula1>0</formula1>
      <formula2>NaN</formula2>
    </dataValidation>
    <dataValidation type="decimal" allowBlank="1" showInputMessage="1" prompt="Dear Sir/ Madam - Score entered is greater than Max. Marks allotted." showErrorMessage="1" sqref="M133">
      <formula1>0</formula1>
      <formula2>NaN</formula2>
    </dataValidation>
    <dataValidation type="decimal" allowBlank="1" showInputMessage="1" prompt="Dear Sir/ Madam - Score entered is greater than Max. Marks allotted." showErrorMessage="1" sqref="M134">
      <formula1>0</formula1>
      <formula2>NaN</formula2>
    </dataValidation>
    <dataValidation type="decimal" allowBlank="1" showInputMessage="1" prompt="Dear Sir/ Madam - Score entered is greater than Max. Marks allotted." showErrorMessage="1" sqref="M135">
      <formula1>0</formula1>
      <formula2>NaN</formula2>
    </dataValidation>
    <dataValidation type="decimal" allowBlank="1" showInputMessage="1" prompt="Dear Sir/ Madam - Score entered is greater than Max. Marks allotted." showErrorMessage="1" sqref="N108">
      <formula1>0</formula1>
      <formula2>NaN</formula2>
    </dataValidation>
    <dataValidation type="decimal" allowBlank="1" showInputMessage="1" prompt="Dear Sir/ Madam - Score entered is greater than Max. Marks allotted." showErrorMessage="1" sqref="N109">
      <formula1>0</formula1>
      <formula2>NaN</formula2>
    </dataValidation>
    <dataValidation type="decimal" allowBlank="1" showInputMessage="1" prompt="Dear Sir/ Madam - Score entered is greater than Max. Marks allotted." showErrorMessage="1" sqref="N110">
      <formula1>0</formula1>
      <formula2>NaN</formula2>
    </dataValidation>
    <dataValidation type="decimal" allowBlank="1" showInputMessage="1" prompt="Dear Sir/ Madam - Score entered is greater than Max. Marks allotted." showErrorMessage="1" sqref="N111">
      <formula1>0</formula1>
      <formula2>NaN</formula2>
    </dataValidation>
    <dataValidation type="decimal" allowBlank="1" showInputMessage="1" prompt="Dear Sir/ Madam - Score entered is greater than Max. Marks allotted." showErrorMessage="1" sqref="N112">
      <formula1>0</formula1>
      <formula2>NaN</formula2>
    </dataValidation>
    <dataValidation type="decimal" allowBlank="1" showInputMessage="1" prompt="Dear Sir/ Madam - Score entered is greater than Max. Marks allotted." showErrorMessage="1" sqref="N113">
      <formula1>0</formula1>
      <formula2>NaN</formula2>
    </dataValidation>
    <dataValidation type="decimal" allowBlank="1" showInputMessage="1" prompt="Dear Sir/ Madam - Score entered is greater than Max. Marks allotted." showErrorMessage="1" sqref="N114">
      <formula1>0</formula1>
      <formula2>NaN</formula2>
    </dataValidation>
    <dataValidation type="decimal" allowBlank="1" showInputMessage="1" prompt="Dear Sir/ Madam - Score entered is greater than Max. Marks allotted." showErrorMessage="1" sqref="N115">
      <formula1>0</formula1>
      <formula2>NaN</formula2>
    </dataValidation>
    <dataValidation type="decimal" allowBlank="1" showInputMessage="1" prompt="Dear Sir/ Madam - Score entered is greater than Max. Marks allotted." showErrorMessage="1" sqref="N116">
      <formula1>0</formula1>
      <formula2>NaN</formula2>
    </dataValidation>
    <dataValidation type="decimal" allowBlank="1" showInputMessage="1" prompt="Dear Sir/ Madam - Score entered is greater than Max. Marks allotted." showErrorMessage="1" sqref="N117">
      <formula1>0</formula1>
      <formula2>NaN</formula2>
    </dataValidation>
    <dataValidation type="decimal" allowBlank="1" showInputMessage="1" prompt="Dear Sir/ Madam - Score entered is greater than Max. Marks allotted." showErrorMessage="1" sqref="N118">
      <formula1>0</formula1>
      <formula2>NaN</formula2>
    </dataValidation>
    <dataValidation type="decimal" allowBlank="1" showInputMessage="1" prompt="Dear Sir/ Madam - Score entered is greater than Max. Marks allotted." showErrorMessage="1" sqref="N119">
      <formula1>0</formula1>
      <formula2>NaN</formula2>
    </dataValidation>
    <dataValidation type="decimal" allowBlank="1" showInputMessage="1" prompt="Dear Sir/ Madam - Score entered is greater than Max. Marks allotted." showErrorMessage="1" sqref="N120">
      <formula1>0</formula1>
      <formula2>NaN</formula2>
    </dataValidation>
    <dataValidation type="decimal" allowBlank="1" showInputMessage="1" prompt="Dear Sir/ Madam - Score entered is greater than Max. Marks allotted." showErrorMessage="1" sqref="N121">
      <formula1>0</formula1>
      <formula2>NaN</formula2>
    </dataValidation>
    <dataValidation type="decimal" allowBlank="1" showInputMessage="1" prompt="Dear Sir/ Madam - Score entered is greater than Max. Marks allotted." showErrorMessage="1" sqref="N122">
      <formula1>0</formula1>
      <formula2>NaN</formula2>
    </dataValidation>
    <dataValidation type="decimal" allowBlank="1" showInputMessage="1" prompt="Dear Sir/ Madam - Score entered is greater than Max. Marks allotted." showErrorMessage="1" sqref="N123">
      <formula1>0</formula1>
      <formula2>NaN</formula2>
    </dataValidation>
    <dataValidation type="decimal" allowBlank="1" showInputMessage="1" prompt="Dear Sir/ Madam - Score entered is greater than Max. Marks allotted." showErrorMessage="1" sqref="N124">
      <formula1>0</formula1>
      <formula2>NaN</formula2>
    </dataValidation>
    <dataValidation type="decimal" allowBlank="1" showInputMessage="1" prompt="Dear Sir/ Madam - Score entered is greater than Max. Marks allotted." showErrorMessage="1" sqref="N125">
      <formula1>0</formula1>
      <formula2>NaN</formula2>
    </dataValidation>
    <dataValidation type="decimal" allowBlank="1" showInputMessage="1" prompt="Dear Sir/ Madam - Score entered is greater than Max. Marks allotted." showErrorMessage="1" sqref="N126">
      <formula1>0</formula1>
      <formula2>NaN</formula2>
    </dataValidation>
    <dataValidation type="decimal" allowBlank="1" showInputMessage="1" prompt="Dear Sir/ Madam - Score entered is greater than Max. Marks allotted." showErrorMessage="1" sqref="N127">
      <formula1>0</formula1>
      <formula2>NaN</formula2>
    </dataValidation>
    <dataValidation type="decimal" allowBlank="1" showInputMessage="1" prompt="Dear Sir/ Madam - Score entered is greater than Max. Marks allotted." showErrorMessage="1" sqref="N128">
      <formula1>0</formula1>
      <formula2>NaN</formula2>
    </dataValidation>
    <dataValidation type="decimal" allowBlank="1" showInputMessage="1" prompt="Dear Sir/ Madam - Score entered is greater than Max. Marks allotted." showErrorMessage="1" sqref="N129">
      <formula1>0</formula1>
      <formula2>NaN</formula2>
    </dataValidation>
    <dataValidation type="decimal" allowBlank="1" showInputMessage="1" prompt="Dear Sir/ Madam - Score entered is greater than Max. Marks allotted." showErrorMessage="1" sqref="N130">
      <formula1>0</formula1>
      <formula2>NaN</formula2>
    </dataValidation>
    <dataValidation type="decimal" allowBlank="1" showInputMessage="1" prompt="Dear Sir/ Madam - Score entered is greater than Max. Marks allotted." showErrorMessage="1" sqref="N131">
      <formula1>0</formula1>
      <formula2>NaN</formula2>
    </dataValidation>
    <dataValidation type="decimal" allowBlank="1" showInputMessage="1" prompt="Dear Sir/ Madam - Score entered is greater than Max. Marks allotted." showErrorMessage="1" sqref="N132">
      <formula1>0</formula1>
      <formula2>NaN</formula2>
    </dataValidation>
    <dataValidation type="decimal" allowBlank="1" showInputMessage="1" prompt="Dear Sir/ Madam - Score entered is greater than Max. Marks allotted." showErrorMessage="1" sqref="N133">
      <formula1>0</formula1>
      <formula2>NaN</formula2>
    </dataValidation>
    <dataValidation type="decimal" allowBlank="1" showInputMessage="1" prompt="Dear Sir/ Madam - Score entered is greater than Max. Marks allotted." showErrorMessage="1" sqref="N134">
      <formula1>0</formula1>
      <formula2>NaN</formula2>
    </dataValidation>
    <dataValidation type="decimal" allowBlank="1" showInputMessage="1" prompt="Dear Sir/ Madam - Score entered is greater than Max. Marks allotted." showErrorMessage="1" sqref="N135">
      <formula1>0</formula1>
      <formula2>NaN</formula2>
    </dataValidation>
    <dataValidation type="decimal" allowBlank="1" showInputMessage="1" prompt="Dear Sir/ Madam - Score entered is greater than Max. Marks allotted." showErrorMessage="1" sqref="O108">
      <formula1>0</formula1>
      <formula2>NaN</formula2>
    </dataValidation>
    <dataValidation type="decimal" allowBlank="1" showInputMessage="1" prompt="Dear Sir/ Madam - Score entered is greater than Max. Marks allotted." showErrorMessage="1" sqref="O109">
      <formula1>0</formula1>
      <formula2>NaN</formula2>
    </dataValidation>
    <dataValidation type="decimal" allowBlank="1" showInputMessage="1" prompt="Dear Sir/ Madam - Score entered is greater than Max. Marks allotted." showErrorMessage="1" sqref="O110">
      <formula1>0</formula1>
      <formula2>NaN</formula2>
    </dataValidation>
    <dataValidation type="decimal" allowBlank="1" showInputMessage="1" prompt="Dear Sir/ Madam - Score entered is greater than Max. Marks allotted." showErrorMessage="1" sqref="O111">
      <formula1>0</formula1>
      <formula2>NaN</formula2>
    </dataValidation>
    <dataValidation type="decimal" allowBlank="1" showInputMessage="1" prompt="Dear Sir/ Madam - Score entered is greater than Max. Marks allotted." showErrorMessage="1" sqref="O112">
      <formula1>0</formula1>
      <formula2>NaN</formula2>
    </dataValidation>
    <dataValidation type="decimal" allowBlank="1" showInputMessage="1" prompt="Dear Sir/ Madam - Score entered is greater than Max. Marks allotted." showErrorMessage="1" sqref="O113">
      <formula1>0</formula1>
      <formula2>NaN</formula2>
    </dataValidation>
    <dataValidation type="decimal" allowBlank="1" showInputMessage="1" prompt="Dear Sir/ Madam - Score entered is greater than Max. Marks allotted." showErrorMessage="1" sqref="O114">
      <formula1>0</formula1>
      <formula2>NaN</formula2>
    </dataValidation>
    <dataValidation type="decimal" allowBlank="1" showInputMessage="1" prompt="Dear Sir/ Madam - Score entered is greater than Max. Marks allotted." showErrorMessage="1" sqref="O115">
      <formula1>0</formula1>
      <formula2>NaN</formula2>
    </dataValidation>
    <dataValidation type="decimal" allowBlank="1" showInputMessage="1" prompt="Dear Sir/ Madam - Score entered is greater than Max. Marks allotted." showErrorMessage="1" sqref="O116">
      <formula1>0</formula1>
      <formula2>NaN</formula2>
    </dataValidation>
    <dataValidation type="decimal" allowBlank="1" showInputMessage="1" prompt="Dear Sir/ Madam - Score entered is greater than Max. Marks allotted." showErrorMessage="1" sqref="O117">
      <formula1>0</formula1>
      <formula2>NaN</formula2>
    </dataValidation>
    <dataValidation type="decimal" allowBlank="1" showInputMessage="1" prompt="Dear Sir/ Madam - Score entered is greater than Max. Marks allotted." showErrorMessage="1" sqref="O118">
      <formula1>0</formula1>
      <formula2>NaN</formula2>
    </dataValidation>
    <dataValidation type="decimal" allowBlank="1" showInputMessage="1" prompt="Dear Sir/ Madam - Score entered is greater than Max. Marks allotted." showErrorMessage="1" sqref="O119">
      <formula1>0</formula1>
      <formula2>NaN</formula2>
    </dataValidation>
    <dataValidation type="decimal" allowBlank="1" showInputMessage="1" prompt="Dear Sir/ Madam - Score entered is greater than Max. Marks allotted." showErrorMessage="1" sqref="O120">
      <formula1>0</formula1>
      <formula2>NaN</formula2>
    </dataValidation>
    <dataValidation type="decimal" allowBlank="1" showInputMessage="1" prompt="Dear Sir/ Madam - Score entered is greater than Max. Marks allotted." showErrorMessage="1" sqref="O121">
      <formula1>0</formula1>
      <formula2>NaN</formula2>
    </dataValidation>
    <dataValidation type="decimal" allowBlank="1" showInputMessage="1" prompt="Dear Sir/ Madam - Score entered is greater than Max. Marks allotted." showErrorMessage="1" sqref="O122">
      <formula1>0</formula1>
      <formula2>NaN</formula2>
    </dataValidation>
    <dataValidation type="decimal" allowBlank="1" showInputMessage="1" prompt="Dear Sir/ Madam - Score entered is greater than Max. Marks allotted." showErrorMessage="1" sqref="O123">
      <formula1>0</formula1>
      <formula2>NaN</formula2>
    </dataValidation>
    <dataValidation type="decimal" allowBlank="1" showInputMessage="1" prompt="Dear Sir/ Madam - Score entered is greater than Max. Marks allotted." showErrorMessage="1" sqref="O124">
      <formula1>0</formula1>
      <formula2>NaN</formula2>
    </dataValidation>
    <dataValidation type="decimal" allowBlank="1" showInputMessage="1" prompt="Dear Sir/ Madam - Score entered is greater than Max. Marks allotted." showErrorMessage="1" sqref="O125">
      <formula1>0</formula1>
      <formula2>NaN</formula2>
    </dataValidation>
    <dataValidation type="decimal" allowBlank="1" showInputMessage="1" prompt="Dear Sir/ Madam - Score entered is greater than Max. Marks allotted." showErrorMessage="1" sqref="O126">
      <formula1>0</formula1>
      <formula2>NaN</formula2>
    </dataValidation>
    <dataValidation type="decimal" allowBlank="1" showInputMessage="1" prompt="Dear Sir/ Madam - Score entered is greater than Max. Marks allotted." showErrorMessage="1" sqref="O127">
      <formula1>0</formula1>
      <formula2>NaN</formula2>
    </dataValidation>
    <dataValidation type="decimal" allowBlank="1" showInputMessage="1" prompt="Dear Sir/ Madam - Score entered is greater than Max. Marks allotted." showErrorMessage="1" sqref="O128">
      <formula1>0</formula1>
      <formula2>NaN</formula2>
    </dataValidation>
    <dataValidation type="decimal" allowBlank="1" showInputMessage="1" prompt="Dear Sir/ Madam - Score entered is greater than Max. Marks allotted." showErrorMessage="1" sqref="O129">
      <formula1>0</formula1>
      <formula2>NaN</formula2>
    </dataValidation>
    <dataValidation type="decimal" allowBlank="1" showInputMessage="1" prompt="Dear Sir/ Madam - Score entered is greater than Max. Marks allotted." showErrorMessage="1" sqref="O130">
      <formula1>0</formula1>
      <formula2>NaN</formula2>
    </dataValidation>
    <dataValidation type="decimal" allowBlank="1" showInputMessage="1" prompt="Dear Sir/ Madam - Score entered is greater than Max. Marks allotted." showErrorMessage="1" sqref="O131">
      <formula1>0</formula1>
      <formula2>NaN</formula2>
    </dataValidation>
    <dataValidation type="decimal" allowBlank="1" showInputMessage="1" prompt="Dear Sir/ Madam - Score entered is greater than Max. Marks allotted." showErrorMessage="1" sqref="O132">
      <formula1>0</formula1>
      <formula2>NaN</formula2>
    </dataValidation>
    <dataValidation type="decimal" allowBlank="1" showInputMessage="1" prompt="Dear Sir/ Madam - Score entered is greater than Max. Marks allotted." showErrorMessage="1" sqref="O133">
      <formula1>0</formula1>
      <formula2>NaN</formula2>
    </dataValidation>
    <dataValidation type="decimal" allowBlank="1" showInputMessage="1" prompt="Dear Sir/ Madam - Score entered is greater than Max. Marks allotted." showErrorMessage="1" sqref="O134">
      <formula1>0</formula1>
      <formula2>NaN</formula2>
    </dataValidation>
    <dataValidation type="decimal" allowBlank="1" showInputMessage="1" prompt="Dear Sir/ Madam - Score entered is greater than Max. Marks allotted." showErrorMessage="1" sqref="O135">
      <formula1>0</formula1>
      <formula2>NaN</formula2>
    </dataValidation>
    <dataValidation type="decimal" allowBlank="1" showInputMessage="1" prompt="Dear Sir/ Madam - Score entered is greater than Max. Marks allotted." showErrorMessage="1" sqref="P108">
      <formula1>0</formula1>
      <formula2>NaN</formula2>
    </dataValidation>
    <dataValidation type="decimal" allowBlank="1" showInputMessage="1" prompt="Dear Sir/ Madam - Score entered is greater than Max. Marks allotted." showErrorMessage="1" sqref="P109">
      <formula1>0</formula1>
      <formula2>NaN</formula2>
    </dataValidation>
    <dataValidation type="decimal" allowBlank="1" showInputMessage="1" prompt="Dear Sir/ Madam - Score entered is greater than Max. Marks allotted." showErrorMessage="1" sqref="P110">
      <formula1>0</formula1>
      <formula2>NaN</formula2>
    </dataValidation>
    <dataValidation type="decimal" allowBlank="1" showInputMessage="1" prompt="Dear Sir/ Madam - Score entered is greater than Max. Marks allotted." showErrorMessage="1" sqref="P111">
      <formula1>0</formula1>
      <formula2>NaN</formula2>
    </dataValidation>
    <dataValidation type="decimal" allowBlank="1" showInputMessage="1" prompt="Dear Sir/ Madam - Score entered is greater than Max. Marks allotted." showErrorMessage="1" sqref="P112">
      <formula1>0</formula1>
      <formula2>NaN</formula2>
    </dataValidation>
    <dataValidation type="decimal" allowBlank="1" showInputMessage="1" prompt="Dear Sir/ Madam - Score entered is greater than Max. Marks allotted." showErrorMessage="1" sqref="P113">
      <formula1>0</formula1>
      <formula2>NaN</formula2>
    </dataValidation>
    <dataValidation type="decimal" allowBlank="1" showInputMessage="1" prompt="Dear Sir/ Madam - Score entered is greater than Max. Marks allotted." showErrorMessage="1" sqref="P114">
      <formula1>0</formula1>
      <formula2>NaN</formula2>
    </dataValidation>
    <dataValidation type="decimal" allowBlank="1" showInputMessage="1" prompt="Dear Sir/ Madam - Score entered is greater than Max. Marks allotted." showErrorMessage="1" sqref="P115">
      <formula1>0</formula1>
      <formula2>NaN</formula2>
    </dataValidation>
    <dataValidation type="decimal" allowBlank="1" showInputMessage="1" prompt="Dear Sir/ Madam - Score entered is greater than Max. Marks allotted." showErrorMessage="1" sqref="P116">
      <formula1>0</formula1>
      <formula2>NaN</formula2>
    </dataValidation>
    <dataValidation type="decimal" allowBlank="1" showInputMessage="1" prompt="Dear Sir/ Madam - Score entered is greater than Max. Marks allotted." showErrorMessage="1" sqref="P117">
      <formula1>0</formula1>
      <formula2>NaN</formula2>
    </dataValidation>
    <dataValidation type="decimal" allowBlank="1" showInputMessage="1" prompt="Dear Sir/ Madam - Score entered is greater than Max. Marks allotted." showErrorMessage="1" sqref="P118">
      <formula1>0</formula1>
      <formula2>NaN</formula2>
    </dataValidation>
    <dataValidation type="decimal" allowBlank="1" showInputMessage="1" prompt="Dear Sir/ Madam - Score entered is greater than Max. Marks allotted." showErrorMessage="1" sqref="P119">
      <formula1>0</formula1>
      <formula2>NaN</formula2>
    </dataValidation>
    <dataValidation type="decimal" allowBlank="1" showInputMessage="1" prompt="Dear Sir/ Madam - Score entered is greater than Max. Marks allotted." showErrorMessage="1" sqref="P120">
      <formula1>0</formula1>
      <formula2>NaN</formula2>
    </dataValidation>
    <dataValidation type="decimal" allowBlank="1" showInputMessage="1" prompt="Dear Sir/ Madam - Score entered is greater than Max. Marks allotted." showErrorMessage="1" sqref="P121">
      <formula1>0</formula1>
      <formula2>NaN</formula2>
    </dataValidation>
    <dataValidation type="decimal" allowBlank="1" showInputMessage="1" prompt="Dear Sir/ Madam - Score entered is greater than Max. Marks allotted." showErrorMessage="1" sqref="P122">
      <formula1>0</formula1>
      <formula2>NaN</formula2>
    </dataValidation>
    <dataValidation type="decimal" allowBlank="1" showInputMessage="1" prompt="Dear Sir/ Madam - Score entered is greater than Max. Marks allotted." showErrorMessage="1" sqref="P123">
      <formula1>0</formula1>
      <formula2>NaN</formula2>
    </dataValidation>
    <dataValidation type="decimal" allowBlank="1" showInputMessage="1" prompt="Dear Sir/ Madam - Score entered is greater than Max. Marks allotted." showErrorMessage="1" sqref="P124">
      <formula1>0</formula1>
      <formula2>NaN</formula2>
    </dataValidation>
    <dataValidation type="decimal" allowBlank="1" showInputMessage="1" prompt="Dear Sir/ Madam - Score entered is greater than Max. Marks allotted." showErrorMessage="1" sqref="P125">
      <formula1>0</formula1>
      <formula2>NaN</formula2>
    </dataValidation>
    <dataValidation type="decimal" allowBlank="1" showInputMessage="1" prompt="Dear Sir/ Madam - Score entered is greater than Max. Marks allotted." showErrorMessage="1" sqref="P126">
      <formula1>0</formula1>
      <formula2>NaN</formula2>
    </dataValidation>
    <dataValidation type="decimal" allowBlank="1" showInputMessage="1" prompt="Dear Sir/ Madam - Score entered is greater than Max. Marks allotted." showErrorMessage="1" sqref="P127">
      <formula1>0</formula1>
      <formula2>NaN</formula2>
    </dataValidation>
    <dataValidation type="decimal" allowBlank="1" showInputMessage="1" prompt="Dear Sir/ Madam - Score entered is greater than Max. Marks allotted." showErrorMessage="1" sqref="P128">
      <formula1>0</formula1>
      <formula2>NaN</formula2>
    </dataValidation>
    <dataValidation type="decimal" allowBlank="1" showInputMessage="1" prompt="Dear Sir/ Madam - Score entered is greater than Max. Marks allotted." showErrorMessage="1" sqref="P129">
      <formula1>0</formula1>
      <formula2>NaN</formula2>
    </dataValidation>
    <dataValidation type="decimal" allowBlank="1" showInputMessage="1" prompt="Dear Sir/ Madam - Score entered is greater than Max. Marks allotted." showErrorMessage="1" sqref="P130">
      <formula1>0</formula1>
      <formula2>NaN</formula2>
    </dataValidation>
    <dataValidation type="decimal" allowBlank="1" showInputMessage="1" prompt="Dear Sir/ Madam - Score entered is greater than Max. Marks allotted." showErrorMessage="1" sqref="P131">
      <formula1>0</formula1>
      <formula2>NaN</formula2>
    </dataValidation>
    <dataValidation type="decimal" allowBlank="1" showInputMessage="1" prompt="Dear Sir/ Madam - Score entered is greater than Max. Marks allotted." showErrorMessage="1" sqref="P132">
      <formula1>0</formula1>
      <formula2>NaN</formula2>
    </dataValidation>
    <dataValidation type="decimal" allowBlank="1" showInputMessage="1" prompt="Dear Sir/ Madam - Score entered is greater than Max. Marks allotted." showErrorMessage="1" sqref="P133">
      <formula1>0</formula1>
      <formula2>NaN</formula2>
    </dataValidation>
    <dataValidation type="decimal" allowBlank="1" showInputMessage="1" prompt="Dear Sir/ Madam - Score entered is greater than Max. Marks allotted." showErrorMessage="1" sqref="P134">
      <formula1>0</formula1>
      <formula2>NaN</formula2>
    </dataValidation>
    <dataValidation type="decimal" allowBlank="1" showInputMessage="1" prompt="Dear Sir/ Madam - Score entered is greater than Max. Marks allotted." showErrorMessage="1" sqref="P135">
      <formula1>0</formula1>
      <formula2>NaN</formula2>
    </dataValidation>
    <dataValidation type="decimal" allowBlank="1" showInputMessage="1" prompt="Dear Sir/ Madam - Score entered is greater than Max. Marks allotted." showErrorMessage="1" sqref="Q108">
      <formula1>0</formula1>
      <formula2>NaN</formula2>
    </dataValidation>
    <dataValidation type="decimal" allowBlank="1" showInputMessage="1" prompt="Dear Sir/ Madam - Score entered is greater than Max. Marks allotted." showErrorMessage="1" sqref="Q109">
      <formula1>0</formula1>
      <formula2>NaN</formula2>
    </dataValidation>
    <dataValidation type="decimal" allowBlank="1" showInputMessage="1" prompt="Dear Sir/ Madam - Score entered is greater than Max. Marks allotted." showErrorMessage="1" sqref="Q110">
      <formula1>0</formula1>
      <formula2>NaN</formula2>
    </dataValidation>
    <dataValidation type="decimal" allowBlank="1" showInputMessage="1" prompt="Dear Sir/ Madam - Score entered is greater than Max. Marks allotted." showErrorMessage="1" sqref="Q111">
      <formula1>0</formula1>
      <formula2>NaN</formula2>
    </dataValidation>
    <dataValidation type="decimal" allowBlank="1" showInputMessage="1" prompt="Dear Sir/ Madam - Score entered is greater than Max. Marks allotted." showErrorMessage="1" sqref="Q112">
      <formula1>0</formula1>
      <formula2>NaN</formula2>
    </dataValidation>
    <dataValidation type="decimal" allowBlank="1" showInputMessage="1" prompt="Dear Sir/ Madam - Score entered is greater than Max. Marks allotted." showErrorMessage="1" sqref="Q113">
      <formula1>0</formula1>
      <formula2>NaN</formula2>
    </dataValidation>
    <dataValidation type="decimal" allowBlank="1" showInputMessage="1" prompt="Dear Sir/ Madam - Score entered is greater than Max. Marks allotted." showErrorMessage="1" sqref="Q114">
      <formula1>0</formula1>
      <formula2>NaN</formula2>
    </dataValidation>
    <dataValidation type="decimal" allowBlank="1" showInputMessage="1" prompt="Dear Sir/ Madam - Score entered is greater than Max. Marks allotted." showErrorMessage="1" sqref="Q115">
      <formula1>0</formula1>
      <formula2>NaN</formula2>
    </dataValidation>
    <dataValidation type="decimal" allowBlank="1" showInputMessage="1" prompt="Dear Sir/ Madam - Score entered is greater than Max. Marks allotted." showErrorMessage="1" sqref="Q116">
      <formula1>0</formula1>
      <formula2>NaN</formula2>
    </dataValidation>
    <dataValidation type="decimal" allowBlank="1" showInputMessage="1" prompt="Dear Sir/ Madam - Score entered is greater than Max. Marks allotted." showErrorMessage="1" sqref="Q117">
      <formula1>0</formula1>
      <formula2>NaN</formula2>
    </dataValidation>
    <dataValidation type="decimal" allowBlank="1" showInputMessage="1" prompt="Dear Sir/ Madam - Score entered is greater than Max. Marks allotted." showErrorMessage="1" sqref="Q118">
      <formula1>0</formula1>
      <formula2>NaN</formula2>
    </dataValidation>
    <dataValidation type="decimal" allowBlank="1" showInputMessage="1" prompt="Dear Sir/ Madam - Score entered is greater than Max. Marks allotted." showErrorMessage="1" sqref="Q119">
      <formula1>0</formula1>
      <formula2>NaN</formula2>
    </dataValidation>
    <dataValidation type="decimal" allowBlank="1" showInputMessage="1" prompt="Dear Sir/ Madam - Score entered is greater than Max. Marks allotted." showErrorMessage="1" sqref="Q120">
      <formula1>0</formula1>
      <formula2>NaN</formula2>
    </dataValidation>
    <dataValidation type="decimal" allowBlank="1" showInputMessage="1" prompt="Dear Sir/ Madam - Score entered is greater than Max. Marks allotted." showErrorMessage="1" sqref="Q121">
      <formula1>0</formula1>
      <formula2>NaN</formula2>
    </dataValidation>
    <dataValidation type="decimal" allowBlank="1" showInputMessage="1" prompt="Dear Sir/ Madam - Score entered is greater than Max. Marks allotted." showErrorMessage="1" sqref="Q122">
      <formula1>0</formula1>
      <formula2>NaN</formula2>
    </dataValidation>
    <dataValidation type="decimal" allowBlank="1" showInputMessage="1" prompt="Dear Sir/ Madam - Score entered is greater than Max. Marks allotted." showErrorMessage="1" sqref="Q123">
      <formula1>0</formula1>
      <formula2>NaN</formula2>
    </dataValidation>
    <dataValidation type="decimal" allowBlank="1" showInputMessage="1" prompt="Dear Sir/ Madam - Score entered is greater than Max. Marks allotted." showErrorMessage="1" sqref="Q124">
      <formula1>0</formula1>
      <formula2>NaN</formula2>
    </dataValidation>
    <dataValidation type="decimal" allowBlank="1" showInputMessage="1" prompt="Dear Sir/ Madam - Score entered is greater than Max. Marks allotted." showErrorMessage="1" sqref="Q125">
      <formula1>0</formula1>
      <formula2>NaN</formula2>
    </dataValidation>
    <dataValidation type="decimal" allowBlank="1" showInputMessage="1" prompt="Dear Sir/ Madam - Score entered is greater than Max. Marks allotted." showErrorMessage="1" sqref="Q126">
      <formula1>0</formula1>
      <formula2>NaN</formula2>
    </dataValidation>
    <dataValidation type="decimal" allowBlank="1" showInputMessage="1" prompt="Dear Sir/ Madam - Score entered is greater than Max. Marks allotted." showErrorMessage="1" sqref="Q127">
      <formula1>0</formula1>
      <formula2>NaN</formula2>
    </dataValidation>
    <dataValidation type="decimal" allowBlank="1" showInputMessage="1" prompt="Dear Sir/ Madam - Score entered is greater than Max. Marks allotted." showErrorMessage="1" sqref="Q128">
      <formula1>0</formula1>
      <formula2>NaN</formula2>
    </dataValidation>
    <dataValidation type="decimal" allowBlank="1" showInputMessage="1" prompt="Dear Sir/ Madam - Score entered is greater than Max. Marks allotted." showErrorMessage="1" sqref="Q129">
      <formula1>0</formula1>
      <formula2>NaN</formula2>
    </dataValidation>
    <dataValidation type="decimal" allowBlank="1" showInputMessage="1" prompt="Dear Sir/ Madam - Score entered is greater than Max. Marks allotted." showErrorMessage="1" sqref="Q130">
      <formula1>0</formula1>
      <formula2>NaN</formula2>
    </dataValidation>
    <dataValidation type="decimal" allowBlank="1" showInputMessage="1" prompt="Dear Sir/ Madam - Score entered is greater than Max. Marks allotted." showErrorMessage="1" sqref="Q131">
      <formula1>0</formula1>
      <formula2>NaN</formula2>
    </dataValidation>
    <dataValidation type="decimal" allowBlank="1" showInputMessage="1" prompt="Dear Sir/ Madam - Score entered is greater than Max. Marks allotted." showErrorMessage="1" sqref="Q132">
      <formula1>0</formula1>
      <formula2>NaN</formula2>
    </dataValidation>
    <dataValidation type="decimal" allowBlank="1" showInputMessage="1" prompt="Dear Sir/ Madam - Score entered is greater than Max. Marks allotted." showErrorMessage="1" sqref="Q133">
      <formula1>0</formula1>
      <formula2>NaN</formula2>
    </dataValidation>
    <dataValidation type="decimal" allowBlank="1" showInputMessage="1" prompt="Dear Sir/ Madam - Score entered is greater than Max. Marks allotted." showErrorMessage="1" sqref="Q134">
      <formula1>0</formula1>
      <formula2>NaN</formula2>
    </dataValidation>
    <dataValidation type="decimal" allowBlank="1" showInputMessage="1" prompt="Dear Sir/ Madam - Score entered is greater than Max. Marks allotted." showErrorMessage="1" sqref="Q135">
      <formula1>0</formula1>
      <formula2>NaN</formula2>
    </dataValidation>
    <dataValidation type="decimal" allowBlank="1" showInputMessage="1" prompt="Dear Sir/ Madam - Score entered is greater than Max. Marks allotted." showErrorMessage="1" sqref="R108">
      <formula1>0</formula1>
      <formula2>NaN</formula2>
    </dataValidation>
    <dataValidation type="decimal" allowBlank="1" showInputMessage="1" prompt="Dear Sir/ Madam - Score entered is greater than Max. Marks allotted." showErrorMessage="1" sqref="R109">
      <formula1>0</formula1>
      <formula2>NaN</formula2>
    </dataValidation>
    <dataValidation type="decimal" allowBlank="1" showInputMessage="1" prompt="Dear Sir/ Madam - Score entered is greater than Max. Marks allotted." showErrorMessage="1" sqref="R110">
      <formula1>0</formula1>
      <formula2>NaN</formula2>
    </dataValidation>
    <dataValidation type="decimal" allowBlank="1" showInputMessage="1" prompt="Dear Sir/ Madam - Score entered is greater than Max. Marks allotted." showErrorMessage="1" sqref="R111">
      <formula1>0</formula1>
      <formula2>NaN</formula2>
    </dataValidation>
    <dataValidation type="decimal" allowBlank="1" showInputMessage="1" prompt="Dear Sir/ Madam - Score entered is greater than Max. Marks allotted." showErrorMessage="1" sqref="R112">
      <formula1>0</formula1>
      <formula2>NaN</formula2>
    </dataValidation>
    <dataValidation type="decimal" allowBlank="1" showInputMessage="1" prompt="Dear Sir/ Madam - Score entered is greater than Max. Marks allotted." showErrorMessage="1" sqref="R113">
      <formula1>0</formula1>
      <formula2>NaN</formula2>
    </dataValidation>
    <dataValidation type="decimal" allowBlank="1" showInputMessage="1" prompt="Dear Sir/ Madam - Score entered is greater than Max. Marks allotted." showErrorMessage="1" sqref="R114">
      <formula1>0</formula1>
      <formula2>NaN</formula2>
    </dataValidation>
    <dataValidation type="decimal" allowBlank="1" showInputMessage="1" prompt="Dear Sir/ Madam - Score entered is greater than Max. Marks allotted." showErrorMessage="1" sqref="R115">
      <formula1>0</formula1>
      <formula2>NaN</formula2>
    </dataValidation>
    <dataValidation type="decimal" allowBlank="1" showInputMessage="1" prompt="Dear Sir/ Madam - Score entered is greater than Max. Marks allotted." showErrorMessage="1" sqref="R116">
      <formula1>0</formula1>
      <formula2>NaN</formula2>
    </dataValidation>
    <dataValidation type="decimal" allowBlank="1" showInputMessage="1" prompt="Dear Sir/ Madam - Score entered is greater than Max. Marks allotted." showErrorMessage="1" sqref="R117">
      <formula1>0</formula1>
      <formula2>NaN</formula2>
    </dataValidation>
    <dataValidation type="decimal" allowBlank="1" showInputMessage="1" prompt="Dear Sir/ Madam - Score entered is greater than Max. Marks allotted." showErrorMessage="1" sqref="R118">
      <formula1>0</formula1>
      <formula2>NaN</formula2>
    </dataValidation>
    <dataValidation type="decimal" allowBlank="1" showInputMessage="1" prompt="Dear Sir/ Madam - Score entered is greater than Max. Marks allotted." showErrorMessage="1" sqref="R119">
      <formula1>0</formula1>
      <formula2>NaN</formula2>
    </dataValidation>
    <dataValidation type="decimal" allowBlank="1" showInputMessage="1" prompt="Dear Sir/ Madam - Score entered is greater than Max. Marks allotted." showErrorMessage="1" sqref="R120">
      <formula1>0</formula1>
      <formula2>NaN</formula2>
    </dataValidation>
    <dataValidation type="decimal" allowBlank="1" showInputMessage="1" prompt="Dear Sir/ Madam - Score entered is greater than Max. Marks allotted." showErrorMessage="1" sqref="R121">
      <formula1>0</formula1>
      <formula2>NaN</formula2>
    </dataValidation>
    <dataValidation type="decimal" allowBlank="1" showInputMessage="1" prompt="Dear Sir/ Madam - Score entered is greater than Max. Marks allotted." showErrorMessage="1" sqref="R122">
      <formula1>0</formula1>
      <formula2>NaN</formula2>
    </dataValidation>
    <dataValidation type="decimal" allowBlank="1" showInputMessage="1" prompt="Dear Sir/ Madam - Score entered is greater than Max. Marks allotted." showErrorMessage="1" sqref="R123">
      <formula1>0</formula1>
      <formula2>NaN</formula2>
    </dataValidation>
    <dataValidation type="decimal" allowBlank="1" showInputMessage="1" prompt="Dear Sir/ Madam - Score entered is greater than Max. Marks allotted." showErrorMessage="1" sqref="R124">
      <formula1>0</formula1>
      <formula2>NaN</formula2>
    </dataValidation>
    <dataValidation type="decimal" allowBlank="1" showInputMessage="1" prompt="Dear Sir/ Madam - Score entered is greater than Max. Marks allotted." showErrorMessage="1" sqref="R125">
      <formula1>0</formula1>
      <formula2>NaN</formula2>
    </dataValidation>
    <dataValidation type="decimal" allowBlank="1" showInputMessage="1" prompt="Dear Sir/ Madam - Score entered is greater than Max. Marks allotted." showErrorMessage="1" sqref="R126">
      <formula1>0</formula1>
      <formula2>NaN</formula2>
    </dataValidation>
    <dataValidation type="decimal" allowBlank="1" showInputMessage="1" prompt="Dear Sir/ Madam - Score entered is greater than Max. Marks allotted." showErrorMessage="1" sqref="R127">
      <formula1>0</formula1>
      <formula2>NaN</formula2>
    </dataValidation>
    <dataValidation type="decimal" allowBlank="1" showInputMessage="1" prompt="Dear Sir/ Madam - Score entered is greater than Max. Marks allotted." showErrorMessage="1" sqref="R128">
      <formula1>0</formula1>
      <formula2>NaN</formula2>
    </dataValidation>
    <dataValidation type="decimal" allowBlank="1" showInputMessage="1" prompt="Dear Sir/ Madam - Score entered is greater than Max. Marks allotted." showErrorMessage="1" sqref="R129">
      <formula1>0</formula1>
      <formula2>NaN</formula2>
    </dataValidation>
    <dataValidation type="decimal" allowBlank="1" showInputMessage="1" prompt="Dear Sir/ Madam - Score entered is greater than Max. Marks allotted." showErrorMessage="1" sqref="R130">
      <formula1>0</formula1>
      <formula2>NaN</formula2>
    </dataValidation>
    <dataValidation type="decimal" allowBlank="1" showInputMessage="1" prompt="Dear Sir/ Madam - Score entered is greater than Max. Marks allotted." showErrorMessage="1" sqref="R131">
      <formula1>0</formula1>
      <formula2>NaN</formula2>
    </dataValidation>
    <dataValidation type="decimal" allowBlank="1" showInputMessage="1" prompt="Dear Sir/ Madam - Score entered is greater than Max. Marks allotted." showErrorMessage="1" sqref="R132">
      <formula1>0</formula1>
      <formula2>NaN</formula2>
    </dataValidation>
    <dataValidation type="decimal" allowBlank="1" showInputMessage="1" prompt="Dear Sir/ Madam - Score entered is greater than Max. Marks allotted." showErrorMessage="1" sqref="R133">
      <formula1>0</formula1>
      <formula2>NaN</formula2>
    </dataValidation>
    <dataValidation type="decimal" allowBlank="1" showInputMessage="1" prompt="Dear Sir/ Madam - Score entered is greater than Max. Marks allotted." showErrorMessage="1" sqref="R134">
      <formula1>0</formula1>
      <formula2>NaN</formula2>
    </dataValidation>
    <dataValidation type="decimal" allowBlank="1" showInputMessage="1" prompt="Dear Sir/ Madam - Score entered is greater than Max. Marks allotted." showErrorMessage="1" sqref="R135">
      <formula1>0</formula1>
      <formula2>NaN</formula2>
    </dataValidation>
    <dataValidation type="decimal" allowBlank="1" showInputMessage="1" prompt="Dear Sir/ Madam - Score entered is greater than Max. Marks allotted." showErrorMessage="1" sqref="S108">
      <formula1>0</formula1>
      <formula2>NaN</formula2>
    </dataValidation>
    <dataValidation type="decimal" allowBlank="1" showInputMessage="1" prompt="Dear Sir/ Madam - Score entered is greater than Max. Marks allotted." showErrorMessage="1" sqref="S109">
      <formula1>0</formula1>
      <formula2>NaN</formula2>
    </dataValidation>
    <dataValidation type="decimal" allowBlank="1" showInputMessage="1" prompt="Dear Sir/ Madam - Score entered is greater than Max. Marks allotted." showErrorMessage="1" sqref="S110">
      <formula1>0</formula1>
      <formula2>NaN</formula2>
    </dataValidation>
    <dataValidation type="decimal" allowBlank="1" showInputMessage="1" prompt="Dear Sir/ Madam - Score entered is greater than Max. Marks allotted." showErrorMessage="1" sqref="S111">
      <formula1>0</formula1>
      <formula2>NaN</formula2>
    </dataValidation>
    <dataValidation type="decimal" allowBlank="1" showInputMessage="1" prompt="Dear Sir/ Madam - Score entered is greater than Max. Marks allotted." showErrorMessage="1" sqref="S112">
      <formula1>0</formula1>
      <formula2>NaN</formula2>
    </dataValidation>
    <dataValidation type="decimal" allowBlank="1" showInputMessage="1" prompt="Dear Sir/ Madam - Score entered is greater than Max. Marks allotted." showErrorMessage="1" sqref="S113">
      <formula1>0</formula1>
      <formula2>NaN</formula2>
    </dataValidation>
    <dataValidation type="decimal" allowBlank="1" showInputMessage="1" prompt="Dear Sir/ Madam - Score entered is greater than Max. Marks allotted." showErrorMessage="1" sqref="S114">
      <formula1>0</formula1>
      <formula2>NaN</formula2>
    </dataValidation>
    <dataValidation type="decimal" allowBlank="1" showInputMessage="1" prompt="Dear Sir/ Madam - Score entered is greater than Max. Marks allotted." showErrorMessage="1" sqref="S115">
      <formula1>0</formula1>
      <formula2>NaN</formula2>
    </dataValidation>
    <dataValidation type="decimal" allowBlank="1" showInputMessage="1" prompt="Dear Sir/ Madam - Score entered is greater than Max. Marks allotted." showErrorMessage="1" sqref="S116">
      <formula1>0</formula1>
      <formula2>NaN</formula2>
    </dataValidation>
    <dataValidation type="decimal" allowBlank="1" showInputMessage="1" prompt="Dear Sir/ Madam - Score entered is greater than Max. Marks allotted." showErrorMessage="1" sqref="S117">
      <formula1>0</formula1>
      <formula2>NaN</formula2>
    </dataValidation>
    <dataValidation type="decimal" allowBlank="1" showInputMessage="1" prompt="Dear Sir/ Madam - Score entered is greater than Max. Marks allotted." showErrorMessage="1" sqref="S118">
      <formula1>0</formula1>
      <formula2>NaN</formula2>
    </dataValidation>
    <dataValidation type="decimal" allowBlank="1" showInputMessage="1" prompt="Dear Sir/ Madam - Score entered is greater than Max. Marks allotted." showErrorMessage="1" sqref="S119">
      <formula1>0</formula1>
      <formula2>NaN</formula2>
    </dataValidation>
    <dataValidation type="decimal" allowBlank="1" showInputMessage="1" prompt="Dear Sir/ Madam - Score entered is greater than Max. Marks allotted." showErrorMessage="1" sqref="S120">
      <formula1>0</formula1>
      <formula2>NaN</formula2>
    </dataValidation>
    <dataValidation type="decimal" allowBlank="1" showInputMessage="1" prompt="Dear Sir/ Madam - Score entered is greater than Max. Marks allotted." showErrorMessage="1" sqref="S121">
      <formula1>0</formula1>
      <formula2>NaN</formula2>
    </dataValidation>
    <dataValidation type="decimal" allowBlank="1" showInputMessage="1" prompt="Dear Sir/ Madam - Score entered is greater than Max. Marks allotted." showErrorMessage="1" sqref="S122">
      <formula1>0</formula1>
      <formula2>NaN</formula2>
    </dataValidation>
    <dataValidation type="decimal" allowBlank="1" showInputMessage="1" prompt="Dear Sir/ Madam - Score entered is greater than Max. Marks allotted." showErrorMessage="1" sqref="S123">
      <formula1>0</formula1>
      <formula2>NaN</formula2>
    </dataValidation>
    <dataValidation type="decimal" allowBlank="1" showInputMessage="1" prompt="Dear Sir/ Madam - Score entered is greater than Max. Marks allotted." showErrorMessage="1" sqref="S124">
      <formula1>0</formula1>
      <formula2>NaN</formula2>
    </dataValidation>
    <dataValidation type="decimal" allowBlank="1" showInputMessage="1" prompt="Dear Sir/ Madam - Score entered is greater than Max. Marks allotted." showErrorMessage="1" sqref="S125">
      <formula1>0</formula1>
      <formula2>NaN</formula2>
    </dataValidation>
    <dataValidation type="decimal" allowBlank="1" showInputMessage="1" prompt="Dear Sir/ Madam - Score entered is greater than Max. Marks allotted." showErrorMessage="1" sqref="S126">
      <formula1>0</formula1>
      <formula2>NaN</formula2>
    </dataValidation>
    <dataValidation type="decimal" allowBlank="1" showInputMessage="1" prompt="Dear Sir/ Madam - Score entered is greater than Max. Marks allotted." showErrorMessage="1" sqref="S127">
      <formula1>0</formula1>
      <formula2>NaN</formula2>
    </dataValidation>
    <dataValidation type="decimal" allowBlank="1" showInputMessage="1" prompt="Dear Sir/ Madam - Score entered is greater than Max. Marks allotted." showErrorMessage="1" sqref="S128">
      <formula1>0</formula1>
      <formula2>NaN</formula2>
    </dataValidation>
    <dataValidation type="decimal" allowBlank="1" showInputMessage="1" prompt="Dear Sir/ Madam - Score entered is greater than Max. Marks allotted." showErrorMessage="1" sqref="S129">
      <formula1>0</formula1>
      <formula2>NaN</formula2>
    </dataValidation>
    <dataValidation type="decimal" allowBlank="1" showInputMessage="1" prompt="Dear Sir/ Madam - Score entered is greater than Max. Marks allotted." showErrorMessage="1" sqref="S130">
      <formula1>0</formula1>
      <formula2>NaN</formula2>
    </dataValidation>
    <dataValidation type="decimal" allowBlank="1" showInputMessage="1" prompt="Dear Sir/ Madam - Score entered is greater than Max. Marks allotted." showErrorMessage="1" sqref="S131">
      <formula1>0</formula1>
      <formula2>NaN</formula2>
    </dataValidation>
    <dataValidation type="decimal" allowBlank="1" showInputMessage="1" prompt="Dear Sir/ Madam - Score entered is greater than Max. Marks allotted." showErrorMessage="1" sqref="S132">
      <formula1>0</formula1>
      <formula2>NaN</formula2>
    </dataValidation>
    <dataValidation type="decimal" allowBlank="1" showInputMessage="1" prompt="Dear Sir/ Madam - Score entered is greater than Max. Marks allotted." showErrorMessage="1" sqref="S133">
      <formula1>0</formula1>
      <formula2>NaN</formula2>
    </dataValidation>
    <dataValidation type="decimal" allowBlank="1" showInputMessage="1" prompt="Dear Sir/ Madam - Score entered is greater than Max. Marks allotted." showErrorMessage="1" sqref="S134">
      <formula1>0</formula1>
      <formula2>NaN</formula2>
    </dataValidation>
    <dataValidation type="decimal" allowBlank="1" showInputMessage="1" prompt="Dear Sir/ Madam - Score entered is greater than Max. Marks allotted." showErrorMessage="1" sqref="S135">
      <formula1>0</formula1>
      <formula2>NaN</formula2>
    </dataValidation>
    <dataValidation type="decimal" allowBlank="1" showInputMessage="1" prompt="Dear Sir/ Madam - Score entered is greater than Max. Marks allotted." showErrorMessage="1" sqref="T100">
      <formula1>0</formula1>
      <formula2>NaN</formula2>
    </dataValidation>
    <dataValidation type="decimal" allowBlank="1" showInputMessage="1" prompt="Dear Sir/ Madam - Score entered is greater than Max. Marks allotted." showErrorMessage="1" sqref="T101">
      <formula1>0</formula1>
      <formula2>NaN</formula2>
    </dataValidation>
    <dataValidation type="decimal" allowBlank="1" showInputMessage="1" prompt="Dear Sir/ Madam - Score entered is greater than Max. Marks allotted." showErrorMessage="1" sqref="T102">
      <formula1>0</formula1>
      <formula2>NaN</formula2>
    </dataValidation>
    <dataValidation type="decimal" allowBlank="1" showInputMessage="1" prompt="Dear Sir/ Madam - Score entered is greater than Max. Marks allotted." showErrorMessage="1" sqref="T103">
      <formula1>0</formula1>
      <formula2>NaN</formula2>
    </dataValidation>
    <dataValidation type="decimal" allowBlank="1" showInputMessage="1" prompt="Dear Sir/ Madam - Score entered is greater than Max. Marks allotted." showErrorMessage="1" sqref="T104">
      <formula1>0</formula1>
      <formula2>NaN</formula2>
    </dataValidation>
    <dataValidation type="decimal" allowBlank="1" showInputMessage="1" prompt="Dear Sir/ Madam - Score entered is greater than Max. Marks allotted." showErrorMessage="1" sqref="T105">
      <formula1>0</formula1>
      <formula2>NaN</formula2>
    </dataValidation>
    <dataValidation type="decimal" allowBlank="1" showInputMessage="1" prompt="Dear Sir/ Madam - Score entered is greater than Max. Marks allotted." showErrorMessage="1" sqref="T106">
      <formula1>0</formula1>
      <formula2>NaN</formula2>
    </dataValidation>
    <dataValidation type="decimal" allowBlank="1" showInputMessage="1" prompt="Dear Sir/ Madam - Score entered is greater than Max. Marks allotted." showErrorMessage="1" sqref="T107">
      <formula1>0</formula1>
      <formula2>NaN</formula2>
    </dataValidation>
    <dataValidation type="decimal" allowBlank="1" showInputMessage="1" prompt="Dear Sir/ Madam - Score entered is greater than Max. Marks allotted." showErrorMessage="1" sqref="T108">
      <formula1>0</formula1>
      <formula2>NaN</formula2>
    </dataValidation>
    <dataValidation type="decimal" allowBlank="1" showInputMessage="1" prompt="Dear Sir/ Madam - Score entered is greater than Max. Marks allotted." showErrorMessage="1" sqref="T109">
      <formula1>0</formula1>
      <formula2>NaN</formula2>
    </dataValidation>
    <dataValidation type="decimal" allowBlank="1" showInputMessage="1" prompt="Dear Sir/ Madam - Score entered is greater than Max. Marks allotted." showErrorMessage="1" sqref="T110">
      <formula1>0</formula1>
      <formula2>NaN</formula2>
    </dataValidation>
    <dataValidation type="decimal" allowBlank="1" showInputMessage="1" prompt="Dear Sir/ Madam - Score entered is greater than Max. Marks allotted." showErrorMessage="1" sqref="T111">
      <formula1>0</formula1>
      <formula2>NaN</formula2>
    </dataValidation>
    <dataValidation type="decimal" allowBlank="1" showInputMessage="1" prompt="Dear Sir/ Madam - Score entered is greater than Max. Marks allotted." showErrorMessage="1" sqref="T112">
      <formula1>0</formula1>
      <formula2>NaN</formula2>
    </dataValidation>
    <dataValidation type="decimal" allowBlank="1" showInputMessage="1" prompt="Dear Sir/ Madam - Score entered is greater than Max. Marks allotted." showErrorMessage="1" sqref="T113">
      <formula1>0</formula1>
      <formula2>NaN</formula2>
    </dataValidation>
    <dataValidation type="decimal" allowBlank="1" showInputMessage="1" prompt="Dear Sir/ Madam - Score entered is greater than Max. Marks allotted." showErrorMessage="1" sqref="T114">
      <formula1>0</formula1>
      <formula2>NaN</formula2>
    </dataValidation>
    <dataValidation type="decimal" allowBlank="1" showInputMessage="1" prompt="Dear Sir/ Madam - Score entered is greater than Max. Marks allotted." showErrorMessage="1" sqref="T115">
      <formula1>0</formula1>
      <formula2>NaN</formula2>
    </dataValidation>
    <dataValidation type="decimal" allowBlank="1" showInputMessage="1" prompt="Dear Sir/ Madam - Score entered is greater than Max. Marks allotted." showErrorMessage="1" sqref="T116">
      <formula1>0</formula1>
      <formula2>NaN</formula2>
    </dataValidation>
    <dataValidation type="decimal" allowBlank="1" showInputMessage="1" prompt="Dear Sir/ Madam - Score entered is greater than Max. Marks allotted." showErrorMessage="1" sqref="T117">
      <formula1>0</formula1>
      <formula2>NaN</formula2>
    </dataValidation>
    <dataValidation type="decimal" allowBlank="1" showInputMessage="1" prompt="Dear Sir/ Madam - Score entered is greater than Max. Marks allotted." showErrorMessage="1" sqref="T118">
      <formula1>0</formula1>
      <formula2>NaN</formula2>
    </dataValidation>
    <dataValidation type="decimal" allowBlank="1" showInputMessage="1" prompt="Dear Sir/ Madam - Score entered is greater than Max. Marks allotted." showErrorMessage="1" sqref="T119">
      <formula1>0</formula1>
      <formula2>NaN</formula2>
    </dataValidation>
    <dataValidation type="decimal" allowBlank="1" showInputMessage="1" prompt="Dear Sir/ Madam - Score entered is greater than Max. Marks allotted." showErrorMessage="1" sqref="T120">
      <formula1>0</formula1>
      <formula2>NaN</formula2>
    </dataValidation>
    <dataValidation type="decimal" allowBlank="1" showInputMessage="1" prompt="Dear Sir/ Madam - Score entered is greater than Max. Marks allotted." showErrorMessage="1" sqref="T121">
      <formula1>0</formula1>
      <formula2>NaN</formula2>
    </dataValidation>
    <dataValidation type="decimal" allowBlank="1" showInputMessage="1" prompt="Dear Sir/ Madam - Score entered is greater than Max. Marks allotted." showErrorMessage="1" sqref="T122">
      <formula1>0</formula1>
      <formula2>NaN</formula2>
    </dataValidation>
    <dataValidation type="decimal" allowBlank="1" showInputMessage="1" prompt="Dear Sir/ Madam - Score entered is greater than Max. Marks allotted." showErrorMessage="1" sqref="T123">
      <formula1>0</formula1>
      <formula2>NaN</formula2>
    </dataValidation>
    <dataValidation type="decimal" allowBlank="1" showInputMessage="1" prompt="Dear Sir/ Madam - Score entered is greater than Max. Marks allotted." showErrorMessage="1" sqref="T124">
      <formula1>0</formula1>
      <formula2>NaN</formula2>
    </dataValidation>
    <dataValidation type="decimal" allowBlank="1" showInputMessage="1" prompt="Dear Sir/ Madam - Score entered is greater than Max. Marks allotted." showErrorMessage="1" sqref="T125">
      <formula1>0</formula1>
      <formula2>NaN</formula2>
    </dataValidation>
    <dataValidation type="decimal" allowBlank="1" showInputMessage="1" prompt="Dear Sir/ Madam - Score entered is greater than Max. Marks allotted." showErrorMessage="1" sqref="T126">
      <formula1>0</formula1>
      <formula2>NaN</formula2>
    </dataValidation>
    <dataValidation type="decimal" allowBlank="1" showInputMessage="1" prompt="Dear Sir/ Madam - Score entered is greater than Max. Marks allotted." showErrorMessage="1" sqref="T127">
      <formula1>0</formula1>
      <formula2>NaN</formula2>
    </dataValidation>
    <dataValidation type="decimal" allowBlank="1" showInputMessage="1" prompt="Dear Sir/ Madam - Score entered is greater than Max. Marks allotted." showErrorMessage="1" sqref="T128">
      <formula1>0</formula1>
      <formula2>NaN</formula2>
    </dataValidation>
    <dataValidation type="decimal" allowBlank="1" showInputMessage="1" prompt="Dear Sir/ Madam - Score entered is greater than Max. Marks allotted." showErrorMessage="1" sqref="T129">
      <formula1>0</formula1>
      <formula2>NaN</formula2>
    </dataValidation>
    <dataValidation type="decimal" allowBlank="1" showInputMessage="1" prompt="Dear Sir/ Madam - Score entered is greater than Max. Marks allotted." showErrorMessage="1" sqref="T130">
      <formula1>0</formula1>
      <formula2>NaN</formula2>
    </dataValidation>
    <dataValidation type="decimal" allowBlank="1" showInputMessage="1" prompt="Dear Sir/ Madam - Score entered is greater than Max. Marks allotted." showErrorMessage="1" sqref="T131">
      <formula1>0</formula1>
      <formula2>NaN</formula2>
    </dataValidation>
    <dataValidation type="decimal" allowBlank="1" showInputMessage="1" prompt="Dear Sir/ Madam - Score entered is greater than Max. Marks allotted." showErrorMessage="1" sqref="T132">
      <formula1>0</formula1>
      <formula2>NaN</formula2>
    </dataValidation>
    <dataValidation type="decimal" allowBlank="1" showInputMessage="1" prompt="Dear Sir/ Madam - Score entered is greater than Max. Marks allotted." showErrorMessage="1" sqref="T133">
      <formula1>0</formula1>
      <formula2>NaN</formula2>
    </dataValidation>
    <dataValidation type="decimal" allowBlank="1" showInputMessage="1" prompt="Dear Sir/ Madam - Score entered is greater than Max. Marks allotted." showErrorMessage="1" sqref="T134">
      <formula1>0</formula1>
      <formula2>NaN</formula2>
    </dataValidation>
    <dataValidation type="decimal" allowBlank="1" showInputMessage="1" prompt="Dear Sir/ Madam - Score entered is greater than Max. Marks allotted." showErrorMessage="1" sqref="T135">
      <formula1>0</formula1>
      <formula2>NaN</formula2>
    </dataValidation>
    <dataValidation type="decimal" allowBlank="1" showInputMessage="1" prompt="Dear Sir/ Madam - Score entered is greater than Max. Marks allotted." showErrorMessage="1" sqref="T24">
      <formula1>0</formula1>
      <formula2>NaN</formula2>
    </dataValidation>
    <dataValidation type="decimal" allowBlank="1" showInputMessage="1" prompt="Dear Sir/ Madam - Score entered is greater than Max. Marks allotted." showErrorMessage="1" sqref="T25">
      <formula1>0</formula1>
      <formula2>NaN</formula2>
    </dataValidation>
    <dataValidation type="decimal" allowBlank="1" showInputMessage="1" prompt="Dear Sir/ Madam - Score entered is greater than Max. Marks allotted." showErrorMessage="1" sqref="T26">
      <formula1>0</formula1>
      <formula2>NaN</formula2>
    </dataValidation>
    <dataValidation type="decimal" allowBlank="1" showInputMessage="1" prompt="Dear Sir/ Madam - Score entered is greater than Max. Marks allotted." showErrorMessage="1" sqref="T27">
      <formula1>0</formula1>
      <formula2>NaN</formula2>
    </dataValidation>
    <dataValidation type="decimal" allowBlank="1" showInputMessage="1" prompt="Dear Sir/ Madam - Score entered is greater than Max. Marks allotted." showErrorMessage="1" sqref="T28">
      <formula1>0</formula1>
      <formula2>NaN</formula2>
    </dataValidation>
    <dataValidation type="decimal" allowBlank="1" showInputMessage="1" prompt="Dear Sir/ Madam - Score entered is greater than Max. Marks allotted." showErrorMessage="1" sqref="T29">
      <formula1>0</formula1>
      <formula2>NaN</formula2>
    </dataValidation>
    <dataValidation type="decimal" allowBlank="1" showInputMessage="1" prompt="Dear Sir/ Madam - Score entered is greater than Max. Marks allotted." showErrorMessage="1" sqref="T30">
      <formula1>0</formula1>
      <formula2>NaN</formula2>
    </dataValidation>
    <dataValidation type="decimal" allowBlank="1" showInputMessage="1" prompt="Dear Sir/ Madam - Score entered is greater than Max. Marks allotted." showErrorMessage="1" sqref="T31">
      <formula1>0</formula1>
      <formula2>NaN</formula2>
    </dataValidation>
    <dataValidation type="decimal" allowBlank="1" showInputMessage="1" prompt="Dear Sir/ Madam - Score entered is greater than Max. Marks allotted." showErrorMessage="1" sqref="T32">
      <formula1>0</formula1>
      <formula2>NaN</formula2>
    </dataValidation>
    <dataValidation type="decimal" allowBlank="1" showInputMessage="1" prompt="Dear Sir/ Madam - Score entered is greater than Max. Marks allotted." showErrorMessage="1" sqref="T33">
      <formula1>0</formula1>
      <formula2>NaN</formula2>
    </dataValidation>
    <dataValidation type="decimal" allowBlank="1" showInputMessage="1" prompt="Dear Sir/ Madam - Score entered is greater than Max. Marks allotted." showErrorMessage="1" sqref="T34">
      <formula1>0</formula1>
      <formula2>NaN</formula2>
    </dataValidation>
    <dataValidation type="decimal" allowBlank="1" showInputMessage="1" prompt="Dear Sir/ Madam - Score entered is greater than Max. Marks allotted." showErrorMessage="1" sqref="T35">
      <formula1>0</formula1>
      <formula2>NaN</formula2>
    </dataValidation>
    <dataValidation type="decimal" allowBlank="1" showInputMessage="1" prompt="Dear Sir/ Madam - Score entered is greater than Max. Marks allotted." showErrorMessage="1" sqref="T36">
      <formula1>0</formula1>
      <formula2>NaN</formula2>
    </dataValidation>
    <dataValidation type="decimal" allowBlank="1" showInputMessage="1" prompt="Dear Sir/ Madam - Score entered is greater than Max. Marks allotted." showErrorMessage="1" sqref="T37">
      <formula1>0</formula1>
      <formula2>NaN</formula2>
    </dataValidation>
    <dataValidation type="decimal" allowBlank="1" showInputMessage="1" prompt="Dear Sir/ Madam - Score entered is greater than Max. Marks allotted." showErrorMessage="1" sqref="T38">
      <formula1>0</formula1>
      <formula2>NaN</formula2>
    </dataValidation>
    <dataValidation type="decimal" allowBlank="1" showInputMessage="1" prompt="Dear Sir/ Madam - Score entered is greater than Max. Marks allotted." showErrorMessage="1" sqref="T39">
      <formula1>0</formula1>
      <formula2>NaN</formula2>
    </dataValidation>
    <dataValidation type="decimal" allowBlank="1" showInputMessage="1" prompt="Dear Sir/ Madam - Score entered is greater than Max. Marks allotted." showErrorMessage="1" sqref="T40">
      <formula1>0</formula1>
      <formula2>NaN</formula2>
    </dataValidation>
    <dataValidation type="decimal" allowBlank="1" showInputMessage="1" prompt="Dear Sir/ Madam - Score entered is greater than Max. Marks allotted." showErrorMessage="1" sqref="T41">
      <formula1>0</formula1>
      <formula2>NaN</formula2>
    </dataValidation>
    <dataValidation type="decimal" allowBlank="1" showInputMessage="1" prompt="Dear Sir/ Madam - Score entered is greater than Max. Marks allotted." showErrorMessage="1" sqref="T42">
      <formula1>0</formula1>
      <formula2>NaN</formula2>
    </dataValidation>
    <dataValidation type="decimal" allowBlank="1" showInputMessage="1" prompt="Dear Sir/ Madam - Score entered is greater than Max. Marks allotted." showErrorMessage="1" sqref="T43">
      <formula1>0</formula1>
      <formula2>NaN</formula2>
    </dataValidation>
    <dataValidation type="decimal" allowBlank="1" showInputMessage="1" prompt="Dear Sir/ Madam - Score entered is greater than Max. Marks allotted." showErrorMessage="1" sqref="T44">
      <formula1>0</formula1>
      <formula2>NaN</formula2>
    </dataValidation>
    <dataValidation type="decimal" allowBlank="1" showInputMessage="1" prompt="Dear Sir/ Madam - Score entered is greater than Max. Marks allotted." showErrorMessage="1" sqref="T45">
      <formula1>0</formula1>
      <formula2>NaN</formula2>
    </dataValidation>
    <dataValidation type="decimal" allowBlank="1" showInputMessage="1" prompt="Dear Sir/ Madam - Score entered is greater than Max. Marks allotted." showErrorMessage="1" sqref="T46">
      <formula1>0</formula1>
      <formula2>NaN</formula2>
    </dataValidation>
    <dataValidation type="decimal" allowBlank="1" showInputMessage="1" prompt="Dear Sir/ Madam - Score entered is greater than Max. Marks allotted." showErrorMessage="1" sqref="T47">
      <formula1>0</formula1>
      <formula2>NaN</formula2>
    </dataValidation>
    <dataValidation type="decimal" allowBlank="1" showInputMessage="1" prompt="Dear Sir/ Madam - Score entered is greater than Max. Marks allotted." showErrorMessage="1" sqref="T48">
      <formula1>0</formula1>
      <formula2>NaN</formula2>
    </dataValidation>
    <dataValidation type="decimal" allowBlank="1" showInputMessage="1" prompt="Dear Sir/ Madam - Score entered is greater than Max. Marks allotted." showErrorMessage="1" sqref="T49">
      <formula1>0</formula1>
      <formula2>NaN</formula2>
    </dataValidation>
    <dataValidation type="decimal" allowBlank="1" showInputMessage="1" prompt="Dear Sir/ Madam - Score entered is greater than Max. Marks allotted." showErrorMessage="1" sqref="T50">
      <formula1>0</formula1>
      <formula2>NaN</formula2>
    </dataValidation>
    <dataValidation type="decimal" allowBlank="1" showInputMessage="1" prompt="Dear Sir/ Madam - Score entered is greater than Max. Marks allotted." showErrorMessage="1" sqref="T51">
      <formula1>0</formula1>
      <formula2>NaN</formula2>
    </dataValidation>
    <dataValidation type="decimal" allowBlank="1" showInputMessage="1" prompt="Dear Sir/ Madam - Score entered is greater than Max. Marks allotted." showErrorMessage="1" sqref="T52">
      <formula1>0</formula1>
      <formula2>NaN</formula2>
    </dataValidation>
    <dataValidation type="decimal" allowBlank="1" showInputMessage="1" prompt="Dear Sir/ Madam - Score entered is greater than Max. Marks allotted." showErrorMessage="1" sqref="T53">
      <formula1>0</formula1>
      <formula2>NaN</formula2>
    </dataValidation>
    <dataValidation type="decimal" allowBlank="1" showInputMessage="1" prompt="Dear Sir/ Madam - Score entered is greater than Max. Marks allotted." showErrorMessage="1" sqref="T54">
      <formula1>0</formula1>
      <formula2>NaN</formula2>
    </dataValidation>
    <dataValidation type="decimal" allowBlank="1" showInputMessage="1" prompt="Dear Sir/ Madam - Score entered is greater than Max. Marks allotted." showErrorMessage="1" sqref="T55">
      <formula1>0</formula1>
      <formula2>NaN</formula2>
    </dataValidation>
    <dataValidation type="decimal" allowBlank="1" showInputMessage="1" prompt="Dear Sir/ Madam - Score entered is greater than Max. Marks allotted." showErrorMessage="1" sqref="T56">
      <formula1>0</formula1>
      <formula2>NaN</formula2>
    </dataValidation>
    <dataValidation type="decimal" allowBlank="1" showInputMessage="1" prompt="Dear Sir/ Madam - Score entered is greater than Max. Marks allotted." showErrorMessage="1" sqref="T57">
      <formula1>0</formula1>
      <formula2>NaN</formula2>
    </dataValidation>
    <dataValidation type="decimal" allowBlank="1" showInputMessage="1" prompt="Dear Sir/ Madam - Score entered is greater than Max. Marks allotted." showErrorMessage="1" sqref="T58">
      <formula1>0</formula1>
      <formula2>NaN</formula2>
    </dataValidation>
    <dataValidation type="decimal" allowBlank="1" showInputMessage="1" prompt="Dear Sir/ Madam - Score entered is greater than Max. Marks allotted." showErrorMessage="1" sqref="T59">
      <formula1>0</formula1>
      <formula2>NaN</formula2>
    </dataValidation>
    <dataValidation type="decimal" allowBlank="1" showInputMessage="1" prompt="Dear Sir/ Madam - Score entered is greater than Max. Marks allotted." showErrorMessage="1" sqref="T60">
      <formula1>0</formula1>
      <formula2>NaN</formula2>
    </dataValidation>
    <dataValidation type="decimal" allowBlank="1" showInputMessage="1" prompt="Dear Sir/ Madam - Score entered is greater than Max. Marks allotted." showErrorMessage="1" sqref="T61">
      <formula1>0</formula1>
      <formula2>NaN</formula2>
    </dataValidation>
    <dataValidation type="decimal" allowBlank="1" showInputMessage="1" prompt="Dear Sir/ Madam - Score entered is greater than Max. Marks allotted." showErrorMessage="1" sqref="T62">
      <formula1>0</formula1>
      <formula2>NaN</formula2>
    </dataValidation>
    <dataValidation type="decimal" allowBlank="1" showInputMessage="1" prompt="Dear Sir/ Madam - Score entered is greater than Max. Marks allotted." showErrorMessage="1" sqref="T63">
      <formula1>0</formula1>
      <formula2>NaN</formula2>
    </dataValidation>
    <dataValidation type="decimal" allowBlank="1" showInputMessage="1" prompt="Dear Sir/ Madam - Score entered is greater than Max. Marks allotted." showErrorMessage="1" sqref="T64">
      <formula1>0</formula1>
      <formula2>NaN</formula2>
    </dataValidation>
    <dataValidation type="decimal" allowBlank="1" showInputMessage="1" prompt="Dear Sir/ Madam - Score entered is greater than Max. Marks allotted." showErrorMessage="1" sqref="T65">
      <formula1>0</formula1>
      <formula2>NaN</formula2>
    </dataValidation>
    <dataValidation type="decimal" allowBlank="1" showInputMessage="1" prompt="Dear Sir/ Madam - Score entered is greater than Max. Marks allotted." showErrorMessage="1" sqref="T66">
      <formula1>0</formula1>
      <formula2>NaN</formula2>
    </dataValidation>
    <dataValidation type="decimal" allowBlank="1" showInputMessage="1" prompt="Dear Sir/ Madam - Score entered is greater than Max. Marks allotted." showErrorMessage="1" sqref="T67">
      <formula1>0</formula1>
      <formula2>NaN</formula2>
    </dataValidation>
    <dataValidation type="decimal" allowBlank="1" showInputMessage="1" prompt="Dear Sir/ Madam - Score entered is greater than Max. Marks allotted." showErrorMessage="1" sqref="T68">
      <formula1>0</formula1>
      <formula2>NaN</formula2>
    </dataValidation>
    <dataValidation type="decimal" allowBlank="1" showInputMessage="1" prompt="Dear Sir/ Madam - Score entered is greater than Max. Marks allotted." showErrorMessage="1" sqref="T69">
      <formula1>0</formula1>
      <formula2>NaN</formula2>
    </dataValidation>
    <dataValidation type="decimal" allowBlank="1" showInputMessage="1" prompt="Dear Sir/ Madam - Score entered is greater than Max. Marks allotted." showErrorMessage="1" sqref="T74">
      <formula1>0</formula1>
      <formula2>NaN</formula2>
    </dataValidation>
    <dataValidation type="decimal" allowBlank="1" showInputMessage="1" prompt="Dear Sir/ Madam - Score entered is greater than Max. Marks allotted." showErrorMessage="1" sqref="T75">
      <formula1>0</formula1>
      <formula2>NaN</formula2>
    </dataValidation>
    <dataValidation type="decimal" allowBlank="1" showInputMessage="1" prompt="Dear Sir/ Madam - Score entered is greater than Max. Marks allotted." showErrorMessage="1" sqref="T76">
      <formula1>0</formula1>
      <formula2>NaN</formula2>
    </dataValidation>
    <dataValidation type="decimal" allowBlank="1" showInputMessage="1" prompt="Dear Sir/ Madam - Score entered is greater than Max. Marks allotted." showErrorMessage="1" sqref="T77">
      <formula1>0</formula1>
      <formula2>NaN</formula2>
    </dataValidation>
    <dataValidation type="decimal" allowBlank="1" showInputMessage="1" prompt="Dear Sir/ Madam - Score entered is greater than Max. Marks allotted." showErrorMessage="1" sqref="T78">
      <formula1>0</formula1>
      <formula2>NaN</formula2>
    </dataValidation>
    <dataValidation type="decimal" allowBlank="1" showInputMessage="1" prompt="Dear Sir/ Madam - Score entered is greater than Max. Marks allotted." showErrorMessage="1" sqref="T79">
      <formula1>0</formula1>
      <formula2>NaN</formula2>
    </dataValidation>
    <dataValidation type="decimal" allowBlank="1" showInputMessage="1" prompt="Dear Sir/ Madam - Score entered is greater than Max. Marks allotted." showErrorMessage="1" sqref="T80">
      <formula1>0</formula1>
      <formula2>NaN</formula2>
    </dataValidation>
    <dataValidation type="decimal" allowBlank="1" showInputMessage="1" prompt="Dear Sir/ Madam - Score entered is greater than Max. Marks allotted." showErrorMessage="1" sqref="T81">
      <formula1>0</formula1>
      <formula2>NaN</formula2>
    </dataValidation>
    <dataValidation type="decimal" allowBlank="1" showInputMessage="1" prompt="Dear Sir/ Madam - Score entered is greater than Max. Marks allotted." showErrorMessage="1" sqref="T82">
      <formula1>0</formula1>
      <formula2>NaN</formula2>
    </dataValidation>
    <dataValidation type="decimal" allowBlank="1" showInputMessage="1" prompt="Dear Sir/ Madam - Score entered is greater than Max. Marks allotted." showErrorMessage="1" sqref="T83">
      <formula1>0</formula1>
      <formula2>NaN</formula2>
    </dataValidation>
    <dataValidation type="decimal" allowBlank="1" showInputMessage="1" prompt="Dear Sir/ Madam - Score entered is greater than Max. Marks allotted." showErrorMessage="1" sqref="T84">
      <formula1>0</formula1>
      <formula2>NaN</formula2>
    </dataValidation>
    <dataValidation type="decimal" allowBlank="1" showInputMessage="1" prompt="Dear Sir/ Madam - Score entered is greater than Max. Marks allotted." showErrorMessage="1" sqref="T85">
      <formula1>0</formula1>
      <formula2>NaN</formula2>
    </dataValidation>
    <dataValidation type="decimal" allowBlank="1" showInputMessage="1" prompt="Dear Sir/ Madam - Score entered is greater than Max. Marks allotted." showErrorMessage="1" sqref="T86">
      <formula1>0</formula1>
      <formula2>NaN</formula2>
    </dataValidation>
    <dataValidation type="decimal" allowBlank="1" showInputMessage="1" prompt="Dear Sir/ Madam - Score entered is greater than Max. Marks allotted." showErrorMessage="1" sqref="T87">
      <formula1>0</formula1>
      <formula2>NaN</formula2>
    </dataValidation>
    <dataValidation type="decimal" allowBlank="1" showInputMessage="1" prompt="Dear Sir/ Madam - Score entered is greater than Max. Marks allotted." showErrorMessage="1" sqref="T88">
      <formula1>0</formula1>
      <formula2>NaN</formula2>
    </dataValidation>
    <dataValidation type="decimal" allowBlank="1" showInputMessage="1" prompt="Dear Sir/ Madam - Score entered is greater than Max. Marks allotted." showErrorMessage="1" sqref="T89">
      <formula1>0</formula1>
      <formula2>NaN</formula2>
    </dataValidation>
    <dataValidation type="decimal" allowBlank="1" showInputMessage="1" prompt="Dear Sir/ Madam - Score entered is greater than Max. Marks allotted." showErrorMessage="1" sqref="T90">
      <formula1>0</formula1>
      <formula2>NaN</formula2>
    </dataValidation>
    <dataValidation type="decimal" allowBlank="1" showInputMessage="1" prompt="Dear Sir/ Madam - Score entered is greater than Max. Marks allotted." showErrorMessage="1" sqref="T91">
      <formula1>0</formula1>
      <formula2>NaN</formula2>
    </dataValidation>
    <dataValidation type="decimal" allowBlank="1" showInputMessage="1" prompt="Dear Sir/ Madam - Score entered is greater than Max. Marks allotted." showErrorMessage="1" sqref="T92">
      <formula1>0</formula1>
      <formula2>NaN</formula2>
    </dataValidation>
    <dataValidation type="decimal" allowBlank="1" showInputMessage="1" prompt="Dear Sir/ Madam - Score entered is greater than Max. Marks allotted." showErrorMessage="1" sqref="T93">
      <formula1>0</formula1>
      <formula2>NaN</formula2>
    </dataValidation>
    <dataValidation type="decimal" allowBlank="1" showInputMessage="1" prompt="Dear Sir/ Madam - Score entered is greater than Max. Marks allotted." showErrorMessage="1" sqref="T94">
      <formula1>0</formula1>
      <formula2>NaN</formula2>
    </dataValidation>
    <dataValidation type="decimal" allowBlank="1" showInputMessage="1" prompt="Dear Sir/ Madam - Score entered is greater than Max. Marks allotted." showErrorMessage="1" sqref="T95">
      <formula1>0</formula1>
      <formula2>NaN</formula2>
    </dataValidation>
    <dataValidation type="decimal" allowBlank="1" showInputMessage="1" prompt="Dear Sir/ Madam - Score entered is greater than Max. Marks allotted." showErrorMessage="1" sqref="T96">
      <formula1>0</formula1>
      <formula2>NaN</formula2>
    </dataValidation>
    <dataValidation type="decimal" allowBlank="1" showInputMessage="1" prompt="Dear Sir/ Madam - Score entered is greater than Max. Marks allotted." showErrorMessage="1" sqref="T97">
      <formula1>0</formula1>
      <formula2>NaN</formula2>
    </dataValidation>
    <dataValidation type="decimal" allowBlank="1" showInputMessage="1" prompt="Dear Sir/ Madam - Score entered is greater than Max. Marks allotted." showErrorMessage="1" sqref="T98">
      <formula1>0</formula1>
      <formula2>NaN</formula2>
    </dataValidation>
    <dataValidation type="decimal" allowBlank="1" showInputMessage="1" prompt="Dear Sir/ Madam - Score entered is greater than Max. Marks allotted." showErrorMessage="1" sqref="T99">
      <formula1>0</formula1>
      <formula2>NaN</formula2>
    </dataValidation>
    <dataValidation type="decimal" allowBlank="1" showInputMessage="1" prompt="Dear Sir/ Madam - Score entered is greater than Max. Marks allotted." showErrorMessage="1" sqref="U108">
      <formula1>0</formula1>
      <formula2>NaN</formula2>
    </dataValidation>
    <dataValidation type="decimal" allowBlank="1" showInputMessage="1" prompt="Dear Sir/ Madam - Score entered is greater than Max. Marks allotted." showErrorMessage="1" sqref="U109">
      <formula1>0</formula1>
      <formula2>NaN</formula2>
    </dataValidation>
    <dataValidation type="decimal" allowBlank="1" showInputMessage="1" prompt="Dear Sir/ Madam - Score entered is greater than Max. Marks allotted." showErrorMessage="1" sqref="U110">
      <formula1>0</formula1>
      <formula2>NaN</formula2>
    </dataValidation>
    <dataValidation type="decimal" allowBlank="1" showInputMessage="1" prompt="Dear Sir/ Madam - Score entered is greater than Max. Marks allotted." showErrorMessage="1" sqref="U111">
      <formula1>0</formula1>
      <formula2>NaN</formula2>
    </dataValidation>
    <dataValidation type="decimal" allowBlank="1" showInputMessage="1" prompt="Dear Sir/ Madam - Score entered is greater than Max. Marks allotted." showErrorMessage="1" sqref="U112">
      <formula1>0</formula1>
      <formula2>NaN</formula2>
    </dataValidation>
    <dataValidation type="decimal" allowBlank="1" showInputMessage="1" prompt="Dear Sir/ Madam - Score entered is greater than Max. Marks allotted." showErrorMessage="1" sqref="U113">
      <formula1>0</formula1>
      <formula2>NaN</formula2>
    </dataValidation>
    <dataValidation type="decimal" allowBlank="1" showInputMessage="1" prompt="Dear Sir/ Madam - Score entered is greater than Max. Marks allotted." showErrorMessage="1" sqref="U114">
      <formula1>0</formula1>
      <formula2>NaN</formula2>
    </dataValidation>
    <dataValidation type="decimal" allowBlank="1" showInputMessage="1" prompt="Dear Sir/ Madam - Score entered is greater than Max. Marks allotted." showErrorMessage="1" sqref="U115">
      <formula1>0</formula1>
      <formula2>NaN</formula2>
    </dataValidation>
    <dataValidation type="decimal" allowBlank="1" showInputMessage="1" prompt="Dear Sir/ Madam - Score entered is greater than Max. Marks allotted." showErrorMessage="1" sqref="U116">
      <formula1>0</formula1>
      <formula2>NaN</formula2>
    </dataValidation>
    <dataValidation type="decimal" allowBlank="1" showInputMessage="1" prompt="Dear Sir/ Madam - Score entered is greater than Max. Marks allotted." showErrorMessage="1" sqref="U117">
      <formula1>0</formula1>
      <formula2>NaN</formula2>
    </dataValidation>
    <dataValidation type="decimal" allowBlank="1" showInputMessage="1" prompt="Dear Sir/ Madam - Score entered is greater than Max. Marks allotted." showErrorMessage="1" sqref="U118">
      <formula1>0</formula1>
      <formula2>NaN</formula2>
    </dataValidation>
    <dataValidation type="decimal" allowBlank="1" showInputMessage="1" prompt="Dear Sir/ Madam - Score entered is greater than Max. Marks allotted." showErrorMessage="1" sqref="U119">
      <formula1>0</formula1>
      <formula2>NaN</formula2>
    </dataValidation>
    <dataValidation type="decimal" allowBlank="1" showInputMessage="1" prompt="Dear Sir/ Madam - Score entered is greater than Max. Marks allotted." showErrorMessage="1" sqref="U120">
      <formula1>0</formula1>
      <formula2>NaN</formula2>
    </dataValidation>
    <dataValidation type="decimal" allowBlank="1" showInputMessage="1" prompt="Dear Sir/ Madam - Score entered is greater than Max. Marks allotted." showErrorMessage="1" sqref="U121">
      <formula1>0</formula1>
      <formula2>NaN</formula2>
    </dataValidation>
    <dataValidation type="decimal" allowBlank="1" showInputMessage="1" prompt="Dear Sir/ Madam - Score entered is greater than Max. Marks allotted." showErrorMessage="1" sqref="U122">
      <formula1>0</formula1>
      <formula2>NaN</formula2>
    </dataValidation>
    <dataValidation type="decimal" allowBlank="1" showInputMessage="1" prompt="Dear Sir/ Madam - Score entered is greater than Max. Marks allotted." showErrorMessage="1" sqref="U123">
      <formula1>0</formula1>
      <formula2>NaN</formula2>
    </dataValidation>
    <dataValidation type="decimal" allowBlank="1" showInputMessage="1" prompt="Dear Sir/ Madam - Score entered is greater than Max. Marks allotted." showErrorMessage="1" sqref="U124">
      <formula1>0</formula1>
      <formula2>NaN</formula2>
    </dataValidation>
    <dataValidation type="decimal" allowBlank="1" showInputMessage="1" prompt="Dear Sir/ Madam - Score entered is greater than Max. Marks allotted." showErrorMessage="1" sqref="U125">
      <formula1>0</formula1>
      <formula2>NaN</formula2>
    </dataValidation>
    <dataValidation type="decimal" allowBlank="1" showInputMessage="1" prompt="Dear Sir/ Madam - Score entered is greater than Max. Marks allotted." showErrorMessage="1" sqref="U126">
      <formula1>0</formula1>
      <formula2>NaN</formula2>
    </dataValidation>
    <dataValidation type="decimal" allowBlank="1" showInputMessage="1" prompt="Dear Sir/ Madam - Score entered is greater than Max. Marks allotted." showErrorMessage="1" sqref="U127">
      <formula1>0</formula1>
      <formula2>NaN</formula2>
    </dataValidation>
    <dataValidation type="decimal" allowBlank="1" showInputMessage="1" prompt="Dear Sir/ Madam - Score entered is greater than Max. Marks allotted." showErrorMessage="1" sqref="U128">
      <formula1>0</formula1>
      <formula2>NaN</formula2>
    </dataValidation>
    <dataValidation type="decimal" allowBlank="1" showInputMessage="1" prompt="Dear Sir/ Madam - Score entered is greater than Max. Marks allotted." showErrorMessage="1" sqref="U129">
      <formula1>0</formula1>
      <formula2>NaN</formula2>
    </dataValidation>
    <dataValidation type="decimal" allowBlank="1" showInputMessage="1" prompt="Dear Sir/ Madam - Score entered is greater than Max. Marks allotted." showErrorMessage="1" sqref="U130">
      <formula1>0</formula1>
      <formula2>NaN</formula2>
    </dataValidation>
    <dataValidation type="decimal" allowBlank="1" showInputMessage="1" prompt="Dear Sir/ Madam - Score entered is greater than Max. Marks allotted." showErrorMessage="1" sqref="U131">
      <formula1>0</formula1>
      <formula2>NaN</formula2>
    </dataValidation>
    <dataValidation type="decimal" allowBlank="1" showInputMessage="1" prompt="Dear Sir/ Madam - Score entered is greater than Max. Marks allotted." showErrorMessage="1" sqref="U132">
      <formula1>0</formula1>
      <formula2>NaN</formula2>
    </dataValidation>
    <dataValidation type="decimal" allowBlank="1" showInputMessage="1" prompt="Dear Sir/ Madam - Score entered is greater than Max. Marks allotted." showErrorMessage="1" sqref="U133">
      <formula1>0</formula1>
      <formula2>NaN</formula2>
    </dataValidation>
    <dataValidation type="decimal" allowBlank="1" showInputMessage="1" prompt="Dear Sir/ Madam - Score entered is greater than Max. Marks allotted." showErrorMessage="1" sqref="U134">
      <formula1>0</formula1>
      <formula2>NaN</formula2>
    </dataValidation>
    <dataValidation type="decimal" allowBlank="1" showInputMessage="1" prompt="Dear Sir/ Madam - Score entered is greater than Max. Marks allotted." showErrorMessage="1" sqref="U135">
      <formula1>0</formula1>
      <formula2>NaN</formula2>
    </dataValidation>
    <dataValidation type="decimal" allowBlank="1" showInputMessage="1" prompt="Dear Sir/ Madam - Score entered is greater than Max. Marks allotted." showErrorMessage="1" sqref="V108">
      <formula1>0</formula1>
      <formula2>NaN</formula2>
    </dataValidation>
    <dataValidation type="decimal" allowBlank="1" showInputMessage="1" prompt="Dear Sir/ Madam - Score entered is greater than Max. Marks allotted." showErrorMessage="1" sqref="V109">
      <formula1>0</formula1>
      <formula2>NaN</formula2>
    </dataValidation>
    <dataValidation type="decimal" allowBlank="1" showInputMessage="1" prompt="Dear Sir/ Madam - Score entered is greater than Max. Marks allotted." showErrorMessage="1" sqref="V110">
      <formula1>0</formula1>
      <formula2>NaN</formula2>
    </dataValidation>
    <dataValidation type="decimal" allowBlank="1" showInputMessage="1" prompt="Dear Sir/ Madam - Score entered is greater than Max. Marks allotted." showErrorMessage="1" sqref="V111">
      <formula1>0</formula1>
      <formula2>NaN</formula2>
    </dataValidation>
    <dataValidation type="decimal" allowBlank="1" showInputMessage="1" prompt="Dear Sir/ Madam - Score entered is greater than Max. Marks allotted." showErrorMessage="1" sqref="V112">
      <formula1>0</formula1>
      <formula2>NaN</formula2>
    </dataValidation>
    <dataValidation type="decimal" allowBlank="1" showInputMessage="1" prompt="Dear Sir/ Madam - Score entered is greater than Max. Marks allotted." showErrorMessage="1" sqref="V113">
      <formula1>0</formula1>
      <formula2>NaN</formula2>
    </dataValidation>
    <dataValidation type="decimal" allowBlank="1" showInputMessage="1" prompt="Dear Sir/ Madam - Score entered is greater than Max. Marks allotted." showErrorMessage="1" sqref="V114">
      <formula1>0</formula1>
      <formula2>NaN</formula2>
    </dataValidation>
    <dataValidation type="decimal" allowBlank="1" showInputMessage="1" prompt="Dear Sir/ Madam - Score entered is greater than Max. Marks allotted." showErrorMessage="1" sqref="V115">
      <formula1>0</formula1>
      <formula2>NaN</formula2>
    </dataValidation>
    <dataValidation type="decimal" allowBlank="1" showInputMessage="1" prompt="Dear Sir/ Madam - Score entered is greater than Max. Marks allotted." showErrorMessage="1" sqref="V116">
      <formula1>0</formula1>
      <formula2>NaN</formula2>
    </dataValidation>
    <dataValidation type="decimal" allowBlank="1" showInputMessage="1" prompt="Dear Sir/ Madam - Score entered is greater than Max. Marks allotted." showErrorMessage="1" sqref="V117">
      <formula1>0</formula1>
      <formula2>NaN</formula2>
    </dataValidation>
    <dataValidation type="decimal" allowBlank="1" showInputMessage="1" prompt="Dear Sir/ Madam - Score entered is greater than Max. Marks allotted." showErrorMessage="1" sqref="V118">
      <formula1>0</formula1>
      <formula2>NaN</formula2>
    </dataValidation>
    <dataValidation type="decimal" allowBlank="1" showInputMessage="1" prompt="Dear Sir/ Madam - Score entered is greater than Max. Marks allotted." showErrorMessage="1" sqref="V119">
      <formula1>0</formula1>
      <formula2>NaN</formula2>
    </dataValidation>
    <dataValidation type="decimal" allowBlank="1" showInputMessage="1" prompt="Dear Sir/ Madam - Score entered is greater than Max. Marks allotted." showErrorMessage="1" sqref="V120">
      <formula1>0</formula1>
      <formula2>NaN</formula2>
    </dataValidation>
    <dataValidation type="decimal" allowBlank="1" showInputMessage="1" prompt="Dear Sir/ Madam - Score entered is greater than Max. Marks allotted." showErrorMessage="1" sqref="V121">
      <formula1>0</formula1>
      <formula2>NaN</formula2>
    </dataValidation>
    <dataValidation type="decimal" allowBlank="1" showInputMessage="1" prompt="Dear Sir/ Madam - Score entered is greater than Max. Marks allotted." showErrorMessage="1" sqref="V122">
      <formula1>0</formula1>
      <formula2>NaN</formula2>
    </dataValidation>
    <dataValidation type="decimal" allowBlank="1" showInputMessage="1" prompt="Dear Sir/ Madam - Score entered is greater than Max. Marks allotted." showErrorMessage="1" sqref="V123">
      <formula1>0</formula1>
      <formula2>NaN</formula2>
    </dataValidation>
    <dataValidation type="decimal" allowBlank="1" showInputMessage="1" prompt="Dear Sir/ Madam - Score entered is greater than Max. Marks allotted." showErrorMessage="1" sqref="V124">
      <formula1>0</formula1>
      <formula2>NaN</formula2>
    </dataValidation>
    <dataValidation type="decimal" allowBlank="1" showInputMessage="1" prompt="Dear Sir/ Madam - Score entered is greater than Max. Marks allotted." showErrorMessage="1" sqref="V125">
      <formula1>0</formula1>
      <formula2>NaN</formula2>
    </dataValidation>
    <dataValidation type="decimal" allowBlank="1" showInputMessage="1" prompt="Dear Sir/ Madam - Score entered is greater than Max. Marks allotted." showErrorMessage="1" sqref="V126">
      <formula1>0</formula1>
      <formula2>NaN</formula2>
    </dataValidation>
    <dataValidation type="decimal" allowBlank="1" showInputMessage="1" prompt="Dear Sir/ Madam - Score entered is greater than Max. Marks allotted." showErrorMessage="1" sqref="V127">
      <formula1>0</formula1>
      <formula2>NaN</formula2>
    </dataValidation>
    <dataValidation type="decimal" allowBlank="1" showInputMessage="1" prompt="Dear Sir/ Madam - Score entered is greater than Max. Marks allotted." showErrorMessage="1" sqref="V128">
      <formula1>0</formula1>
      <formula2>NaN</formula2>
    </dataValidation>
    <dataValidation type="decimal" allowBlank="1" showInputMessage="1" prompt="Dear Sir/ Madam - Score entered is greater than Max. Marks allotted." showErrorMessage="1" sqref="V129">
      <formula1>0</formula1>
      <formula2>NaN</formula2>
    </dataValidation>
    <dataValidation type="decimal" allowBlank="1" showInputMessage="1" prompt="Dear Sir/ Madam - Score entered is greater than Max. Marks allotted." showErrorMessage="1" sqref="V130">
      <formula1>0</formula1>
      <formula2>NaN</formula2>
    </dataValidation>
    <dataValidation type="decimal" allowBlank="1" showInputMessage="1" prompt="Dear Sir/ Madam - Score entered is greater than Max. Marks allotted." showErrorMessage="1" sqref="V131">
      <formula1>0</formula1>
      <formula2>NaN</formula2>
    </dataValidation>
    <dataValidation type="decimal" allowBlank="1" showInputMessage="1" prompt="Dear Sir/ Madam - Score entered is greater than Max. Marks allotted." showErrorMessage="1" sqref="V132">
      <formula1>0</formula1>
      <formula2>NaN</formula2>
    </dataValidation>
    <dataValidation type="decimal" allowBlank="1" showInputMessage="1" prompt="Dear Sir/ Madam - Score entered is greater than Max. Marks allotted." showErrorMessage="1" sqref="V133">
      <formula1>0</formula1>
      <formula2>NaN</formula2>
    </dataValidation>
    <dataValidation type="decimal" allowBlank="1" showInputMessage="1" prompt="Dear Sir/ Madam - Score entered is greater than Max. Marks allotted." showErrorMessage="1" sqref="V134">
      <formula1>0</formula1>
      <formula2>NaN</formula2>
    </dataValidation>
    <dataValidation type="decimal" allowBlank="1" showInputMessage="1" prompt="Dear Sir/ Madam - Score entered is greater than Max. Marks allotted." showErrorMessage="1" sqref="V135">
      <formula1>0</formula1>
      <formula2>NaN</formula2>
    </dataValidation>
    <dataValidation type="decimal" allowBlank="1" showInputMessage="1" prompt="Dear Sir/ Madam - Score entered is greater than Max. Marks allotted." showErrorMessage="1" sqref="W108">
      <formula1>0</formula1>
      <formula2>NaN</formula2>
    </dataValidation>
    <dataValidation type="decimal" allowBlank="1" showInputMessage="1" prompt="Dear Sir/ Madam - Score entered is greater than Max. Marks allotted." showErrorMessage="1" sqref="W109">
      <formula1>0</formula1>
      <formula2>NaN</formula2>
    </dataValidation>
    <dataValidation type="decimal" allowBlank="1" showInputMessage="1" prompt="Dear Sir/ Madam - Score entered is greater than Max. Marks allotted." showErrorMessage="1" sqref="W110">
      <formula1>0</formula1>
      <formula2>NaN</formula2>
    </dataValidation>
    <dataValidation type="decimal" allowBlank="1" showInputMessage="1" prompt="Dear Sir/ Madam - Score entered is greater than Max. Marks allotted." showErrorMessage="1" sqref="W111">
      <formula1>0</formula1>
      <formula2>NaN</formula2>
    </dataValidation>
    <dataValidation type="decimal" allowBlank="1" showInputMessage="1" prompt="Dear Sir/ Madam - Score entered is greater than Max. Marks allotted." showErrorMessage="1" sqref="W112">
      <formula1>0</formula1>
      <formula2>NaN</formula2>
    </dataValidation>
    <dataValidation type="decimal" allowBlank="1" showInputMessage="1" prompt="Dear Sir/ Madam - Score entered is greater than Max. Marks allotted." showErrorMessage="1" sqref="W113">
      <formula1>0</formula1>
      <formula2>NaN</formula2>
    </dataValidation>
    <dataValidation type="decimal" allowBlank="1" showInputMessage="1" prompt="Dear Sir/ Madam - Score entered is greater than Max. Marks allotted." showErrorMessage="1" sqref="W114">
      <formula1>0</formula1>
      <formula2>NaN</formula2>
    </dataValidation>
    <dataValidation type="decimal" allowBlank="1" showInputMessage="1" prompt="Dear Sir/ Madam - Score entered is greater than Max. Marks allotted." showErrorMessage="1" sqref="W115">
      <formula1>0</formula1>
      <formula2>NaN</formula2>
    </dataValidation>
    <dataValidation type="decimal" allowBlank="1" showInputMessage="1" prompt="Dear Sir/ Madam - Score entered is greater than Max. Marks allotted." showErrorMessage="1" sqref="W116">
      <formula1>0</formula1>
      <formula2>NaN</formula2>
    </dataValidation>
    <dataValidation type="decimal" allowBlank="1" showInputMessage="1" prompt="Dear Sir/ Madam - Score entered is greater than Max. Marks allotted." showErrorMessage="1" sqref="W117">
      <formula1>0</formula1>
      <formula2>NaN</formula2>
    </dataValidation>
    <dataValidation type="decimal" allowBlank="1" showInputMessage="1" prompt="Dear Sir/ Madam - Score entered is greater than Max. Marks allotted." showErrorMessage="1" sqref="W118">
      <formula1>0</formula1>
      <formula2>NaN</formula2>
    </dataValidation>
    <dataValidation type="decimal" allowBlank="1" showInputMessage="1" prompt="Dear Sir/ Madam - Score entered is greater than Max. Marks allotted." showErrorMessage="1" sqref="W119">
      <formula1>0</formula1>
      <formula2>NaN</formula2>
    </dataValidation>
    <dataValidation type="decimal" allowBlank="1" showInputMessage="1" prompt="Dear Sir/ Madam - Score entered is greater than Max. Marks allotted." showErrorMessage="1" sqref="W120">
      <formula1>0</formula1>
      <formula2>NaN</formula2>
    </dataValidation>
    <dataValidation type="decimal" allowBlank="1" showInputMessage="1" prompt="Dear Sir/ Madam - Score entered is greater than Max. Marks allotted." showErrorMessage="1" sqref="W121">
      <formula1>0</formula1>
      <formula2>NaN</formula2>
    </dataValidation>
    <dataValidation type="decimal" allowBlank="1" showInputMessage="1" prompt="Dear Sir/ Madam - Score entered is greater than Max. Marks allotted." showErrorMessage="1" sqref="W122">
      <formula1>0</formula1>
      <formula2>NaN</formula2>
    </dataValidation>
    <dataValidation type="decimal" allowBlank="1" showInputMessage="1" prompt="Dear Sir/ Madam - Score entered is greater than Max. Marks allotted." showErrorMessage="1" sqref="W123">
      <formula1>0</formula1>
      <formula2>NaN</formula2>
    </dataValidation>
    <dataValidation type="decimal" allowBlank="1" showInputMessage="1" prompt="Dear Sir/ Madam - Score entered is greater than Max. Marks allotted." showErrorMessage="1" sqref="W124">
      <formula1>0</formula1>
      <formula2>NaN</formula2>
    </dataValidation>
    <dataValidation type="decimal" allowBlank="1" showInputMessage="1" prompt="Dear Sir/ Madam - Score entered is greater than Max. Marks allotted." showErrorMessage="1" sqref="W125">
      <formula1>0</formula1>
      <formula2>NaN</formula2>
    </dataValidation>
    <dataValidation type="decimal" allowBlank="1" showInputMessage="1" prompt="Dear Sir/ Madam - Score entered is greater than Max. Marks allotted." showErrorMessage="1" sqref="W126">
      <formula1>0</formula1>
      <formula2>NaN</formula2>
    </dataValidation>
    <dataValidation type="decimal" allowBlank="1" showInputMessage="1" prompt="Dear Sir/ Madam - Score entered is greater than Max. Marks allotted." showErrorMessage="1" sqref="W127">
      <formula1>0</formula1>
      <formula2>NaN</formula2>
    </dataValidation>
    <dataValidation type="decimal" allowBlank="1" showInputMessage="1" prompt="Dear Sir/ Madam - Score entered is greater than Max. Marks allotted." showErrorMessage="1" sqref="W128">
      <formula1>0</formula1>
      <formula2>NaN</formula2>
    </dataValidation>
    <dataValidation type="decimal" allowBlank="1" showInputMessage="1" prompt="Dear Sir/ Madam - Score entered is greater than Max. Marks allotted." showErrorMessage="1" sqref="W129">
      <formula1>0</formula1>
      <formula2>NaN</formula2>
    </dataValidation>
    <dataValidation type="decimal" allowBlank="1" showInputMessage="1" prompt="Dear Sir/ Madam - Score entered is greater than Max. Marks allotted." showErrorMessage="1" sqref="W130">
      <formula1>0</formula1>
      <formula2>NaN</formula2>
    </dataValidation>
    <dataValidation type="decimal" allowBlank="1" showInputMessage="1" prompt="Dear Sir/ Madam - Score entered is greater than Max. Marks allotted." showErrorMessage="1" sqref="W131">
      <formula1>0</formula1>
      <formula2>NaN</formula2>
    </dataValidation>
    <dataValidation type="decimal" allowBlank="1" showInputMessage="1" prompt="Dear Sir/ Madam - Score entered is greater than Max. Marks allotted." showErrorMessage="1" sqref="W132">
      <formula1>0</formula1>
      <formula2>NaN</formula2>
    </dataValidation>
    <dataValidation type="decimal" allowBlank="1" showInputMessage="1" prompt="Dear Sir/ Madam - Score entered is greater than Max. Marks allotted." showErrorMessage="1" sqref="W133">
      <formula1>0</formula1>
      <formula2>NaN</formula2>
    </dataValidation>
    <dataValidation type="decimal" allowBlank="1" showInputMessage="1" prompt="Dear Sir/ Madam - Score entered is greater than Max. Marks allotted." showErrorMessage="1" sqref="W134">
      <formula1>0</formula1>
      <formula2>NaN</formula2>
    </dataValidation>
    <dataValidation type="decimal" allowBlank="1" showInputMessage="1" prompt="Dear Sir/ Madam - Score entered is greater than Max. Marks allotted." showErrorMessage="1" sqref="W135">
      <formula1>0</formula1>
      <formula2>NaN</formula2>
    </dataValidation>
    <dataValidation type="decimal" allowBlank="1" showInputMessage="1" prompt="Dear Sir/ Madam - Score entered is greater than Max. Marks allotted." showErrorMessage="1" sqref="X108">
      <formula1>0</formula1>
      <formula2>NaN</formula2>
    </dataValidation>
    <dataValidation type="decimal" allowBlank="1" showInputMessage="1" prompt="Dear Sir/ Madam - Score entered is greater than Max. Marks allotted." showErrorMessage="1" sqref="X109">
      <formula1>0</formula1>
      <formula2>NaN</formula2>
    </dataValidation>
    <dataValidation type="decimal" allowBlank="1" showInputMessage="1" prompt="Dear Sir/ Madam - Score entered is greater than Max. Marks allotted." showErrorMessage="1" sqref="X110">
      <formula1>0</formula1>
      <formula2>NaN</formula2>
    </dataValidation>
    <dataValidation type="decimal" allowBlank="1" showInputMessage="1" prompt="Dear Sir/ Madam - Score entered is greater than Max. Marks allotted." showErrorMessage="1" sqref="X111">
      <formula1>0</formula1>
      <formula2>NaN</formula2>
    </dataValidation>
    <dataValidation type="decimal" allowBlank="1" showInputMessage="1" prompt="Dear Sir/ Madam - Score entered is greater than Max. Marks allotted." showErrorMessage="1" sqref="X112">
      <formula1>0</formula1>
      <formula2>NaN</formula2>
    </dataValidation>
    <dataValidation type="decimal" allowBlank="1" showInputMessage="1" prompt="Dear Sir/ Madam - Score entered is greater than Max. Marks allotted." showErrorMessage="1" sqref="X113">
      <formula1>0</formula1>
      <formula2>NaN</formula2>
    </dataValidation>
    <dataValidation type="decimal" allowBlank="1" showInputMessage="1" prompt="Dear Sir/ Madam - Score entered is greater than Max. Marks allotted." showErrorMessage="1" sqref="X114">
      <formula1>0</formula1>
      <formula2>NaN</formula2>
    </dataValidation>
    <dataValidation type="decimal" allowBlank="1" showInputMessage="1" prompt="Dear Sir/ Madam - Score entered is greater than Max. Marks allotted." showErrorMessage="1" sqref="X115">
      <formula1>0</formula1>
      <formula2>NaN</formula2>
    </dataValidation>
    <dataValidation type="decimal" allowBlank="1" showInputMessage="1" prompt="Dear Sir/ Madam - Score entered is greater than Max. Marks allotted." showErrorMessage="1" sqref="X116">
      <formula1>0</formula1>
      <formula2>NaN</formula2>
    </dataValidation>
    <dataValidation type="decimal" allowBlank="1" showInputMessage="1" prompt="Dear Sir/ Madam - Score entered is greater than Max. Marks allotted." showErrorMessage="1" sqref="X117">
      <formula1>0</formula1>
      <formula2>NaN</formula2>
    </dataValidation>
    <dataValidation type="decimal" allowBlank="1" showInputMessage="1" prompt="Dear Sir/ Madam - Score entered is greater than Max. Marks allotted." showErrorMessage="1" sqref="X118">
      <formula1>0</formula1>
      <formula2>NaN</formula2>
    </dataValidation>
    <dataValidation type="decimal" allowBlank="1" showInputMessage="1" prompt="Dear Sir/ Madam - Score entered is greater than Max. Marks allotted." showErrorMessage="1" sqref="X119">
      <formula1>0</formula1>
      <formula2>NaN</formula2>
    </dataValidation>
    <dataValidation type="decimal" allowBlank="1" showInputMessage="1" prompt="Dear Sir/ Madam - Score entered is greater than Max. Marks allotted." showErrorMessage="1" sqref="X120">
      <formula1>0</formula1>
      <formula2>NaN</formula2>
    </dataValidation>
    <dataValidation type="decimal" allowBlank="1" showInputMessage="1" prompt="Dear Sir/ Madam - Score entered is greater than Max. Marks allotted." showErrorMessage="1" sqref="X121">
      <formula1>0</formula1>
      <formula2>NaN</formula2>
    </dataValidation>
    <dataValidation type="decimal" allowBlank="1" showInputMessage="1" prompt="Dear Sir/ Madam - Score entered is greater than Max. Marks allotted." showErrorMessage="1" sqref="X122">
      <formula1>0</formula1>
      <formula2>NaN</formula2>
    </dataValidation>
    <dataValidation type="decimal" allowBlank="1" showInputMessage="1" prompt="Dear Sir/ Madam - Score entered is greater than Max. Marks allotted." showErrorMessage="1" sqref="X123">
      <formula1>0</formula1>
      <formula2>NaN</formula2>
    </dataValidation>
    <dataValidation type="decimal" allowBlank="1" showInputMessage="1" prompt="Dear Sir/ Madam - Score entered is greater than Max. Marks allotted." showErrorMessage="1" sqref="X124">
      <formula1>0</formula1>
      <formula2>NaN</formula2>
    </dataValidation>
    <dataValidation type="decimal" allowBlank="1" showInputMessage="1" prompt="Dear Sir/ Madam - Score entered is greater than Max. Marks allotted." showErrorMessage="1" sqref="X125">
      <formula1>0</formula1>
      <formula2>NaN</formula2>
    </dataValidation>
    <dataValidation type="decimal" allowBlank="1" showInputMessage="1" prompt="Dear Sir/ Madam - Score entered is greater than Max. Marks allotted." showErrorMessage="1" sqref="X126">
      <formula1>0</formula1>
      <formula2>NaN</formula2>
    </dataValidation>
    <dataValidation type="decimal" allowBlank="1" showInputMessage="1" prompt="Dear Sir/ Madam - Score entered is greater than Max. Marks allotted." showErrorMessage="1" sqref="X127">
      <formula1>0</formula1>
      <formula2>NaN</formula2>
    </dataValidation>
    <dataValidation type="decimal" allowBlank="1" showInputMessage="1" prompt="Dear Sir/ Madam - Score entered is greater than Max. Marks allotted." showErrorMessage="1" sqref="X128">
      <formula1>0</formula1>
      <formula2>NaN</formula2>
    </dataValidation>
    <dataValidation type="decimal" allowBlank="1" showInputMessage="1" prompt="Dear Sir/ Madam - Score entered is greater than Max. Marks allotted." showErrorMessage="1" sqref="X129">
      <formula1>0</formula1>
      <formula2>NaN</formula2>
    </dataValidation>
    <dataValidation type="decimal" allowBlank="1" showInputMessage="1" prompt="Dear Sir/ Madam - Score entered is greater than Max. Marks allotted." showErrorMessage="1" sqref="X130">
      <formula1>0</formula1>
      <formula2>NaN</formula2>
    </dataValidation>
    <dataValidation type="decimal" allowBlank="1" showInputMessage="1" prompt="Dear Sir/ Madam - Score entered is greater than Max. Marks allotted." showErrorMessage="1" sqref="X131">
      <formula1>0</formula1>
      <formula2>NaN</formula2>
    </dataValidation>
    <dataValidation type="decimal" allowBlank="1" showInputMessage="1" prompt="Dear Sir/ Madam - Score entered is greater than Max. Marks allotted." showErrorMessage="1" sqref="X132">
      <formula1>0</formula1>
      <formula2>NaN</formula2>
    </dataValidation>
    <dataValidation type="decimal" allowBlank="1" showInputMessage="1" prompt="Dear Sir/ Madam - Score entered is greater than Max. Marks allotted." showErrorMessage="1" sqref="X133">
      <formula1>0</formula1>
      <formula2>NaN</formula2>
    </dataValidation>
    <dataValidation type="decimal" allowBlank="1" showInputMessage="1" prompt="Dear Sir/ Madam - Score entered is greater than Max. Marks allotted." showErrorMessage="1" sqref="X134">
      <formula1>0</formula1>
      <formula2>NaN</formula2>
    </dataValidation>
    <dataValidation type="decimal" allowBlank="1" showInputMessage="1" prompt="Dear Sir/ Madam - Score entered is greater than Max. Marks allotted." showErrorMessage="1" sqref="X135">
      <formula1>0</formula1>
      <formula2>NaN</formula2>
    </dataValidation>
    <dataValidation type="decimal" allowBlank="1" showInputMessage="1" prompt="Dear Sir/ Madam - Score entered is greater than Max. Marks allotted." showErrorMessage="1" sqref="Y108">
      <formula1>0</formula1>
      <formula2>NaN</formula2>
    </dataValidation>
    <dataValidation type="decimal" allowBlank="1" showInputMessage="1" prompt="Dear Sir/ Madam - Score entered is greater than Max. Marks allotted." showErrorMessage="1" sqref="Y109">
      <formula1>0</formula1>
      <formula2>NaN</formula2>
    </dataValidation>
    <dataValidation type="decimal" allowBlank="1" showInputMessage="1" prompt="Dear Sir/ Madam - Score entered is greater than Max. Marks allotted." showErrorMessage="1" sqref="Y110">
      <formula1>0</formula1>
      <formula2>NaN</formula2>
    </dataValidation>
    <dataValidation type="decimal" allowBlank="1" showInputMessage="1" prompt="Dear Sir/ Madam - Score entered is greater than Max. Marks allotted." showErrorMessage="1" sqref="Y111">
      <formula1>0</formula1>
      <formula2>NaN</formula2>
    </dataValidation>
    <dataValidation type="decimal" allowBlank="1" showInputMessage="1" prompt="Dear Sir/ Madam - Score entered is greater than Max. Marks allotted." showErrorMessage="1" sqref="Y112">
      <formula1>0</formula1>
      <formula2>NaN</formula2>
    </dataValidation>
    <dataValidation type="decimal" allowBlank="1" showInputMessage="1" prompt="Dear Sir/ Madam - Score entered is greater than Max. Marks allotted." showErrorMessage="1" sqref="Y113">
      <formula1>0</formula1>
      <formula2>NaN</formula2>
    </dataValidation>
    <dataValidation type="decimal" allowBlank="1" showInputMessage="1" prompt="Dear Sir/ Madam - Score entered is greater than Max. Marks allotted." showErrorMessage="1" sqref="Y114">
      <formula1>0</formula1>
      <formula2>NaN</formula2>
    </dataValidation>
    <dataValidation type="decimal" allowBlank="1" showInputMessage="1" prompt="Dear Sir/ Madam - Score entered is greater than Max. Marks allotted." showErrorMessage="1" sqref="Y115">
      <formula1>0</formula1>
      <formula2>NaN</formula2>
    </dataValidation>
    <dataValidation type="decimal" allowBlank="1" showInputMessage="1" prompt="Dear Sir/ Madam - Score entered is greater than Max. Marks allotted." showErrorMessage="1" sqref="Y116">
      <formula1>0</formula1>
      <formula2>NaN</formula2>
    </dataValidation>
    <dataValidation type="decimal" allowBlank="1" showInputMessage="1" prompt="Dear Sir/ Madam - Score entered is greater than Max. Marks allotted." showErrorMessage="1" sqref="Y117">
      <formula1>0</formula1>
      <formula2>NaN</formula2>
    </dataValidation>
    <dataValidation type="decimal" allowBlank="1" showInputMessage="1" prompt="Dear Sir/ Madam - Score entered is greater than Max. Marks allotted." showErrorMessage="1" sqref="Y118">
      <formula1>0</formula1>
      <formula2>NaN</formula2>
    </dataValidation>
    <dataValidation type="decimal" allowBlank="1" showInputMessage="1" prompt="Dear Sir/ Madam - Score entered is greater than Max. Marks allotted." showErrorMessage="1" sqref="Y119">
      <formula1>0</formula1>
      <formula2>NaN</formula2>
    </dataValidation>
    <dataValidation type="decimal" allowBlank="1" showInputMessage="1" prompt="Dear Sir/ Madam - Score entered is greater than Max. Marks allotted." showErrorMessage="1" sqref="Y120">
      <formula1>0</formula1>
      <formula2>NaN</formula2>
    </dataValidation>
    <dataValidation type="decimal" allowBlank="1" showInputMessage="1" prompt="Dear Sir/ Madam - Score entered is greater than Max. Marks allotted." showErrorMessage="1" sqref="Y121">
      <formula1>0</formula1>
      <formula2>NaN</formula2>
    </dataValidation>
    <dataValidation type="decimal" allowBlank="1" showInputMessage="1" prompt="Dear Sir/ Madam - Score entered is greater than Max. Marks allotted." showErrorMessage="1" sqref="Y122">
      <formula1>0</formula1>
      <formula2>NaN</formula2>
    </dataValidation>
    <dataValidation type="decimal" allowBlank="1" showInputMessage="1" prompt="Dear Sir/ Madam - Score entered is greater than Max. Marks allotted." showErrorMessage="1" sqref="Y123">
      <formula1>0</formula1>
      <formula2>NaN</formula2>
    </dataValidation>
    <dataValidation type="decimal" allowBlank="1" showInputMessage="1" prompt="Dear Sir/ Madam - Score entered is greater than Max. Marks allotted." showErrorMessage="1" sqref="Y124">
      <formula1>0</formula1>
      <formula2>NaN</formula2>
    </dataValidation>
    <dataValidation type="decimal" allowBlank="1" showInputMessage="1" prompt="Dear Sir/ Madam - Score entered is greater than Max. Marks allotted." showErrorMessage="1" sqref="Y125">
      <formula1>0</formula1>
      <formula2>NaN</formula2>
    </dataValidation>
    <dataValidation type="decimal" allowBlank="1" showInputMessage="1" prompt="Dear Sir/ Madam - Score entered is greater than Max. Marks allotted." showErrorMessage="1" sqref="Y126">
      <formula1>0</formula1>
      <formula2>NaN</formula2>
    </dataValidation>
    <dataValidation type="decimal" allowBlank="1" showInputMessage="1" prompt="Dear Sir/ Madam - Score entered is greater than Max. Marks allotted." showErrorMessage="1" sqref="Y127">
      <formula1>0</formula1>
      <formula2>NaN</formula2>
    </dataValidation>
    <dataValidation type="decimal" allowBlank="1" showInputMessage="1" prompt="Dear Sir/ Madam - Score entered is greater than Max. Marks allotted." showErrorMessage="1" sqref="Y128">
      <formula1>0</formula1>
      <formula2>NaN</formula2>
    </dataValidation>
    <dataValidation type="decimal" allowBlank="1" showInputMessage="1" prompt="Dear Sir/ Madam - Score entered is greater than Max. Marks allotted." showErrorMessage="1" sqref="Y129">
      <formula1>0</formula1>
      <formula2>NaN</formula2>
    </dataValidation>
    <dataValidation type="decimal" allowBlank="1" showInputMessage="1" prompt="Dear Sir/ Madam - Score entered is greater than Max. Marks allotted." showErrorMessage="1" sqref="Y130">
      <formula1>0</formula1>
      <formula2>NaN</formula2>
    </dataValidation>
    <dataValidation type="decimal" allowBlank="1" showInputMessage="1" prompt="Dear Sir/ Madam - Score entered is greater than Max. Marks allotted." showErrorMessage="1" sqref="Y131">
      <formula1>0</formula1>
      <formula2>NaN</formula2>
    </dataValidation>
    <dataValidation type="decimal" allowBlank="1" showInputMessage="1" prompt="Dear Sir/ Madam - Score entered is greater than Max. Marks allotted." showErrorMessage="1" sqref="Y132">
      <formula1>0</formula1>
      <formula2>NaN</formula2>
    </dataValidation>
    <dataValidation type="decimal" allowBlank="1" showInputMessage="1" prompt="Dear Sir/ Madam - Score entered is greater than Max. Marks allotted." showErrorMessage="1" sqref="Y133">
      <formula1>0</formula1>
      <formula2>NaN</formula2>
    </dataValidation>
    <dataValidation type="decimal" allowBlank="1" showInputMessage="1" prompt="Dear Sir/ Madam - Score entered is greater than Max. Marks allotted." showErrorMessage="1" sqref="Y134">
      <formula1>0</formula1>
      <formula2>NaN</formula2>
    </dataValidation>
    <dataValidation type="decimal" allowBlank="1" showInputMessage="1" prompt="Dear Sir/ Madam - Score entered is greater than Max. Marks allotted." showErrorMessage="1" sqref="Y135">
      <formula1>0</formula1>
      <formula2>NaN</formula2>
    </dataValidation>
    <dataValidation type="decimal" allowBlank="1" showInputMessage="1" prompt="Dear Sir/ Madam - Score entered is greater than Max. Marks allotted." showErrorMessage="1" sqref="Z108">
      <formula1>0</formula1>
      <formula2>NaN</formula2>
    </dataValidation>
    <dataValidation type="decimal" allowBlank="1" showInputMessage="1" prompt="Dear Sir/ Madam - Score entered is greater than Max. Marks allotted." showErrorMessage="1" sqref="Z109">
      <formula1>0</formula1>
      <formula2>NaN</formula2>
    </dataValidation>
    <dataValidation type="decimal" allowBlank="1" showInputMessage="1" prompt="Dear Sir/ Madam - Score entered is greater than Max. Marks allotted." showErrorMessage="1" sqref="Z110">
      <formula1>0</formula1>
      <formula2>NaN</formula2>
    </dataValidation>
    <dataValidation type="decimal" allowBlank="1" showInputMessage="1" prompt="Dear Sir/ Madam - Score entered is greater than Max. Marks allotted." showErrorMessage="1" sqref="Z111">
      <formula1>0</formula1>
      <formula2>NaN</formula2>
    </dataValidation>
    <dataValidation type="decimal" allowBlank="1" showInputMessage="1" prompt="Dear Sir/ Madam - Score entered is greater than Max. Marks allotted." showErrorMessage="1" sqref="Z112">
      <formula1>0</formula1>
      <formula2>NaN</formula2>
    </dataValidation>
    <dataValidation type="decimal" allowBlank="1" showInputMessage="1" prompt="Dear Sir/ Madam - Score entered is greater than Max. Marks allotted." showErrorMessage="1" sqref="Z113">
      <formula1>0</formula1>
      <formula2>NaN</formula2>
    </dataValidation>
    <dataValidation type="decimal" allowBlank="1" showInputMessage="1" prompt="Dear Sir/ Madam - Score entered is greater than Max. Marks allotted." showErrorMessage="1" sqref="Z114">
      <formula1>0</formula1>
      <formula2>NaN</formula2>
    </dataValidation>
    <dataValidation type="decimal" allowBlank="1" showInputMessage="1" prompt="Dear Sir/ Madam - Score entered is greater than Max. Marks allotted." showErrorMessage="1" sqref="Z115">
      <formula1>0</formula1>
      <formula2>NaN</formula2>
    </dataValidation>
    <dataValidation type="decimal" allowBlank="1" showInputMessage="1" prompt="Dear Sir/ Madam - Score entered is greater than Max. Marks allotted." showErrorMessage="1" sqref="Z116">
      <formula1>0</formula1>
      <formula2>NaN</formula2>
    </dataValidation>
    <dataValidation type="decimal" allowBlank="1" showInputMessage="1" prompt="Dear Sir/ Madam - Score entered is greater than Max. Marks allotted." showErrorMessage="1" sqref="Z117">
      <formula1>0</formula1>
      <formula2>NaN</formula2>
    </dataValidation>
    <dataValidation type="decimal" allowBlank="1" showInputMessage="1" prompt="Dear Sir/ Madam - Score entered is greater than Max. Marks allotted." showErrorMessage="1" sqref="Z118">
      <formula1>0</formula1>
      <formula2>NaN</formula2>
    </dataValidation>
    <dataValidation type="decimal" allowBlank="1" showInputMessage="1" prompt="Dear Sir/ Madam - Score entered is greater than Max. Marks allotted." showErrorMessage="1" sqref="Z119">
      <formula1>0</formula1>
      <formula2>NaN</formula2>
    </dataValidation>
    <dataValidation type="decimal" allowBlank="1" showInputMessage="1" prompt="Dear Sir/ Madam - Score entered is greater than Max. Marks allotted." showErrorMessage="1" sqref="Z120">
      <formula1>0</formula1>
      <formula2>NaN</formula2>
    </dataValidation>
    <dataValidation type="decimal" allowBlank="1" showInputMessage="1" prompt="Dear Sir/ Madam - Score entered is greater than Max. Marks allotted." showErrorMessage="1" sqref="Z121">
      <formula1>0</formula1>
      <formula2>NaN</formula2>
    </dataValidation>
    <dataValidation type="decimal" allowBlank="1" showInputMessage="1" prompt="Dear Sir/ Madam - Score entered is greater than Max. Marks allotted." showErrorMessage="1" sqref="Z122">
      <formula1>0</formula1>
      <formula2>NaN</formula2>
    </dataValidation>
    <dataValidation type="decimal" allowBlank="1" showInputMessage="1" prompt="Dear Sir/ Madam - Score entered is greater than Max. Marks allotted." showErrorMessage="1" sqref="Z123">
      <formula1>0</formula1>
      <formula2>NaN</formula2>
    </dataValidation>
    <dataValidation type="decimal" allowBlank="1" showInputMessage="1" prompt="Dear Sir/ Madam - Score entered is greater than Max. Marks allotted." showErrorMessage="1" sqref="Z124">
      <formula1>0</formula1>
      <formula2>NaN</formula2>
    </dataValidation>
    <dataValidation type="decimal" allowBlank="1" showInputMessage="1" prompt="Dear Sir/ Madam - Score entered is greater than Max. Marks allotted." showErrorMessage="1" sqref="Z125">
      <formula1>0</formula1>
      <formula2>NaN</formula2>
    </dataValidation>
    <dataValidation type="decimal" allowBlank="1" showInputMessage="1" prompt="Dear Sir/ Madam - Score entered is greater than Max. Marks allotted." showErrorMessage="1" sqref="Z126">
      <formula1>0</formula1>
      <formula2>NaN</formula2>
    </dataValidation>
    <dataValidation type="decimal" allowBlank="1" showInputMessage="1" prompt="Dear Sir/ Madam - Score entered is greater than Max. Marks allotted." showErrorMessage="1" sqref="Z127">
      <formula1>0</formula1>
      <formula2>NaN</formula2>
    </dataValidation>
    <dataValidation type="decimal" allowBlank="1" showInputMessage="1" prompt="Dear Sir/ Madam - Score entered is greater than Max. Marks allotted." showErrorMessage="1" sqref="Z128">
      <formula1>0</formula1>
      <formula2>NaN</formula2>
    </dataValidation>
    <dataValidation type="decimal" allowBlank="1" showInputMessage="1" prompt="Dear Sir/ Madam - Score entered is greater than Max. Marks allotted." showErrorMessage="1" sqref="Z129">
      <formula1>0</formula1>
      <formula2>NaN</formula2>
    </dataValidation>
    <dataValidation type="decimal" allowBlank="1" showInputMessage="1" prompt="Dear Sir/ Madam - Score entered is greater than Max. Marks allotted." showErrorMessage="1" sqref="Z130">
      <formula1>0</formula1>
      <formula2>NaN</formula2>
    </dataValidation>
    <dataValidation type="decimal" allowBlank="1" showInputMessage="1" prompt="Dear Sir/ Madam - Score entered is greater than Max. Marks allotted." showErrorMessage="1" sqref="Z131">
      <formula1>0</formula1>
      <formula2>NaN</formula2>
    </dataValidation>
    <dataValidation type="decimal" allowBlank="1" showInputMessage="1" prompt="Dear Sir/ Madam - Score entered is greater than Max. Marks allotted." showErrorMessage="1" sqref="Z132">
      <formula1>0</formula1>
      <formula2>NaN</formula2>
    </dataValidation>
    <dataValidation type="decimal" allowBlank="1" showInputMessage="1" prompt="Dear Sir/ Madam - Score entered is greater than Max. Marks allotted." showErrorMessage="1" sqref="Z133">
      <formula1>0</formula1>
      <formula2>NaN</formula2>
    </dataValidation>
    <dataValidation type="decimal" allowBlank="1" showInputMessage="1" prompt="Dear Sir/ Madam - Score entered is greater than Max. Marks allotted." showErrorMessage="1" sqref="Z134">
      <formula1>0</formula1>
      <formula2>NaN</formula2>
    </dataValidation>
    <dataValidation type="decimal" allowBlank="1" showInputMessage="1" prompt="Dear Sir/ Madam - Score entered is greater than Max. Marks allotted." showErrorMessage="1" sqref="Z135">
      <formula1>0</formula1>
      <formula2>NaN</formula2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Kiran Malagi</cp:lastModifiedBy>
  <cp:lastPrinted>2023-06-27T05:24:39Z</cp:lastPrinted>
  <dcterms:created xsi:type="dcterms:W3CDTF">2019-01-23T08:58:04Z</dcterms:created>
  <dcterms:modified xsi:type="dcterms:W3CDTF">2025-06-20T08:51:48Z</dcterms:modified>
</cp:coreProperties>
</file>