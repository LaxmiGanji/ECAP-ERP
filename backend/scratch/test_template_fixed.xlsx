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IA Marks" state="visible" r:id="rId4"/>
    <sheet sheetId="7" name="SEE Marks" state="visible" r:id="rId5"/>
    <sheet sheetId="2" name="Course End Survey (CES)" state="visible" r:id="rId6"/>
    <sheet sheetId="5" name="CO Attainment" state="visible" r:id="rId7"/>
    <sheet sheetId="4" name="PO ATTAINMENT" state="visible" r:id="rId8"/>
    <sheet sheetId="6" name="Action Plan" state="visible" r:id="rId9"/>
    <sheet sheetId="8" name="PO Attainment Action Plan" state="visible" r:id="rId10"/>
  </sheets>
  <definedNames>
    <definedName name="_xlnm.Print_Area" localSheetId="5">'Action Plan'!$A1:$F27</definedName>
  </definedNames>
  <calcPr calcId="171027"/>
</workbook>
</file>

<file path=xl/sharedStrings.xml><?xml version="1.0" encoding="utf-8"?>
<sst xmlns="http://schemas.openxmlformats.org/spreadsheetml/2006/main" count="482" uniqueCount="302">
  <si>
    <t xml:space="preserve">
</t>
  </si>
  <si>
    <t>Formative % :</t>
  </si>
  <si>
    <t xml:space="preserve">Attainment Level 1: </t>
  </si>
  <si>
    <t xml:space="preserve">% of maximum marks </t>
  </si>
  <si>
    <t>LEVEL 1:</t>
  </si>
  <si>
    <t xml:space="preserve">% of students scoring greater than or equal to </t>
  </si>
  <si>
    <t>Summative % :</t>
  </si>
  <si>
    <t xml:space="preserve">Attainment Level 2: </t>
  </si>
  <si>
    <t>LEVEL 2:</t>
  </si>
  <si>
    <t>IF(D8&lt;IA!BA1,0,IF(D8&gt;=IA!BA3,3,IF(D8&gt;=IA!BA2,2,1)))</t>
  </si>
  <si>
    <t>Department of Computer Science and Engineering - Cyber Security Program</t>
  </si>
  <si>
    <t>Direct :</t>
  </si>
  <si>
    <t xml:space="preserve">Attainment Level 3: </t>
  </si>
  <si>
    <t>LEVEL 3:</t>
  </si>
  <si>
    <t>Kiran 200</t>
  </si>
  <si>
    <t xml:space="preserve">Academic Year : </t>
  </si>
  <si>
    <t>2024-25</t>
  </si>
  <si>
    <t>Semester:</t>
  </si>
  <si>
    <t>DIV:</t>
  </si>
  <si>
    <t>Course Code:</t>
  </si>
  <si>
    <t>S23CY304PC</t>
  </si>
  <si>
    <t>Student Count</t>
  </si>
  <si>
    <t>Indirect :</t>
  </si>
  <si>
    <t>Name of Course Teacher:</t>
  </si>
  <si>
    <t>Dr. Kiran B. Malagi</t>
  </si>
  <si>
    <t>Set Target:</t>
  </si>
  <si>
    <t>Course Name:</t>
  </si>
  <si>
    <t>Computer Organization and Architecture</t>
  </si>
  <si>
    <t>Assignment</t>
  </si>
  <si>
    <t>USN</t>
  </si>
  <si>
    <t>Name</t>
  </si>
  <si>
    <t>IA-1</t>
  </si>
  <si>
    <t>IA-2</t>
  </si>
  <si>
    <t>CIA1</t>
  </si>
  <si>
    <t>CIA2</t>
  </si>
  <si>
    <t>CIA3</t>
  </si>
  <si>
    <t>CIA4</t>
  </si>
  <si>
    <t>CIA5</t>
  </si>
  <si>
    <t>CIA6</t>
  </si>
  <si>
    <t>CIA7</t>
  </si>
  <si>
    <t>CO Mapped</t>
  </si>
  <si>
    <t/>
  </si>
  <si>
    <t>Q. No.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</si>
  <si>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</si>
  <si>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</si>
  <si>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</si>
  <si>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</si>
  <si>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</si>
  <si>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</si>
  <si>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</si>
  <si>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</si>
  <si>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</si>
  <si>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</si>
  <si>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</si>
  <si>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</si>
  <si>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OBJ (10)</t>
  </si>
  <si>
    <t>ASSIGN/SPA (05)</t>
  </si>
  <si>
    <t>TOTAL MARKS (35)</t>
  </si>
  <si>
    <t>CO1</t>
  </si>
  <si>
    <t>CO2</t>
  </si>
  <si>
    <t>CO3</t>
  </si>
  <si>
    <t>CO4</t>
  </si>
  <si>
    <t>CO5</t>
  </si>
  <si>
    <t>CO6</t>
  </si>
  <si>
    <t>Max. Marks</t>
  </si>
  <si>
    <t>Level</t>
  </si>
  <si>
    <t>Formative Assessment Tool</t>
  </si>
  <si>
    <t>Percentage</t>
  </si>
  <si>
    <t>SUM</t>
  </si>
  <si>
    <t>COUNT</t>
  </si>
  <si>
    <t>%</t>
  </si>
  <si>
    <t>23N81A6201</t>
  </si>
  <si>
    <t>23N81A6202</t>
  </si>
  <si>
    <t>23N81A6203</t>
  </si>
  <si>
    <t>23N81A6204</t>
  </si>
  <si>
    <t>23N81A6205</t>
  </si>
  <si>
    <t>23N81A6206</t>
  </si>
  <si>
    <t>23N81A6207</t>
  </si>
  <si>
    <t>23N81A6208</t>
  </si>
  <si>
    <t>23N81A6209</t>
  </si>
  <si>
    <t>23N81A6210</t>
  </si>
  <si>
    <t>23N81A6211</t>
  </si>
  <si>
    <t>23N81A6212</t>
  </si>
  <si>
    <t>23N81A6213</t>
  </si>
  <si>
    <t>23N81A6214</t>
  </si>
  <si>
    <t>23N81A6216</t>
  </si>
  <si>
    <t>23N81A6217</t>
  </si>
  <si>
    <t>23N81A6218</t>
  </si>
  <si>
    <t>23N81A6219</t>
  </si>
  <si>
    <t>23N81A6220</t>
  </si>
  <si>
    <t>23N81A6221</t>
  </si>
  <si>
    <t>23N81A6222</t>
  </si>
  <si>
    <t>23N81A6223</t>
  </si>
  <si>
    <t>23N81A6226</t>
  </si>
  <si>
    <t>23N81A6227</t>
  </si>
  <si>
    <t>23N81A6228</t>
  </si>
  <si>
    <t>23N81A6229</t>
  </si>
  <si>
    <t>23N81A6230</t>
  </si>
  <si>
    <t>23N81A6231</t>
  </si>
  <si>
    <t>23N81A6232</t>
  </si>
  <si>
    <t>23N81A6233</t>
  </si>
  <si>
    <t>23N81A6234</t>
  </si>
  <si>
    <t>23N81A6235</t>
  </si>
  <si>
    <t>23N81A6236</t>
  </si>
  <si>
    <t>23N81A6237</t>
  </si>
  <si>
    <t>23N81A6238</t>
  </si>
  <si>
    <t>23N81A6239</t>
  </si>
  <si>
    <t>23N81A6240</t>
  </si>
  <si>
    <t>23N81A6241</t>
  </si>
  <si>
    <t>23N81A6242</t>
  </si>
  <si>
    <t>23N81A6243</t>
  </si>
  <si>
    <t>23N81A6244</t>
  </si>
  <si>
    <t>23N81A6245</t>
  </si>
  <si>
    <t>23N81A6246</t>
  </si>
  <si>
    <t>23N81A6247</t>
  </si>
  <si>
    <t>23N81A6248</t>
  </si>
  <si>
    <t>23N81A6249</t>
  </si>
  <si>
    <t>23N81A6250</t>
  </si>
  <si>
    <t>23N81A6251</t>
  </si>
  <si>
    <t>23N81A6252</t>
  </si>
  <si>
    <t>23N81A6253</t>
  </si>
  <si>
    <t>23N81A6254</t>
  </si>
  <si>
    <t>23N81A6255</t>
  </si>
  <si>
    <t>23N81A6256</t>
  </si>
  <si>
    <t>23N81A6257</t>
  </si>
  <si>
    <t>23N81A6258</t>
  </si>
  <si>
    <t>23N81A6259</t>
  </si>
  <si>
    <t>23N81A6260</t>
  </si>
  <si>
    <t>23N81A6261</t>
  </si>
  <si>
    <t>23N81A6262</t>
  </si>
  <si>
    <t>23N81A6263</t>
  </si>
  <si>
    <t>23N81A6264</t>
  </si>
  <si>
    <t>23N81A6266</t>
  </si>
  <si>
    <t>23N81A6267</t>
  </si>
  <si>
    <t>23N81A6268</t>
  </si>
  <si>
    <t>23N81A6269</t>
  </si>
  <si>
    <t>23N81A6270</t>
  </si>
  <si>
    <t>23N81A6271</t>
  </si>
  <si>
    <t>23N81A6272</t>
  </si>
  <si>
    <t>23N81A6273</t>
  </si>
  <si>
    <t>23N81A6274</t>
  </si>
  <si>
    <t>23N81A6275</t>
  </si>
  <si>
    <t>23N81A6277</t>
  </si>
  <si>
    <t>23N81A6278</t>
  </si>
  <si>
    <t>23N81A6279</t>
  </si>
  <si>
    <t>23N81A6280</t>
  </si>
  <si>
    <t>23N81A6281</t>
  </si>
  <si>
    <t>23N81A6282</t>
  </si>
  <si>
    <t>23N81A6283</t>
  </si>
  <si>
    <t>23N81A6284</t>
  </si>
  <si>
    <t>23N81A6285</t>
  </si>
  <si>
    <t>23N81A6286</t>
  </si>
  <si>
    <t>23N81A6287</t>
  </si>
  <si>
    <t>23N81A6288</t>
  </si>
  <si>
    <t>23N81A6290</t>
  </si>
  <si>
    <t>23N81A6291</t>
  </si>
  <si>
    <t>23N81A6292</t>
  </si>
  <si>
    <t>23N81A6293</t>
  </si>
  <si>
    <t>23N81A6294</t>
  </si>
  <si>
    <t>23N81A6295</t>
  </si>
  <si>
    <t>23N81A6296</t>
  </si>
  <si>
    <t>23N81A6297</t>
  </si>
  <si>
    <t>23N81A6298</t>
  </si>
  <si>
    <t>23N81A6299</t>
  </si>
  <si>
    <t>23N81A62A0</t>
  </si>
  <si>
    <t>23N81A62A1</t>
  </si>
  <si>
    <t>23N81A62A2</t>
  </si>
  <si>
    <t>23N81A62A3</t>
  </si>
  <si>
    <t>23N81A62A4</t>
  </si>
  <si>
    <t>23N81A62A5</t>
  </si>
  <si>
    <t>23N81A62A6</t>
  </si>
  <si>
    <t>23N81A62A8</t>
  </si>
  <si>
    <t>23N81A62A9</t>
  </si>
  <si>
    <t>23N81A62B0</t>
  </si>
  <si>
    <t>23N81A62B1</t>
  </si>
  <si>
    <t>23N81A62B2</t>
  </si>
  <si>
    <t>23N81A62B3</t>
  </si>
  <si>
    <t>23N81A62B4</t>
  </si>
  <si>
    <t>23N81A62B5</t>
  </si>
  <si>
    <t>23N81A62B6</t>
  </si>
  <si>
    <t>23N81A62B7</t>
  </si>
  <si>
    <t>23N81A62B8</t>
  </si>
  <si>
    <t>23N81A62B9</t>
  </si>
  <si>
    <t>23N81A62C0</t>
  </si>
  <si>
    <t>23N81A62C1</t>
  </si>
  <si>
    <t>23N81A62C2</t>
  </si>
  <si>
    <t>23N81A62C3</t>
  </si>
  <si>
    <t>23N81A62C4</t>
  </si>
  <si>
    <t>23N81A62C5</t>
  </si>
  <si>
    <t>23N81A62C6</t>
  </si>
  <si>
    <t>23N81A62C7</t>
  </si>
  <si>
    <t>23N81A62C8</t>
  </si>
  <si>
    <t>mukSherukhush1</t>
  </si>
  <si>
    <t xml:space="preserve">% students rated more than or equal to </t>
  </si>
  <si>
    <t>% of Max. Marks</t>
  </si>
  <si>
    <t xml:space="preserve"> of marks</t>
  </si>
  <si>
    <t>='IA Marks'!J5:S5</t>
  </si>
  <si>
    <t>SEE Marks</t>
  </si>
  <si>
    <t>Students' Rating</t>
  </si>
  <si>
    <t>Q1</t>
  </si>
  <si>
    <t>Q2</t>
  </si>
  <si>
    <t>Q3</t>
  </si>
  <si>
    <t>Q4</t>
  </si>
  <si>
    <t>Q5</t>
  </si>
  <si>
    <t>Q6</t>
  </si>
  <si>
    <t>No. of students</t>
  </si>
  <si>
    <t>Indirect Assessment Attainment Level</t>
  </si>
  <si>
    <t>One ( Some Ability )</t>
  </si>
  <si>
    <t>Two ( Adequate Ability )</t>
  </si>
  <si>
    <t>Three ( More than Adequate Ability )</t>
  </si>
  <si>
    <t>Questionaries on Course End Survey</t>
  </si>
  <si>
    <t>Understand the basics of instruction sets and their impact on processor design</t>
  </si>
  <si>
    <t>Demonstrate an understanding of the design of the functional units of a digital computer system.</t>
  </si>
  <si>
    <t>Evaluate cost performance and design trade-offs in designing and constructing a computer processor including memory</t>
  </si>
  <si>
    <t>Design a pipeline for consistent execution of instructions with minimum hazards.</t>
  </si>
  <si>
    <t>Recognize and manipulate representations of numbers stored in digital computer</t>
  </si>
  <si>
    <t>COURSE OUTCOMES (COs) ASSESSMENT MATRIX</t>
  </si>
  <si>
    <t>Academic Year:</t>
  </si>
  <si>
    <t>CO Attainment Indirect</t>
  </si>
  <si>
    <t>CO Attainment</t>
  </si>
  <si>
    <t>Course Name &amp; Course Code:</t>
  </si>
  <si>
    <t>Faculty Name:</t>
  </si>
  <si>
    <t>CO Attainment - Direct</t>
  </si>
  <si>
    <t>Cos</t>
  </si>
  <si>
    <t>Formative Assessment</t>
  </si>
  <si>
    <t>Summative Assessment</t>
  </si>
  <si>
    <t>Total Attainment Direct</t>
  </si>
  <si>
    <r>
      <rPr>
        <color rgb="FFFF0000"/>
        <family val="1"/>
        <sz val="12"/>
        <rFont val="Times New Roman"/>
      </rPr>
      <t xml:space="preserve">Note:
</t>
    </r>
    <r>
      <rPr>
        <b/>
        <color rgb="FFC00000"/>
        <family val="1"/>
        <sz val="12"/>
        <rFont val="Times New Roman"/>
      </rPr>
      <t>Total Attainment Direct</t>
    </r>
    <r>
      <rPr>
        <color rgb="FFFF0000"/>
        <family val="1"/>
        <sz val="12"/>
        <rFont val="Times New Roman"/>
      </rPr>
      <t xml:space="preserve"> = (Weightage*Formative Assessment)+(Weightage*Summative Assessment) Weightage for Formative Assessment = 50%; Weightage for Summative Assessment = 50%</t>
    </r>
  </si>
  <si>
    <r>
      <rPr>
        <b/>
        <color rgb="FFC00000"/>
        <family val="1"/>
        <sz val="12"/>
        <rFont val="Times New Roman"/>
      </rPr>
      <t>CO Attainment</t>
    </r>
    <r>
      <rPr>
        <color rgb="FFFF0000"/>
        <family val="1"/>
        <sz val="12"/>
        <rFont val="Times New Roman"/>
      </rPr>
      <t xml:space="preserve"> = (Weightage*Total Attaiinment Direct)+(Weightage*CO Attainment Indirect) Weightage for Total Attainment Direct = 90%; Weightage for CO Attainment Indirect = 10%</t>
    </r>
  </si>
  <si>
    <t>Average</t>
  </si>
  <si>
    <t>Faculty Name &amp; Signature:</t>
  </si>
  <si>
    <t>HOD Signature:</t>
  </si>
  <si>
    <t>PROGRAMME OUTCOME &amp; PROGRAMME SPECIFIC OUTCOME ASSESSMENT MATRIX</t>
  </si>
  <si>
    <t>CO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</si>
  <si>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</si>
  <si>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</si>
  <si>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</si>
  <si>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</si>
  <si>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</si>
  <si>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</si>
  <si>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</si>
  <si>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</si>
  <si>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</si>
  <si>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</si>
  <si>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</si>
  <si>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</si>
  <si>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</si>
  <si>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</si>
  <si>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</si>
  <si>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AVG</t>
  </si>
  <si>
    <t>Key Words (POs)</t>
  </si>
  <si>
    <t>Apply Knowledge</t>
  </si>
  <si>
    <t>Solve Problems</t>
  </si>
  <si>
    <t>Design/ Development of Solution</t>
  </si>
  <si>
    <t>Conduct Investigations</t>
  </si>
  <si>
    <t>Use Modern Tools</t>
  </si>
  <si>
    <t>Engineer and Society</t>
  </si>
  <si>
    <t>Environment and Sustainability</t>
  </si>
  <si>
    <t>Professional Ethics</t>
  </si>
  <si>
    <t>Individual and Team Work</t>
  </si>
  <si>
    <t>Communicate Effectively</t>
  </si>
  <si>
    <t>Project Management and Finance</t>
  </si>
  <si>
    <t>Life-long Learning</t>
  </si>
  <si>
    <t>PSO 1</t>
  </si>
  <si>
    <t>PSO 2</t>
  </si>
  <si>
    <t>PSO 3</t>
  </si>
  <si>
    <t>Attainment Level</t>
  </si>
  <si>
    <t>PO Attainment Calculation Direct</t>
  </si>
  <si>
    <t>COs</t>
  </si>
  <si>
    <t>CO Attainment Grade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</si>
  <si>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</si>
  <si>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</si>
  <si>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</si>
  <si>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</si>
  <si>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</si>
  <si>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</si>
  <si>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</si>
  <si>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</si>
  <si>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</si>
  <si>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Weighted Sum ---&gt;</t>
  </si>
  <si>
    <t>Max Weight --------&gt;</t>
  </si>
  <si>
    <t>PO Attainment in percentage</t>
  </si>
  <si>
    <t>:-----------&gt;</t>
  </si>
  <si>
    <t>PO Attained Grade</t>
  </si>
  <si>
    <t>PO Attainment Calculation Indirect</t>
  </si>
  <si>
    <t>Observations and Action Plan ( Direct)</t>
  </si>
  <si>
    <t xml:space="preserve">Course Outcome </t>
  </si>
  <si>
    <t xml:space="preserve">Target [Set Mannually] </t>
  </si>
  <si>
    <t>Attainment</t>
  </si>
  <si>
    <t>Gap</t>
  </si>
  <si>
    <t>Observation</t>
  </si>
  <si>
    <t>Action Proposed to bridge the Gap</t>
  </si>
  <si>
    <t>Outcomes on Actions for CAYm1 Observations/Suggestions</t>
  </si>
  <si>
    <t>SI. No.</t>
  </si>
  <si>
    <t>Action Taken</t>
  </si>
  <si>
    <t>Change Observed</t>
  </si>
  <si>
    <t xml:space="preserve">Observations and Action Plan </t>
  </si>
  <si>
    <t>Pos</t>
  </si>
  <si>
    <t>Attained</t>
  </si>
  <si>
    <t>Target</t>
  </si>
  <si>
    <t>Action plan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</si>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</sst>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7" x14ac:knownFonts="1">
    <font>
      <color theme="1"/>
      <family val="2"/>
      <scheme val="minor"/>
      <sz val="11"/>
      <name val="Calibri"/>
    </font>
    <font>
      <color rgb="FF000000"/>
      <family val="1"/>
      <sz val="10"/>
      <name val="Bookman Old Style"/>
    </font>
    <font>
      <b/>
      <color theme="1"/>
      <family val="1"/>
      <sz val="8"/>
      <name val="Bookman Old Style"/>
    </font>
    <font>
      <family val="2"/>
      <sz val="10"/>
      <name val="Calibri"/>
    </font>
    <font>
      <color theme="1"/>
      <family val="1"/>
      <sz val="10"/>
      <name val="Bookman Old Style"/>
    </font>
    <font>
      <color theme="0"/>
      <family val="1"/>
      <sz val="10"/>
      <name val="Bookman Old Style"/>
    </font>
    <font>
      <color rgb="FF000000"/>
      <family val="1"/>
      <sz val="11"/>
      <name val="Bookman Old Style"/>
    </font>
    <font>
      <b/>
      <color theme="1"/>
      <family val="1"/>
      <sz val="14"/>
      <name val="Bookman Old Style"/>
    </font>
    <font>
      <b/>
      <color rgb="FFC00000"/>
      <family val="1"/>
      <sz val="11"/>
      <name val="Bookman Old Style"/>
    </font>
    <font>
      <b/>
      <color rgb="FFFF0000"/>
      <family val="1"/>
      <sz val="11"/>
      <name val="Bookman Old Style"/>
    </font>
    <font>
      <b/>
      <color theme="1"/>
      <family val="1"/>
      <sz val="11"/>
      <name val="Bookman Old Style"/>
    </font>
    <font>
      <b/>
      <color rgb="FFFF0000"/>
      <family val="1"/>
      <sz val="8"/>
      <name val="Bookman Old Style"/>
    </font>
    <font>
      <b/>
      <color rgb="FFFF0000"/>
      <family val="1"/>
      <sz val="10"/>
      <name val="Bookman Old Style"/>
    </font>
    <font>
      <b/>
      <color rgb="FF0070C0"/>
      <family val="1"/>
      <sz val="16"/>
      <name val="Bookman Old Style"/>
    </font>
    <font>
      <b/>
      <color theme="1"/>
      <family val="1"/>
      <sz val="12"/>
      <name val="Bookman Old Style"/>
    </font>
    <font>
      <b/>
      <color rgb="FF000000"/>
      <family val="1"/>
      <sz val="14"/>
      <name val="Bookman Old Style"/>
    </font>
    <font>
      <color rgb="FFFF0000"/>
      <family val="1"/>
      <sz val="10"/>
      <name val="Bookman Old Style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color rgb="FF000000"/>
      <family val="2"/>
      <sz val="10"/>
      <name val="Calibri"/>
    </font>
    <font>
      <b/>
      <color rgb="FF000000"/>
      <family val="1"/>
      <sz val="11"/>
      <name val="Bookman Old Style"/>
    </font>
    <font>
      <b/>
      <color theme="1"/>
      <family val="1"/>
      <sz val="10"/>
      <name val="Bookman Old Style"/>
    </font>
    <font>
      <b/>
      <color theme="1"/>
      <family val="1"/>
      <sz val="22"/>
      <name val="Bookman Old Style"/>
    </font>
    <font>
      <color rgb="FF000000"/>
      <family val="1"/>
      <sz val="12"/>
      <name val="Times New Roman"/>
    </font>
    <font>
      <color rgb="FF000000"/>
      <family val="2"/>
      <sz val="12"/>
      <name val="Calibri"/>
    </font>
    <font>
      <color theme="1"/>
      <family val="1"/>
      <sz val="12"/>
      <name val="Bookman Old Style"/>
    </font>
    <font>
      <color theme="1"/>
      <family val="1"/>
      <sz val="12"/>
      <name val="Times New Roman"/>
    </font>
    <font>
      <color theme="1"/>
      <sz val="12"/>
      <name val="Times"/>
    </font>
    <font>
      <color rgb="FF000000"/>
      <scheme val="minor"/>
      <sz val="10"/>
      <name val="Calibri"/>
    </font>
    <font>
      <color rgb="FF000000"/>
      <family val="2"/>
      <sz val="11"/>
      <name val="Arial"/>
    </font>
    <font>
      <color rgb="FF000000"/>
      <family val="1"/>
      <sz val="12"/>
      <name val="Bookman Old Style"/>
    </font>
    <font>
      <b/>
      <color rgb="FF000000"/>
      <family val="1"/>
      <sz val="10"/>
      <name val="Bookman Old Style"/>
    </font>
    <font>
      <b/>
      <i/>
      <color theme="5" tint="0.7999816888943144"/>
      <family val="1"/>
      <sz val="8"/>
      <name val="Bookman Old Style"/>
    </font>
    <font>
      <color theme="8" tint="0.5999938962981048"/>
      <family val="1"/>
      <sz val="10"/>
      <name val="Bookman Old Style"/>
    </font>
    <font>
      <b/>
      <color theme="1"/>
      <family val="1"/>
      <sz val="20"/>
      <name val="Bookman Old Style"/>
    </font>
    <font>
      <b/>
      <color theme="0"/>
      <family val="1"/>
      <sz val="11"/>
      <name val="Bookman Old Style"/>
    </font>
    <font>
      <b/>
      <color rgb="FF0070C0"/>
      <family val="1"/>
      <sz val="12"/>
      <name val="Bookman Old Style"/>
    </font>
    <font>
      <family val="2"/>
      <sz val="12"/>
      <name val="Calibri"/>
    </font>
    <font>
      <b/>
      <color rgb="FF000000"/>
      <family val="1"/>
      <sz val="12"/>
      <name val="Bookman Old Style"/>
    </font>
    <font>
      <color rgb="FF333333"/>
      <family val="1"/>
      <sz val="12"/>
      <name val="Bookman Old Style"/>
    </font>
    <font>
      <b/>
      <color rgb="FFFF0000"/>
      <family val="1"/>
      <sz val="12"/>
      <name val="Bookman Old Style"/>
    </font>
    <font>
      <b/>
      <color rgb="FF0070C0"/>
      <family val="1"/>
      <sz val="13"/>
      <name val="Bookman Old Style"/>
    </font>
    <font>
      <b/>
      <color rgb="FF0070C0"/>
      <family val="1"/>
      <sz val="11"/>
      <name val="Bookman Old Style"/>
    </font>
    <font>
      <b/>
      <color rgb="FF0070C0"/>
      <family val="1"/>
      <sz val="14"/>
      <name val="Times New Roman"/>
    </font>
    <font>
      <color theme="9"/>
      <family val="2"/>
      <sz val="10"/>
      <name val="Arial"/>
    </font>
    <font>
      <b/>
      <color rgb="FF0070C0"/>
      <family val="1"/>
      <sz val="14"/>
      <name val="Bookman Old Style"/>
    </font>
    <font>
      <color rgb="FFFF0000"/>
      <family val="1"/>
      <sz val="12"/>
      <name val="Times New Roman"/>
    </font>
    <font>
      <b/>
      <color theme="1"/>
      <family val="1"/>
      <sz val="16"/>
      <name val="Bookman Old Style"/>
    </font>
    <font>
      <b/>
      <color rgb="FF000000"/>
      <family val="1"/>
      <sz val="16"/>
      <name val="Bookman Old Style"/>
    </font>
    <font>
      <b/>
      <color theme="1"/>
      <family val="1"/>
      <sz val="15"/>
      <name val="Bookman Old Style"/>
    </font>
    <font>
      <b/>
      <color rgb="FF000000"/>
      <family val="1"/>
      <sz val="8"/>
      <name val="Bookman Old Style"/>
    </font>
    <font>
      <b/>
      <color rgb="FF000000"/>
      <family val="1"/>
      <sz val="7"/>
      <name val="Bookman Old Style"/>
    </font>
    <font>
      <b/>
      <color rgb="FF000000"/>
      <family val="1"/>
      <sz val="6"/>
      <name val="Bookman Old Style"/>
    </font>
    <font>
      <color rgb="FF000000"/>
      <family val="1"/>
      <sz val="8"/>
      <name val="Bookman Old Style"/>
    </font>
    <font>
      <color rgb="FF000000"/>
      <family val="1"/>
      <sz val="22"/>
      <name val="Bookman Old Style"/>
    </font>
    <font>
      <color rgb="FFFF0000"/>
      <family val="1"/>
      <sz val="12"/>
      <name val="Bookman Old Style"/>
    </font>
    <font>
      <color rgb="FF000000"/>
      <family val="2"/>
      <scheme val="minor"/>
      <sz val="1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CBCBCB"/>
        <bgColor rgb="FFCBCBCB"/>
      </patternFill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theme="5" tint="0.5999938962981048"/>
        <bgColor indexed="64"/>
      </patternFill>
    </fill>
  </fills>
  <borders count="10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44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4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1" fillId="3" borderId="6" xfId="0" applyFont="1" applyFill="1" applyBorder="1" applyAlignment="1" applyProtection="1">
      <alignment horizontal="center"/>
      <protection locked="0"/>
    </xf>
    <xf numFmtId="0" fontId="5" fillId="4" borderId="0" xfId="0" applyFont="1" applyFill="1"/>
    <xf numFmtId="0" fontId="5" fillId="0" borderId="0" xfId="0" applyFont="1"/>
    <xf numFmtId="0" fontId="6" fillId="5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/>
      <protection locked="0"/>
    </xf>
    <xf numFmtId="0" fontId="6" fillId="6" borderId="6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4" fillId="2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1" fillId="3" borderId="13" xfId="0" applyFont="1" applyFill="1" applyBorder="1" applyAlignment="1" applyProtection="1">
      <alignment horizontal="center"/>
      <protection locked="0"/>
    </xf>
    <xf numFmtId="0" fontId="6" fillId="5" borderId="14" xfId="0" applyFont="1" applyFill="1" applyBorder="1" applyAlignment="1">
      <alignment horizontal="center" vertical="center"/>
    </xf>
    <xf numFmtId="0" fontId="6" fillId="6" borderId="13" xfId="0" applyFont="1" applyFill="1" applyBorder="1" applyAlignment="1" applyProtection="1">
      <alignment horizontal="center"/>
      <protection locked="0"/>
    </xf>
    <xf numFmtId="0" fontId="6" fillId="6" borderId="1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4" fillId="2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6" fillId="5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 applyProtection="1">
      <alignment horizontal="center" vertical="center"/>
      <protection locked="0"/>
    </xf>
    <xf numFmtId="0" fontId="6" fillId="6" borderId="18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9" fillId="7" borderId="15" xfId="0" applyFont="1" applyFill="1" applyBorder="1" applyAlignment="1" applyProtection="1">
      <alignment horizontal="center" vertical="center"/>
      <protection locked="0"/>
    </xf>
    <xf numFmtId="0" fontId="3" fillId="7" borderId="16" xfId="0" applyFont="1" applyFill="1" applyBorder="1" applyProtection="1">
      <protection locked="0"/>
    </xf>
    <xf numFmtId="0" fontId="3" fillId="7" borderId="19" xfId="0" applyFont="1" applyFill="1" applyBorder="1" applyProtection="1">
      <protection locked="0"/>
    </xf>
    <xf numFmtId="0" fontId="10" fillId="7" borderId="15" xfId="0" applyFont="1" applyFill="1" applyBorder="1" applyAlignment="1" applyProtection="1">
      <alignment horizontal="center" vertical="center"/>
      <protection locked="0"/>
    </xf>
    <xf numFmtId="0" fontId="9" fillId="0" borderId="20" xfId="0" applyFont="1" applyBorder="1" applyAlignment="1">
      <alignment horizontal="center" vertical="center"/>
    </xf>
    <xf numFmtId="0" fontId="10" fillId="7" borderId="20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7" borderId="15" xfId="0" applyFont="1" applyFill="1" applyBorder="1" applyAlignment="1" applyProtection="1">
      <alignment horizontal="center" vertical="center"/>
      <protection locked="0"/>
    </xf>
    <xf numFmtId="0" fontId="13" fillId="8" borderId="15" xfId="0" applyFont="1" applyFill="1" applyBorder="1" applyAlignment="1">
      <alignment horizontal="center" vertical="center"/>
    </xf>
    <xf numFmtId="0" fontId="14" fillId="9" borderId="19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/>
    </xf>
    <xf numFmtId="0" fontId="14" fillId="7" borderId="15" xfId="0" applyFont="1" applyFill="1" applyBorder="1" applyAlignment="1" applyProtection="1">
      <alignment horizontal="center" vertical="center"/>
      <protection locked="0"/>
    </xf>
    <xf numFmtId="0" fontId="3" fillId="7" borderId="9" xfId="0" applyFont="1" applyFill="1" applyBorder="1" applyProtection="1">
      <protection locked="0"/>
    </xf>
    <xf numFmtId="0" fontId="15" fillId="10" borderId="24" xfId="0" applyFont="1" applyFill="1" applyBorder="1" applyAlignment="1">
      <alignment horizontal="center" vertical="center"/>
    </xf>
    <xf numFmtId="0" fontId="3" fillId="0" borderId="0" xfId="0" applyFont="1"/>
    <xf numFmtId="0" fontId="3" fillId="0" borderId="25" xfId="0" applyFont="1" applyBorder="1"/>
    <xf numFmtId="0" fontId="16" fillId="0" borderId="0" xfId="0" applyFont="1"/>
    <xf numFmtId="0" fontId="14" fillId="0" borderId="2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3" fillId="0" borderId="27" xfId="0" applyFont="1" applyBorder="1"/>
    <xf numFmtId="0" fontId="14" fillId="8" borderId="15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14" fillId="6" borderId="29" xfId="0" applyFont="1" applyFill="1" applyBorder="1" applyAlignment="1">
      <alignment horizontal="center" vertical="center"/>
    </xf>
    <xf numFmtId="0" fontId="14" fillId="12" borderId="29" xfId="0" applyFont="1" applyFill="1" applyBorder="1" applyAlignment="1">
      <alignment horizontal="center" vertical="center"/>
    </xf>
    <xf numFmtId="0" fontId="14" fillId="13" borderId="30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3" fillId="0" borderId="31" xfId="0" applyFont="1" applyBorder="1"/>
    <xf numFmtId="0" fontId="17" fillId="7" borderId="32" xfId="0" applyFont="1" applyFill="1" applyBorder="1" applyAlignment="1" applyProtection="1">
      <alignment horizontal="center" vertical="center" wrapText="1"/>
      <protection locked="0"/>
    </xf>
    <xf numFmtId="0" fontId="17" fillId="7" borderId="32" xfId="0" applyFont="1" applyFill="1" applyBorder="1" applyAlignment="1" applyProtection="1">
      <alignment vertical="center" wrapText="1"/>
      <protection locked="0"/>
    </xf>
    <xf numFmtId="0" fontId="18" fillId="7" borderId="32" xfId="0" applyFont="1" applyFill="1" applyBorder="1" applyAlignment="1" applyProtection="1">
      <alignment vertical="center" wrapText="1"/>
      <protection locked="0"/>
    </xf>
    <xf numFmtId="0" fontId="18" fillId="0" borderId="2" xfId="0" applyFont="1" applyBorder="1" applyAlignment="1">
      <alignment vertical="center" wrapText="1"/>
    </xf>
    <xf numFmtId="0" fontId="14" fillId="7" borderId="32" xfId="0" applyFont="1" applyFill="1" applyBorder="1" applyAlignment="1" applyProtection="1">
      <alignment horizontal="center" vertical="center"/>
      <protection locked="0"/>
    </xf>
    <xf numFmtId="0" fontId="18" fillId="7" borderId="32" xfId="0" applyFont="1" applyFill="1" applyBorder="1" applyAlignment="1" applyProtection="1">
      <alignment vertical="center"/>
      <protection locked="0"/>
    </xf>
    <xf numFmtId="0" fontId="19" fillId="13" borderId="2" xfId="0" applyFont="1" applyFill="1" applyBorder="1" applyAlignment="1">
      <alignment horizontal="center"/>
    </xf>
    <xf numFmtId="0" fontId="14" fillId="0" borderId="33" xfId="0" applyFont="1" applyBorder="1" applyAlignment="1" applyProtection="1">
      <alignment horizontal="center" vertical="center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35" xfId="0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23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3" fillId="0" borderId="40" xfId="0" applyFont="1" applyBorder="1"/>
    <xf numFmtId="0" fontId="10" fillId="6" borderId="4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42" xfId="0" applyFont="1" applyBorder="1"/>
    <xf numFmtId="0" fontId="20" fillId="13" borderId="22" xfId="0" applyFont="1" applyFill="1" applyBorder="1" applyAlignment="1">
      <alignment horizontal="center" vertical="center"/>
    </xf>
    <xf numFmtId="0" fontId="20" fillId="13" borderId="42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3" fillId="0" borderId="43" xfId="0" applyFont="1" applyBorder="1"/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23" fillId="0" borderId="47" xfId="0" applyFont="1" applyBorder="1" applyProtection="1">
      <protection locked="0"/>
    </xf>
    <xf numFmtId="0" fontId="24" fillId="0" borderId="47" xfId="0" applyFont="1" applyBorder="1" applyProtection="1">
      <protection locked="0"/>
    </xf>
    <xf numFmtId="0" fontId="25" fillId="0" borderId="36" xfId="0" applyFont="1" applyBorder="1" applyAlignment="1">
      <alignment horizontal="center" vertical="center"/>
    </xf>
    <xf numFmtId="0" fontId="19" fillId="14" borderId="48" xfId="0" applyFont="1" applyFill="1" applyBorder="1" applyProtection="1">
      <protection locked="0"/>
    </xf>
    <xf numFmtId="0" fontId="19" fillId="14" borderId="49" xfId="0" applyFont="1" applyFill="1" applyBorder="1" applyProtection="1">
      <protection locked="0"/>
    </xf>
    <xf numFmtId="0" fontId="19" fillId="12" borderId="49" xfId="0" applyFont="1" applyFill="1" applyBorder="1" applyProtection="1">
      <protection locked="0"/>
    </xf>
    <xf numFmtId="0" fontId="19" fillId="6" borderId="49" xfId="0" applyFont="1" applyFill="1" applyBorder="1" applyProtection="1">
      <protection locked="0"/>
    </xf>
    <xf numFmtId="0" fontId="19" fillId="13" borderId="49" xfId="0" applyFont="1" applyFill="1" applyBorder="1" applyProtection="1">
      <protection locked="0"/>
    </xf>
    <xf numFmtId="0" fontId="19" fillId="13" borderId="50" xfId="0" applyFont="1" applyFill="1" applyBorder="1" applyProtection="1">
      <protection locked="0"/>
    </xf>
    <xf numFmtId="0" fontId="19" fillId="13" borderId="51" xfId="0" applyFont="1" applyFill="1" applyBorder="1"/>
    <xf numFmtId="0" fontId="18" fillId="0" borderId="32" xfId="0" applyFont="1" applyBorder="1" applyAlignment="1" applyProtection="1">
      <alignment horizontal="center" wrapText="1"/>
      <protection locked="0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19" fillId="14" borderId="53" xfId="0" applyFont="1" applyFill="1" applyBorder="1" applyProtection="1">
      <protection locked="0"/>
    </xf>
    <xf numFmtId="0" fontId="19" fillId="14" borderId="47" xfId="0" applyFont="1" applyFill="1" applyBorder="1" applyProtection="1">
      <protection locked="0"/>
    </xf>
    <xf numFmtId="0" fontId="19" fillId="12" borderId="47" xfId="0" applyFont="1" applyFill="1" applyBorder="1" applyProtection="1">
      <protection locked="0"/>
    </xf>
    <xf numFmtId="0" fontId="19" fillId="6" borderId="47" xfId="0" applyFont="1" applyFill="1" applyBorder="1" applyProtection="1">
      <protection locked="0"/>
    </xf>
    <xf numFmtId="0" fontId="19" fillId="13" borderId="47" xfId="0" applyFont="1" applyFill="1" applyBorder="1" applyProtection="1">
      <protection locked="0"/>
    </xf>
    <xf numFmtId="0" fontId="19" fillId="13" borderId="54" xfId="0" applyFont="1" applyFill="1" applyBorder="1" applyProtection="1">
      <protection locked="0"/>
    </xf>
    <xf numFmtId="0" fontId="19" fillId="13" borderId="11" xfId="0" applyFont="1" applyFill="1" applyBorder="1"/>
    <xf numFmtId="0" fontId="6" fillId="0" borderId="1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26" fillId="0" borderId="47" xfId="0" applyFont="1" applyBorder="1" applyAlignment="1" applyProtection="1">
      <alignment horizontal="left"/>
      <protection locked="0"/>
    </xf>
    <xf numFmtId="0" fontId="26" fillId="0" borderId="36" xfId="0" applyFont="1" applyBorder="1" applyAlignment="1" applyProtection="1">
      <alignment horizontal="left"/>
      <protection locked="0"/>
    </xf>
    <xf numFmtId="0" fontId="27" fillId="0" borderId="47" xfId="0" applyFont="1" applyBorder="1" applyAlignment="1" applyProtection="1">
      <alignment horizontal="left"/>
      <protection locked="0"/>
    </xf>
    <xf numFmtId="0" fontId="1" fillId="0" borderId="47" xfId="0" applyFont="1" applyBorder="1" applyAlignment="1" applyProtection="1">
      <alignment horizontal="left" vertical="top"/>
      <protection locked="0"/>
    </xf>
    <xf numFmtId="0" fontId="1" fillId="0" borderId="47" xfId="0" applyFont="1" applyBorder="1" applyAlignment="1" applyProtection="1">
      <alignment horizontal="left"/>
      <protection locked="0"/>
    </xf>
    <xf numFmtId="0" fontId="1" fillId="0" borderId="47" xfId="0" applyFont="1" applyBorder="1" applyProtection="1">
      <protection locked="0"/>
    </xf>
    <xf numFmtId="0" fontId="1" fillId="0" borderId="47" xfId="0" applyFont="1" applyBorder="1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0" fontId="18" fillId="0" borderId="47" xfId="0" applyFont="1" applyBorder="1" applyAlignment="1" applyProtection="1">
      <alignment horizontal="center"/>
      <protection locked="0"/>
    </xf>
    <xf numFmtId="0" fontId="18" fillId="0" borderId="47" xfId="0" applyFont="1" applyBorder="1" applyAlignment="1" applyProtection="1">
      <alignment horizontal="left"/>
      <protection locked="0"/>
    </xf>
    <xf numFmtId="0" fontId="6" fillId="0" borderId="23" xfId="0" applyFont="1" applyBorder="1" applyAlignment="1">
      <alignment horizontal="center" vertical="center"/>
    </xf>
    <xf numFmtId="0" fontId="29" fillId="0" borderId="47" xfId="0" applyFont="1" applyBorder="1" applyAlignment="1" applyProtection="1">
      <alignment horizontal="left" vertical="center"/>
      <protection locked="0"/>
    </xf>
    <xf numFmtId="0" fontId="19" fillId="14" borderId="55" xfId="0" applyFont="1" applyFill="1" applyBorder="1" applyProtection="1">
      <protection locked="0"/>
    </xf>
    <xf numFmtId="0" fontId="19" fillId="14" borderId="56" xfId="0" applyFont="1" applyFill="1" applyBorder="1" applyProtection="1">
      <protection locked="0"/>
    </xf>
    <xf numFmtId="0" fontId="19" fillId="12" borderId="56" xfId="0" applyFont="1" applyFill="1" applyBorder="1" applyProtection="1">
      <protection locked="0"/>
    </xf>
    <xf numFmtId="0" fontId="19" fillId="6" borderId="56" xfId="0" applyFont="1" applyFill="1" applyBorder="1" applyProtection="1">
      <protection locked="0"/>
    </xf>
    <xf numFmtId="0" fontId="19" fillId="13" borderId="56" xfId="0" applyFont="1" applyFill="1" applyBorder="1" applyProtection="1">
      <protection locked="0"/>
    </xf>
    <xf numFmtId="0" fontId="19" fillId="13" borderId="57" xfId="0" applyFont="1" applyFill="1" applyBorder="1" applyProtection="1">
      <protection locked="0"/>
    </xf>
    <xf numFmtId="0" fontId="19" fillId="13" borderId="58" xfId="0" applyFont="1" applyFill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18" fillId="0" borderId="0" xfId="0" applyFont="1"/>
    <xf numFmtId="0" fontId="1" fillId="0" borderId="32" xfId="0" applyFont="1" applyBorder="1"/>
    <xf numFmtId="0" fontId="6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25" fillId="0" borderId="0" xfId="0" applyFont="1"/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34" fillId="0" borderId="1" xfId="0" applyFont="1" applyBorder="1" applyAlignment="1">
      <alignment horizontal="center" wrapText="1"/>
    </xf>
    <xf numFmtId="0" fontId="1" fillId="3" borderId="6" xfId="0" applyFont="1" applyFill="1" applyBorder="1" applyAlignment="1">
      <alignment horizontal="center"/>
    </xf>
    <xf numFmtId="0" fontId="1" fillId="4" borderId="0" xfId="0" applyFont="1" applyFill="1"/>
    <xf numFmtId="0" fontId="1" fillId="3" borderId="13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7" fillId="0" borderId="15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9" fillId="0" borderId="15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Protection="1"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49" fontId="12" fillId="0" borderId="15" xfId="0" applyNumberFormat="1" applyFont="1" applyBorder="1" applyAlignment="1" applyProtection="1">
      <alignment horizontal="center" vertical="center"/>
      <protection locked="0"/>
    </xf>
    <xf numFmtId="49" fontId="12" fillId="0" borderId="16" xfId="0" applyNumberFormat="1" applyFont="1" applyBorder="1" applyAlignment="1" applyProtection="1">
      <alignment horizontal="center" vertical="center"/>
      <protection locked="0"/>
    </xf>
    <xf numFmtId="49" fontId="12" fillId="0" borderId="19" xfId="0" applyNumberFormat="1" applyFont="1" applyBorder="1" applyAlignment="1" applyProtection="1">
      <alignment horizontal="center" vertical="center"/>
      <protection locked="0"/>
    </xf>
    <xf numFmtId="0" fontId="36" fillId="8" borderId="15" xfId="0" applyFont="1" applyFill="1" applyBorder="1" applyAlignment="1">
      <alignment horizontal="center" vertical="center"/>
    </xf>
    <xf numFmtId="0" fontId="37" fillId="0" borderId="16" xfId="0" applyFont="1" applyBorder="1"/>
    <xf numFmtId="0" fontId="37" fillId="0" borderId="19" xfId="0" applyFont="1" applyBorder="1"/>
    <xf numFmtId="0" fontId="14" fillId="15" borderId="19" xfId="0" applyFont="1" applyFill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horizontal="center" vertical="center"/>
      <protection locked="0"/>
    </xf>
    <xf numFmtId="0" fontId="3" fillId="0" borderId="9" xfId="0" applyFont="1" applyBorder="1" applyProtection="1">
      <protection locked="0"/>
    </xf>
    <xf numFmtId="0" fontId="38" fillId="15" borderId="2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0" borderId="59" xfId="0" applyFont="1" applyBorder="1" applyAlignment="1" applyProtection="1">
      <alignment horizontal="center" vertical="center"/>
      <protection locked="0"/>
    </xf>
    <xf numFmtId="0" fontId="14" fillId="0" borderId="60" xfId="0" applyFont="1" applyBorder="1" applyAlignment="1" applyProtection="1">
      <alignment horizontal="center" vertical="center"/>
      <protection locked="0"/>
    </xf>
    <xf numFmtId="0" fontId="14" fillId="0" borderId="61" xfId="0" applyFont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center" vertical="center"/>
    </xf>
    <xf numFmtId="0" fontId="14" fillId="0" borderId="62" xfId="0" applyFont="1" applyBorder="1" applyAlignment="1" applyProtection="1">
      <alignment horizontal="center" vertical="center"/>
      <protection locked="0"/>
    </xf>
    <xf numFmtId="0" fontId="14" fillId="0" borderId="63" xfId="0" applyFont="1" applyBorder="1" applyAlignment="1" applyProtection="1">
      <alignment horizontal="center" vertical="center"/>
      <protection locked="0"/>
    </xf>
    <xf numFmtId="0" fontId="14" fillId="0" borderId="64" xfId="0" applyFont="1" applyBorder="1" applyAlignment="1" applyProtection="1">
      <alignment horizontal="center" vertical="center"/>
      <protection locked="0"/>
    </xf>
    <xf numFmtId="0" fontId="14" fillId="0" borderId="65" xfId="0" applyFont="1" applyBorder="1" applyAlignment="1" applyProtection="1">
      <alignment horizontal="center" vertical="center"/>
      <protection locked="0"/>
    </xf>
    <xf numFmtId="0" fontId="14" fillId="0" borderId="66" xfId="0" applyFont="1" applyBorder="1" applyAlignment="1" applyProtection="1">
      <alignment horizontal="center" vertical="center"/>
      <protection locked="0"/>
    </xf>
    <xf numFmtId="0" fontId="14" fillId="0" borderId="67" xfId="0" applyFont="1" applyBorder="1" applyAlignment="1" applyProtection="1">
      <alignment horizontal="center" vertical="center"/>
      <protection locked="0"/>
    </xf>
    <xf numFmtId="0" fontId="23" fillId="0" borderId="47" xfId="0" applyFont="1" applyBorder="1"/>
    <xf numFmtId="0" fontId="24" fillId="0" borderId="47" xfId="0" applyFont="1" applyBorder="1"/>
    <xf numFmtId="0" fontId="6" fillId="0" borderId="68" xfId="0" applyFont="1" applyBorder="1" applyAlignment="1">
      <alignment horizontal="center"/>
    </xf>
    <xf numFmtId="0" fontId="6" fillId="0" borderId="68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34" fillId="0" borderId="0" xfId="0" applyFont="1" applyAlignment="1">
      <alignment wrapText="1"/>
    </xf>
    <xf numFmtId="0" fontId="3" fillId="0" borderId="24" xfId="0" applyFont="1" applyBorder="1"/>
    <xf numFmtId="0" fontId="28" fillId="0" borderId="0" xfId="0" applyFont="1"/>
    <xf numFmtId="0" fontId="7" fillId="0" borderId="0" xfId="0" applyFont="1" applyAlignment="1">
      <alignment wrapText="1"/>
    </xf>
    <xf numFmtId="0" fontId="14" fillId="0" borderId="6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/>
    </xf>
    <xf numFmtId="0" fontId="3" fillId="0" borderId="69" xfId="0" applyFont="1" applyBorder="1"/>
    <xf numFmtId="0" fontId="21" fillId="0" borderId="71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3" fillId="0" borderId="73" xfId="0" applyFont="1" applyBorder="1"/>
    <xf numFmtId="0" fontId="3" fillId="0" borderId="74" xfId="0" applyFont="1" applyBorder="1"/>
    <xf numFmtId="0" fontId="3" fillId="0" borderId="75" xfId="0" applyFont="1" applyBorder="1"/>
    <xf numFmtId="0" fontId="31" fillId="0" borderId="6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 wrapText="1"/>
    </xf>
    <xf numFmtId="0" fontId="14" fillId="0" borderId="76" xfId="0" applyFont="1" applyBorder="1" applyAlignment="1">
      <alignment horizontal="center"/>
    </xf>
    <xf numFmtId="2" fontId="14" fillId="0" borderId="7" xfId="0" applyNumberFormat="1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9" fontId="1" fillId="0" borderId="0" xfId="0" applyNumberFormat="1" applyFont="1"/>
    <xf numFmtId="0" fontId="2" fillId="0" borderId="7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40" fillId="0" borderId="0" xfId="0" applyFont="1" applyAlignment="1">
      <alignment vertical="center"/>
    </xf>
    <xf numFmtId="0" fontId="31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1" fillId="0" borderId="70" xfId="0" applyFont="1" applyBorder="1" applyAlignment="1" applyProtection="1">
      <alignment horizontal="left"/>
      <protection locked="0"/>
    </xf>
    <xf numFmtId="0" fontId="3" fillId="0" borderId="4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14" fillId="0" borderId="14" xfId="0" applyFont="1" applyBorder="1" applyAlignment="1">
      <alignment horizontal="center" vertical="center"/>
    </xf>
    <xf numFmtId="0" fontId="1" fillId="0" borderId="36" xfId="0" applyFont="1" applyBorder="1" applyAlignment="1" applyProtection="1">
      <alignment horizontal="left"/>
      <protection locked="0"/>
    </xf>
    <xf numFmtId="0" fontId="3" fillId="0" borderId="11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1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1" fillId="16" borderId="26" xfId="0" applyFont="1" applyFill="1" applyBorder="1" applyAlignment="1">
      <alignment horizontal="center" vertical="center" wrapText="1"/>
    </xf>
    <xf numFmtId="0" fontId="42" fillId="8" borderId="26" xfId="0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 wrapText="1"/>
    </xf>
    <xf numFmtId="0" fontId="14" fillId="0" borderId="7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3" fillId="0" borderId="79" xfId="0" applyFont="1" applyBorder="1"/>
    <xf numFmtId="0" fontId="44" fillId="0" borderId="0" xfId="0" applyFont="1"/>
    <xf numFmtId="0" fontId="14" fillId="0" borderId="8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5" fillId="17" borderId="1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52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14" fillId="2" borderId="14" xfId="0" applyFont="1" applyFill="1" applyBorder="1" applyAlignment="1">
      <alignment horizontal="center" vertical="center"/>
    </xf>
    <xf numFmtId="0" fontId="14" fillId="2" borderId="47" xfId="0" applyFont="1" applyFill="1" applyBorder="1" applyAlignment="1">
      <alignment horizontal="center" vertical="center"/>
    </xf>
    <xf numFmtId="2" fontId="14" fillId="2" borderId="13" xfId="0" applyNumberFormat="1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38" fillId="16" borderId="76" xfId="0" applyFont="1" applyFill="1" applyBorder="1" applyAlignment="1">
      <alignment horizontal="center" vertical="center"/>
    </xf>
    <xf numFmtId="0" fontId="38" fillId="6" borderId="10" xfId="0" applyFont="1" applyFill="1" applyBorder="1" applyAlignment="1">
      <alignment horizontal="center" vertical="center"/>
    </xf>
    <xf numFmtId="0" fontId="38" fillId="16" borderId="81" xfId="0" applyFont="1" applyFill="1" applyBorder="1" applyAlignment="1">
      <alignment horizontal="center" vertical="center"/>
    </xf>
    <xf numFmtId="0" fontId="46" fillId="0" borderId="24" xfId="0" applyFont="1" applyBorder="1" applyAlignment="1">
      <alignment horizontal="left" vertical="center" wrapText="1"/>
    </xf>
    <xf numFmtId="0" fontId="3" fillId="0" borderId="46" xfId="0" applyFont="1" applyBorder="1"/>
    <xf numFmtId="2" fontId="14" fillId="8" borderId="20" xfId="0" applyNumberFormat="1" applyFont="1" applyFill="1" applyBorder="1" applyAlignment="1">
      <alignment horizontal="center" vertical="center" wrapText="1"/>
    </xf>
    <xf numFmtId="0" fontId="38" fillId="2" borderId="43" xfId="0" applyFont="1" applyFill="1" applyBorder="1" applyAlignment="1">
      <alignment horizontal="center" vertical="center"/>
    </xf>
    <xf numFmtId="0" fontId="38" fillId="10" borderId="4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/>
    </xf>
    <xf numFmtId="0" fontId="47" fillId="8" borderId="78" xfId="0" applyFont="1" applyFill="1" applyBorder="1" applyAlignment="1">
      <alignment horizontal="center" vertical="center"/>
    </xf>
    <xf numFmtId="0" fontId="3" fillId="0" borderId="82" xfId="0" applyFont="1" applyBorder="1"/>
    <xf numFmtId="0" fontId="3" fillId="0" borderId="41" xfId="0" applyFont="1" applyBorder="1"/>
    <xf numFmtId="0" fontId="7" fillId="18" borderId="21" xfId="0" applyFont="1" applyFill="1" applyBorder="1" applyAlignment="1">
      <alignment horizontal="center" vertical="center"/>
    </xf>
    <xf numFmtId="0" fontId="3" fillId="0" borderId="38" xfId="0" applyFont="1" applyBorder="1"/>
    <xf numFmtId="0" fontId="14" fillId="0" borderId="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14" fillId="0" borderId="24" xfId="0" applyFont="1" applyBorder="1" applyAlignment="1">
      <alignment horizontal="center" vertical="center"/>
    </xf>
    <xf numFmtId="0" fontId="4" fillId="0" borderId="32" xfId="0" applyFont="1" applyBorder="1"/>
    <xf numFmtId="0" fontId="3" fillId="0" borderId="32" xfId="0" applyFont="1" applyBorder="1"/>
    <xf numFmtId="0" fontId="14" fillId="0" borderId="8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 wrapText="1"/>
    </xf>
    <xf numFmtId="0" fontId="47" fillId="19" borderId="27" xfId="0" applyFont="1" applyFill="1" applyBorder="1" applyAlignment="1">
      <alignment horizontal="center" vertical="center" wrapText="1"/>
    </xf>
    <xf numFmtId="0" fontId="47" fillId="19" borderId="25" xfId="0" applyFont="1" applyFill="1" applyBorder="1" applyAlignment="1">
      <alignment horizontal="center" vertical="center" wrapText="1"/>
    </xf>
    <xf numFmtId="0" fontId="47" fillId="19" borderId="2" xfId="0" applyFont="1" applyFill="1" applyBorder="1" applyAlignment="1">
      <alignment horizontal="center" vertical="center" wrapText="1"/>
    </xf>
    <xf numFmtId="0" fontId="48" fillId="6" borderId="83" xfId="0" applyFont="1" applyFill="1" applyBorder="1" applyAlignment="1">
      <alignment horizontal="center"/>
    </xf>
    <xf numFmtId="0" fontId="48" fillId="6" borderId="84" xfId="0" applyFont="1" applyFill="1" applyBorder="1" applyAlignment="1">
      <alignment horizontal="center"/>
    </xf>
    <xf numFmtId="0" fontId="48" fillId="6" borderId="27" xfId="0" applyFont="1" applyFill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23" fillId="7" borderId="85" xfId="0" applyFont="1" applyFill="1" applyBorder="1" applyAlignment="1" applyProtection="1">
      <alignment horizontal="center" vertical="center" wrapText="1"/>
      <protection locked="0"/>
    </xf>
    <xf numFmtId="0" fontId="23" fillId="7" borderId="86" xfId="0" applyFont="1" applyFill="1" applyBorder="1" applyAlignment="1" applyProtection="1">
      <alignment horizontal="center" vertical="center" wrapText="1"/>
      <protection locked="0"/>
    </xf>
    <xf numFmtId="0" fontId="30" fillId="7" borderId="19" xfId="0" applyFont="1" applyFill="1" applyBorder="1" applyAlignment="1" applyProtection="1">
      <alignment horizontal="center" vertical="center" wrapText="1"/>
      <protection locked="0"/>
    </xf>
    <xf numFmtId="0" fontId="23" fillId="7" borderId="87" xfId="0" applyFont="1" applyFill="1" applyBorder="1" applyAlignment="1" applyProtection="1">
      <alignment horizontal="center" vertical="center" wrapText="1"/>
      <protection locked="0"/>
    </xf>
    <xf numFmtId="0" fontId="30" fillId="7" borderId="46" xfId="0" applyFont="1" applyFill="1" applyBorder="1" applyAlignment="1" applyProtection="1">
      <alignment horizontal="center" vertical="center" wrapText="1"/>
      <protection locked="0"/>
    </xf>
    <xf numFmtId="0" fontId="10" fillId="0" borderId="2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3" fillId="7" borderId="88" xfId="0" applyFont="1" applyFill="1" applyBorder="1" applyAlignment="1" applyProtection="1">
      <alignment horizontal="center" vertical="center" wrapText="1"/>
      <protection locked="0"/>
    </xf>
    <xf numFmtId="0" fontId="30" fillId="7" borderId="43" xfId="0" applyFont="1" applyFill="1" applyBorder="1" applyAlignment="1" applyProtection="1">
      <alignment horizontal="center" vertical="center" wrapText="1"/>
      <protection locked="0"/>
    </xf>
    <xf numFmtId="0" fontId="49" fillId="0" borderId="43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50" fillId="8" borderId="20" xfId="0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 wrapText="1"/>
    </xf>
    <xf numFmtId="0" fontId="50" fillId="8" borderId="26" xfId="0" applyFont="1" applyFill="1" applyBorder="1" applyAlignment="1">
      <alignment horizontal="center" vertical="center" wrapText="1"/>
    </xf>
    <xf numFmtId="0" fontId="51" fillId="8" borderId="2" xfId="0" applyFont="1" applyFill="1" applyBorder="1" applyAlignment="1">
      <alignment horizontal="center" vertical="center" wrapText="1"/>
    </xf>
    <xf numFmtId="0" fontId="51" fillId="8" borderId="26" xfId="0" applyFont="1" applyFill="1" applyBorder="1" applyAlignment="1">
      <alignment horizontal="center" vertical="center" wrapText="1"/>
    </xf>
    <xf numFmtId="0" fontId="52" fillId="8" borderId="2" xfId="0" applyFont="1" applyFill="1" applyBorder="1" applyAlignment="1">
      <alignment horizontal="center" vertical="center" wrapText="1"/>
    </xf>
    <xf numFmtId="0" fontId="51" fillId="8" borderId="89" xfId="0" applyFont="1" applyFill="1" applyBorder="1" applyAlignment="1">
      <alignment horizontal="center" vertical="center" wrapText="1"/>
    </xf>
    <xf numFmtId="0" fontId="50" fillId="8" borderId="90" xfId="0" applyFont="1" applyFill="1" applyBorder="1" applyAlignment="1">
      <alignment horizontal="center" vertical="center" wrapText="1"/>
    </xf>
    <xf numFmtId="0" fontId="50" fillId="8" borderId="27" xfId="0" applyFont="1" applyFill="1" applyBorder="1" applyAlignment="1">
      <alignment horizontal="center" vertical="center" wrapText="1"/>
    </xf>
    <xf numFmtId="0" fontId="53" fillId="0" borderId="0" xfId="0" applyFont="1"/>
    <xf numFmtId="0" fontId="31" fillId="0" borderId="1" xfId="0" applyFont="1" applyBorder="1"/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31" fillId="0" borderId="8" xfId="0" applyFont="1" applyBorder="1"/>
    <xf numFmtId="0" fontId="20" fillId="0" borderId="71" xfId="0" applyFont="1" applyBorder="1" applyAlignment="1">
      <alignment horizontal="center"/>
    </xf>
    <xf numFmtId="0" fontId="20" fillId="0" borderId="91" xfId="0" applyFont="1" applyBorder="1" applyAlignment="1">
      <alignment horizontal="center"/>
    </xf>
    <xf numFmtId="0" fontId="31" fillId="20" borderId="15" xfId="0" applyFont="1" applyFill="1" applyBorder="1"/>
    <xf numFmtId="0" fontId="38" fillId="6" borderId="28" xfId="0" applyFont="1" applyFill="1" applyBorder="1" applyAlignment="1">
      <alignment horizontal="center"/>
    </xf>
    <xf numFmtId="0" fontId="38" fillId="6" borderId="20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7" fillId="19" borderId="89" xfId="0" applyFont="1" applyFill="1" applyBorder="1" applyAlignment="1">
      <alignment horizontal="center" vertical="center"/>
    </xf>
    <xf numFmtId="0" fontId="7" fillId="19" borderId="84" xfId="0" applyFont="1" applyFill="1" applyBorder="1" applyAlignment="1">
      <alignment horizontal="center" vertical="center"/>
    </xf>
    <xf numFmtId="0" fontId="7" fillId="19" borderId="92" xfId="0" applyFont="1" applyFill="1" applyBorder="1" applyAlignment="1">
      <alignment horizontal="center" vertical="center"/>
    </xf>
    <xf numFmtId="0" fontId="48" fillId="6" borderId="26" xfId="0" applyFont="1" applyFill="1" applyBorder="1" applyAlignment="1">
      <alignment horizontal="center"/>
    </xf>
    <xf numFmtId="0" fontId="10" fillId="0" borderId="76" xfId="0" applyFont="1" applyBorder="1" applyAlignment="1">
      <alignment horizontal="center" vertical="center" wrapText="1"/>
    </xf>
    <xf numFmtId="2" fontId="1" fillId="0" borderId="82" xfId="0" applyNumberFormat="1" applyFont="1" applyBorder="1" applyAlignment="1">
      <alignment horizontal="center" wrapText="1"/>
    </xf>
    <xf numFmtId="0" fontId="3" fillId="0" borderId="33" xfId="0" applyFont="1" applyBorder="1"/>
    <xf numFmtId="0" fontId="30" fillId="0" borderId="7" xfId="0" applyFont="1" applyBorder="1" applyAlignment="1">
      <alignment horizontal="center" vertical="top" wrapText="1"/>
    </xf>
    <xf numFmtId="0" fontId="30" fillId="0" borderId="52" xfId="0" applyFont="1" applyBorder="1" applyAlignment="1">
      <alignment horizontal="center" vertical="top" wrapText="1"/>
    </xf>
    <xf numFmtId="0" fontId="30" fillId="0" borderId="6" xfId="0" applyFont="1" applyBorder="1" applyAlignment="1">
      <alignment horizontal="center" vertical="top" wrapText="1"/>
    </xf>
    <xf numFmtId="0" fontId="10" fillId="0" borderId="81" xfId="0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wrapText="1"/>
    </xf>
    <xf numFmtId="0" fontId="30" fillId="0" borderId="14" xfId="0" applyFont="1" applyBorder="1" applyAlignment="1">
      <alignment horizontal="center" vertical="top" wrapText="1"/>
    </xf>
    <xf numFmtId="0" fontId="30" fillId="0" borderId="47" xfId="0" applyFont="1" applyBorder="1" applyAlignment="1">
      <alignment horizontal="center" vertical="top" wrapText="1"/>
    </xf>
    <xf numFmtId="0" fontId="30" fillId="0" borderId="13" xfId="0" applyFont="1" applyBorder="1" applyAlignment="1">
      <alignment horizontal="center" vertical="top" wrapText="1"/>
    </xf>
    <xf numFmtId="2" fontId="1" fillId="0" borderId="11" xfId="0" applyNumberFormat="1" applyFont="1" applyBorder="1" applyAlignment="1">
      <alignment horizontal="center"/>
    </xf>
    <xf numFmtId="0" fontId="30" fillId="0" borderId="93" xfId="0" applyFont="1" applyBorder="1" applyAlignment="1">
      <alignment horizontal="center" vertical="top" wrapText="1"/>
    </xf>
    <xf numFmtId="0" fontId="30" fillId="0" borderId="68" xfId="0" applyFont="1" applyBorder="1" applyAlignment="1">
      <alignment horizontal="center" vertical="top" wrapText="1"/>
    </xf>
    <xf numFmtId="0" fontId="30" fillId="0" borderId="41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6" fillId="0" borderId="28" xfId="0" applyNumberFormat="1" applyFont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2" fontId="6" fillId="0" borderId="30" xfId="0" applyNumberFormat="1" applyFont="1" applyBorder="1" applyAlignment="1">
      <alignment horizontal="center"/>
    </xf>
    <xf numFmtId="0" fontId="21" fillId="0" borderId="2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top" wrapText="1"/>
    </xf>
    <xf numFmtId="0" fontId="7" fillId="0" borderId="29" xfId="0" applyFont="1" applyBorder="1" applyAlignment="1">
      <alignment horizontal="center" vertical="top" wrapText="1"/>
    </xf>
    <xf numFmtId="0" fontId="48" fillId="0" borderId="29" xfId="0" applyFont="1" applyBorder="1" applyAlignment="1">
      <alignment horizontal="center" vertical="top"/>
    </xf>
    <xf numFmtId="0" fontId="48" fillId="0" borderId="30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8" fillId="0" borderId="73" xfId="0" applyFont="1" applyBorder="1" applyAlignment="1">
      <alignment horizontal="center"/>
    </xf>
    <xf numFmtId="0" fontId="8" fillId="0" borderId="94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54" fillId="17" borderId="1" xfId="0" applyFont="1" applyFill="1" applyBorder="1" applyAlignment="1">
      <alignment horizontal="center"/>
    </xf>
    <xf numFmtId="0" fontId="48" fillId="6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30" fillId="0" borderId="2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9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30" fillId="0" borderId="4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2" fontId="6" fillId="0" borderId="96" xfId="0" applyNumberFormat="1" applyFont="1" applyBorder="1" applyAlignment="1">
      <alignment horizontal="center"/>
    </xf>
    <xf numFmtId="2" fontId="6" fillId="0" borderId="97" xfId="0" applyNumberFormat="1" applyFont="1" applyBorder="1" applyAlignment="1">
      <alignment horizontal="center"/>
    </xf>
    <xf numFmtId="2" fontId="6" fillId="0" borderId="98" xfId="0" applyNumberFormat="1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9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/>
    </xf>
    <xf numFmtId="0" fontId="38" fillId="0" borderId="28" xfId="0" applyFont="1" applyBorder="1" applyAlignment="1">
      <alignment horizontal="center" vertical="center" wrapText="1"/>
    </xf>
    <xf numFmtId="0" fontId="50" fillId="21" borderId="29" xfId="0" applyFont="1" applyFill="1" applyBorder="1" applyAlignment="1">
      <alignment horizontal="center" vertical="center" wrapText="1"/>
    </xf>
    <xf numFmtId="0" fontId="50" fillId="0" borderId="29" xfId="0" applyFont="1" applyBorder="1" applyAlignment="1">
      <alignment horizontal="center" vertical="center" wrapText="1"/>
    </xf>
    <xf numFmtId="0" fontId="50" fillId="0" borderId="100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 wrapText="1"/>
    </xf>
    <xf numFmtId="0" fontId="55" fillId="0" borderId="68" xfId="0" applyFont="1" applyBorder="1" applyAlignment="1">
      <alignment horizontal="center" vertical="center" wrapText="1"/>
    </xf>
    <xf numFmtId="0" fontId="55" fillId="21" borderId="68" xfId="0" applyFont="1" applyFill="1" applyBorder="1" applyAlignment="1">
      <alignment horizontal="center" vertical="center" wrapText="1"/>
    </xf>
    <xf numFmtId="0" fontId="55" fillId="0" borderId="40" xfId="0" applyFont="1" applyBorder="1" applyAlignment="1">
      <alignment horizontal="left" vertical="center" wrapText="1"/>
    </xf>
    <xf numFmtId="0" fontId="30" fillId="0" borderId="0" xfId="0" applyFont="1" applyAlignment="1">
      <alignment horizontal="center" wrapText="1"/>
    </xf>
    <xf numFmtId="0" fontId="55" fillId="0" borderId="47" xfId="0" applyFont="1" applyBorder="1" applyAlignment="1">
      <alignment wrapText="1"/>
    </xf>
    <xf numFmtId="0" fontId="55" fillId="21" borderId="47" xfId="0" applyFont="1" applyFill="1" applyBorder="1" applyAlignment="1" applyProtection="1">
      <alignment wrapText="1"/>
      <protection locked="0"/>
    </xf>
    <xf numFmtId="0" fontId="55" fillId="0" borderId="47" xfId="0" applyFont="1" applyBorder="1" applyAlignment="1" applyProtection="1">
      <alignment wrapText="1"/>
      <protection locked="0"/>
    </xf>
    <xf numFmtId="0" fontId="55" fillId="0" borderId="79" xfId="0" applyFont="1" applyBorder="1" applyAlignment="1" applyProtection="1">
      <alignment wrapText="1"/>
      <protection locked="0"/>
    </xf>
    <xf numFmtId="0" fontId="55" fillId="21" borderId="63" xfId="0" applyFont="1" applyFill="1" applyBorder="1" applyAlignment="1" applyProtection="1">
      <alignment wrapText="1"/>
      <protection locked="0"/>
    </xf>
    <xf numFmtId="0" fontId="55" fillId="0" borderId="63" xfId="0" applyFont="1" applyBorder="1" applyAlignment="1">
      <alignment wrapText="1"/>
    </xf>
    <xf numFmtId="0" fontId="55" fillId="0" borderId="63" xfId="0" applyFont="1" applyBorder="1" applyAlignment="1" applyProtection="1">
      <alignment wrapText="1"/>
      <protection locked="0"/>
    </xf>
    <xf numFmtId="0" fontId="55" fillId="0" borderId="95" xfId="0" applyFont="1" applyBorder="1" applyAlignment="1" applyProtection="1">
      <alignment wrapText="1"/>
      <protection locked="0"/>
    </xf>
    <xf numFmtId="0" fontId="18" fillId="21" borderId="101" xfId="0" applyFont="1" applyFill="1" applyBorder="1" applyProtection="1">
      <protection locked="0"/>
    </xf>
    <xf numFmtId="0" fontId="18" fillId="0" borderId="101" xfId="0" applyFont="1" applyBorder="1"/>
    <xf numFmtId="0" fontId="18" fillId="0" borderId="101" xfId="0" applyFont="1" applyBorder="1" applyProtection="1">
      <protection locked="0"/>
    </xf>
    <xf numFmtId="0" fontId="18" fillId="0" borderId="42" xfId="0" applyFont="1" applyBorder="1" applyProtection="1">
      <protection locked="0"/>
    </xf>
    <xf numFmtId="0" fontId="38" fillId="0" borderId="8" xfId="0" applyFont="1" applyBorder="1" applyAlignment="1">
      <alignment horizontal="center"/>
    </xf>
    <xf numFmtId="0" fontId="31" fillId="0" borderId="83" xfId="0" applyFont="1" applyBorder="1" applyAlignment="1">
      <alignment horizontal="center" vertical="center" wrapText="1"/>
    </xf>
    <xf numFmtId="0" fontId="38" fillId="0" borderId="84" xfId="0" applyFont="1" applyBorder="1" applyAlignment="1">
      <alignment horizontal="center" vertical="center"/>
    </xf>
    <xf numFmtId="0" fontId="38" fillId="0" borderId="92" xfId="0" applyFont="1" applyBorder="1" applyAlignment="1">
      <alignment horizontal="center" vertical="center"/>
    </xf>
    <xf numFmtId="0" fontId="18" fillId="0" borderId="18" xfId="0" applyFont="1" applyBorder="1"/>
    <xf numFmtId="0" fontId="18" fillId="0" borderId="18" xfId="0" applyFont="1" applyBorder="1" applyProtection="1">
      <protection locked="0"/>
    </xf>
    <xf numFmtId="0" fontId="20" fillId="0" borderId="1" xfId="0" applyFont="1" applyBorder="1" applyAlignment="1">
      <alignment horizontal="right" vertical="center" wrapText="1"/>
    </xf>
    <xf numFmtId="0" fontId="18" fillId="0" borderId="95" xfId="0" applyFont="1" applyBorder="1" applyAlignment="1">
      <alignment horizontal="center"/>
    </xf>
    <xf numFmtId="0" fontId="20" fillId="0" borderId="0" xfId="0" applyFont="1" applyAlignment="1">
      <alignment vertical="center" wrapText="1"/>
    </xf>
    <xf numFmtId="0" fontId="3" fillId="0" borderId="24" xfId="0" applyFont="1" applyBorder="1" applyAlignment="1">
      <alignment horizontal="right"/>
    </xf>
    <xf numFmtId="0" fontId="18" fillId="0" borderId="25" xfId="0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18" fillId="0" borderId="46" xfId="0" applyFont="1" applyBorder="1" applyAlignment="1">
      <alignment horizontal="center"/>
    </xf>
    <xf numFmtId="0" fontId="50" fillId="8" borderId="32" xfId="0" applyFont="1" applyFill="1" applyBorder="1" applyAlignment="1">
      <alignment horizontal="center" vertical="center" wrapText="1"/>
    </xf>
    <xf numFmtId="0" fontId="50" fillId="8" borderId="32" xfId="0" applyFont="1" applyFill="1" applyBorder="1" applyAlignment="1">
      <alignment horizontal="left" vertical="center" wrapText="1"/>
    </xf>
    <xf numFmtId="0" fontId="28" fillId="0" borderId="32" xfId="0" applyFont="1" applyBorder="1" applyAlignment="1" applyProtection="1">
      <alignment horizontal="center"/>
      <protection locked="0"/>
    </xf>
    <xf numFmtId="0" fontId="56" fillId="0" borderId="0" xfId="0" applyFont="1"/>
    <xf numFmtId="0" fontId="28" fillId="0" borderId="102" xfId="0" applyFont="1" applyBorder="1"/>
    <xf numFmtId="0" fontId="1" fillId="0" borderId="103" xfId="0" applyFont="1" applyBorder="1" applyAlignment="1">
      <alignment horizontal="center"/>
    </xf>
    <xf numFmtId="0" fontId="3" fillId="0" borderId="104" xfId="0" applyFont="1" applyBorder="1"/>
    <xf numFmtId="0" fontId="3" fillId="0" borderId="105" xfId="0" applyFont="1" applyBorder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18</xdr:col>
      <xdr:colOff>0</xdr:colOff>
      <xdr:row>0</xdr:row>
      <xdr:rowOff>106680</xdr:rowOff>
    </xdr:from>
    <xdr:ext cx="5737860" cy="57911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1950720</xdr:colOff>
      <xdr:row>0</xdr:row>
      <xdr:rowOff>38100</xdr:rowOff>
    </xdr:from>
    <xdr:ext cx="5737860" cy="57911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Z400"/>
  <sheetViews>
    <sheetView workbookViewId="0" zoomScale="100" zoomScaleNormal="100">
      <pane ySplit="12" topLeftCell="A31" activePane="bottomLeft" state="frozen"/>
      <selection pane="bottomLeft" activeCell="J5" sqref="J5"/>
    </sheetView>
  </sheetViews>
  <sheetFormatPr defaultRowHeight="15" outlineLevelRow="0" outlineLevelCol="0" x14ac:dyDescent="0.3" defaultColWidth="14.44140625"/>
  <cols>
    <col min="1" max="1" width="17.5546875" customWidth="1"/>
    <col min="2" max="2" width="36.88671875" customWidth="1"/>
    <col min="3" max="3" width="14" customWidth="1"/>
    <col min="4" max="19" width="5.6640625" customWidth="1"/>
    <col min="20" max="20" width="2.44140625" customWidth="1"/>
    <col min="21" max="36" width="5.6640625" customWidth="1"/>
    <col min="37" max="38" width="6.44140625" customWidth="1"/>
    <col min="39" max="40" width="4" customWidth="1"/>
    <col min="41" max="42" width="6.44140625" customWidth="1"/>
    <col min="43" max="44" width="6.6640625" customWidth="1"/>
    <col min="45" max="46" width="6.44140625" customWidth="1"/>
    <col min="47" max="48" width="4.109375" customWidth="1"/>
    <col min="49" max="49" width="3.33203125" customWidth="1"/>
    <col min="50" max="50" width="3.6640625" hidden="1" customWidth="1"/>
    <col min="51" max="51" width="4.6640625" customWidth="1"/>
    <col min="52" max="52" width="9.33203125" customWidth="1"/>
    <col min="53" max="53" width="5.88671875" customWidth="1"/>
    <col min="54" max="60" width="7.33203125" customWidth="1"/>
    <col min="61" max="61" width="6.44140625" customWidth="1"/>
    <col min="62" max="62" width="9.33203125" customWidth="1"/>
    <col min="63" max="63" width="7.88671875" customWidth="1"/>
    <col min="64" max="64" width="6.44140625" customWidth="1"/>
    <col min="65" max="65" width="9.33203125" customWidth="1"/>
    <col min="66" max="66" width="7.6640625" customWidth="1"/>
    <col min="67" max="67" width="6.44140625" customWidth="1"/>
    <col min="68" max="68" width="9.33203125" customWidth="1"/>
    <col min="69" max="69" width="7.6640625" customWidth="1"/>
    <col min="70" max="70" width="6.44140625" customWidth="1"/>
    <col min="71" max="71" width="9.33203125" customWidth="1"/>
    <col min="72" max="72" width="7.6640625" customWidth="1"/>
    <col min="73" max="73" width="6.44140625" customWidth="1"/>
    <col min="74" max="74" width="9.33203125" customWidth="1"/>
    <col min="75" max="75" width="7.6640625" customWidth="1"/>
    <col min="76" max="76" width="6.44140625" customWidth="1"/>
    <col min="77" max="77" width="9.33203125" customWidth="1"/>
    <col min="78" max="78" width="7.5546875" customWidth="1"/>
  </cols>
  <sheetData>
    <row r="1" ht="27" customHeight="1" spans="1:78" x14ac:dyDescent="0.25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 t="s">
        <v>1</v>
      </c>
      <c r="BB1" s="5"/>
      <c r="BC1" s="5"/>
      <c r="BD1" s="5"/>
      <c r="BE1" s="5"/>
      <c r="BF1" s="6"/>
      <c r="BG1" s="7">
        <v>40</v>
      </c>
      <c r="BH1" s="8" t="s">
        <v>2</v>
      </c>
      <c r="BI1" s="9" t="s">
        <v>3</v>
      </c>
      <c r="BJ1" s="10" t="s">
        <v>4</v>
      </c>
      <c r="BK1" s="11">
        <v>40</v>
      </c>
      <c r="BL1" s="8"/>
      <c r="BM1" s="9"/>
      <c r="BN1" s="10"/>
      <c r="BO1" s="12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ht="31.8" customHeight="1" spans="1:78" x14ac:dyDescent="0.25">
      <c r="A2" s="1"/>
      <c r="B2" s="9" t="s">
        <v>5</v>
      </c>
      <c r="C2" s="1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5" t="s">
        <v>6</v>
      </c>
      <c r="BB2" s="16"/>
      <c r="BC2" s="16"/>
      <c r="BD2" s="16"/>
      <c r="BE2" s="16"/>
      <c r="BF2" s="17"/>
      <c r="BG2" s="18">
        <v>60</v>
      </c>
      <c r="BH2" s="8" t="s">
        <v>7</v>
      </c>
      <c r="BI2" s="9"/>
      <c r="BJ2" s="19" t="s">
        <v>8</v>
      </c>
      <c r="BK2" s="20">
        <v>50</v>
      </c>
      <c r="BL2" s="8"/>
      <c r="BM2" s="9"/>
      <c r="BN2" s="19"/>
      <c r="BO2" s="2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ht="15" customHeight="1" spans="1:78" x14ac:dyDescent="0.25">
      <c r="A3" s="22" t="s">
        <v>9</v>
      </c>
      <c r="C3" s="22"/>
      <c r="D3" s="23" t="s">
        <v>10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5"/>
      <c r="AZ3" s="24"/>
      <c r="BA3" s="26" t="s">
        <v>11</v>
      </c>
      <c r="BB3" s="16"/>
      <c r="BC3" s="16"/>
      <c r="BD3" s="16"/>
      <c r="BE3" s="16"/>
      <c r="BF3" s="17"/>
      <c r="BG3" s="27">
        <v>80</v>
      </c>
      <c r="BH3" s="8" t="s">
        <v>12</v>
      </c>
      <c r="BI3" s="9"/>
      <c r="BJ3" s="28" t="s">
        <v>13</v>
      </c>
      <c r="BK3" s="29">
        <v>60</v>
      </c>
      <c r="BL3" s="8"/>
      <c r="BM3" s="9"/>
      <c r="BN3" s="28"/>
      <c r="BO3" s="30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</row>
    <row r="4" ht="15" customHeight="1" spans="1:78" x14ac:dyDescent="0.25">
      <c r="A4" s="22"/>
      <c r="B4" s="31" t="s">
        <v>14</v>
      </c>
      <c r="C4" s="22"/>
      <c r="D4" s="32" t="s">
        <v>15</v>
      </c>
      <c r="E4" s="33"/>
      <c r="F4" s="33"/>
      <c r="G4" s="33"/>
      <c r="H4" s="33"/>
      <c r="I4" s="33"/>
      <c r="J4" s="33"/>
      <c r="K4" s="33"/>
      <c r="L4" s="34"/>
      <c r="M4" s="33"/>
      <c r="N4" s="35" t="s">
        <v>16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7"/>
      <c r="Z4" s="32" t="s">
        <v>17</v>
      </c>
      <c r="AA4" s="34"/>
      <c r="AB4" s="33"/>
      <c r="AC4" s="38">
        <v>7</v>
      </c>
      <c r="AD4" s="36"/>
      <c r="AE4" s="37"/>
      <c r="AF4" s="34"/>
      <c r="AG4" s="39" t="s">
        <v>18</v>
      </c>
      <c r="AH4" s="39"/>
      <c r="AI4" s="40"/>
      <c r="AJ4" s="32" t="s">
        <v>19</v>
      </c>
      <c r="AK4" s="33"/>
      <c r="AL4" s="33"/>
      <c r="AM4" s="33"/>
      <c r="AN4" s="33"/>
      <c r="AO4" s="34"/>
      <c r="AP4" s="38" t="s">
        <v>20</v>
      </c>
      <c r="AQ4" s="37"/>
      <c r="AR4" s="33"/>
      <c r="AS4" s="32" t="s">
        <v>21</v>
      </c>
      <c r="AT4" s="33"/>
      <c r="AU4" s="33"/>
      <c r="AV4" s="33"/>
      <c r="AW4" s="33"/>
      <c r="AX4" s="33"/>
      <c r="AY4" s="38">
        <v>109</v>
      </c>
      <c r="AZ4" s="37"/>
      <c r="BA4" s="41" t="s">
        <v>22</v>
      </c>
      <c r="BB4" s="42"/>
      <c r="BC4" s="42"/>
      <c r="BD4" s="42"/>
      <c r="BE4" s="42"/>
      <c r="BF4" s="43"/>
      <c r="BG4" s="44">
        <v>20</v>
      </c>
      <c r="BH4" s="45"/>
      <c r="BI4" s="46"/>
      <c r="BJ4" s="46"/>
      <c r="BK4" s="46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</row>
    <row r="5" ht="21.6" customHeight="1" spans="1:78" x14ac:dyDescent="0.25">
      <c r="A5" s="22"/>
      <c r="B5" s="22"/>
      <c r="C5" s="22"/>
      <c r="D5" s="47" t="s">
        <v>23</v>
      </c>
      <c r="E5" s="33"/>
      <c r="F5" s="33"/>
      <c r="G5" s="33"/>
      <c r="H5" s="34"/>
      <c r="I5" s="33"/>
      <c r="J5" s="48" t="s">
        <v>24</v>
      </c>
      <c r="K5" s="36"/>
      <c r="L5" s="36"/>
      <c r="M5" s="36"/>
      <c r="N5" s="36"/>
      <c r="O5" s="36"/>
      <c r="P5" s="36"/>
      <c r="Q5" s="36"/>
      <c r="R5" s="36"/>
      <c r="S5" s="36"/>
      <c r="T5" s="33"/>
      <c r="U5" s="49" t="s">
        <v>25</v>
      </c>
      <c r="V5" s="33"/>
      <c r="W5" s="33"/>
      <c r="X5" s="33"/>
      <c r="Y5" s="34"/>
      <c r="Z5" s="50">
        <v>50</v>
      </c>
      <c r="AA5" s="32" t="s">
        <v>26</v>
      </c>
      <c r="AB5" s="51"/>
      <c r="AC5" s="33"/>
      <c r="AD5" s="33"/>
      <c r="AE5" s="33"/>
      <c r="AF5" s="33"/>
      <c r="AG5" s="33"/>
      <c r="AH5" s="33"/>
      <c r="AI5" s="52" t="s">
        <v>27</v>
      </c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53"/>
      <c r="AZ5" s="36"/>
      <c r="BA5" s="54" t="s">
        <v>28</v>
      </c>
      <c r="BB5" s="55"/>
      <c r="BC5" s="55"/>
      <c r="BD5" s="55"/>
      <c r="BE5" s="55"/>
      <c r="BF5" s="55"/>
      <c r="BG5" s="56"/>
      <c r="BH5" s="55"/>
      <c r="BI5" s="46"/>
      <c r="BJ5" s="46"/>
      <c r="BK5" s="46"/>
      <c r="BL5" s="22"/>
      <c r="BM5" s="22"/>
      <c r="BN5" s="57" t="str">
        <f>BH1&amp;BK1&amp;""&amp;BL1&amp;""&amp;AK5&amp;BI1</f>
        <v>Attainment Level 1: 40% of maximum marks </v>
      </c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</row>
    <row r="6" ht="15.75" customHeight="1" spans="1:78" x14ac:dyDescent="0.25">
      <c r="A6" s="58" t="s">
        <v>29</v>
      </c>
      <c r="B6" s="58" t="s">
        <v>30</v>
      </c>
      <c r="C6" s="59"/>
      <c r="D6" s="60" t="s">
        <v>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3"/>
      <c r="U6" s="61" t="s">
        <v>32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62"/>
      <c r="AK6" s="63" t="s">
        <v>31</v>
      </c>
      <c r="AL6" t="s">
        <v>31</v>
      </c>
      <c r="AM6" t="s">
        <v>31</v>
      </c>
      <c r="AN6" t="s">
        <v>32</v>
      </c>
      <c r="AO6" t="s">
        <v>32</v>
      </c>
      <c r="AP6" t="s">
        <v>32</v>
      </c>
      <c r="BA6" s="64" t="s">
        <v>33</v>
      </c>
      <c r="BB6" s="65" t="s">
        <v>34</v>
      </c>
      <c r="BC6" s="65" t="s">
        <v>35</v>
      </c>
      <c r="BD6" s="66" t="s">
        <v>36</v>
      </c>
      <c r="BE6" s="66" t="s">
        <v>37</v>
      </c>
      <c r="BF6" s="67" t="s">
        <v>38</v>
      </c>
      <c r="BG6" s="68" t="s">
        <v>39</v>
      </c>
      <c r="BH6" s="69"/>
      <c r="BI6" s="46"/>
      <c r="BJ6" s="46"/>
      <c r="BK6" s="46"/>
      <c r="BL6" s="22"/>
      <c r="BM6" s="22"/>
      <c r="BN6" s="57" t="str">
        <f>BH2&amp;BK2&amp;""&amp;BL1&amp;""&amp;AK5&amp;BI1</f>
        <v>Attainment Level 2: 50% of maximum marks </v>
      </c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</row>
    <row r="7" ht="15.75" customHeight="1" spans="1:78" x14ac:dyDescent="0.25">
      <c r="A7" s="70"/>
      <c r="B7" s="70"/>
      <c r="C7" s="59" t="s">
        <v>40</v>
      </c>
      <c r="D7" s="71">
        <v>2</v>
      </c>
      <c r="E7" s="71">
        <v>2</v>
      </c>
      <c r="F7" s="72">
        <v>3</v>
      </c>
      <c r="G7" s="72">
        <v>3</v>
      </c>
      <c r="H7" s="71">
        <v>2</v>
      </c>
      <c r="I7" s="71">
        <v>2</v>
      </c>
      <c r="J7" s="71">
        <v>1</v>
      </c>
      <c r="K7" s="72">
        <v>1</v>
      </c>
      <c r="L7" s="71">
        <v>2</v>
      </c>
      <c r="M7" s="71">
        <v>2</v>
      </c>
      <c r="N7" s="71">
        <v>3</v>
      </c>
      <c r="O7" s="72">
        <v>3</v>
      </c>
      <c r="P7" s="71">
        <v>5</v>
      </c>
      <c r="Q7" s="71">
        <v>5</v>
      </c>
      <c r="R7" s="71"/>
      <c r="S7" s="73"/>
      <c r="T7" s="74"/>
      <c r="U7" s="75">
        <v>3</v>
      </c>
      <c r="V7" s="75"/>
      <c r="W7" s="75">
        <v>2</v>
      </c>
      <c r="X7" s="75">
        <v>2</v>
      </c>
      <c r="Y7" s="75">
        <v>3</v>
      </c>
      <c r="Z7" s="75"/>
      <c r="AA7" s="75">
        <v>4</v>
      </c>
      <c r="AB7" s="75"/>
      <c r="AC7" s="75">
        <v>3</v>
      </c>
      <c r="AD7" s="75"/>
      <c r="AE7" s="76">
        <v>3</v>
      </c>
      <c r="AF7" s="76"/>
      <c r="AG7" s="75">
        <v>5</v>
      </c>
      <c r="AH7" s="75"/>
      <c r="AI7" s="75"/>
      <c r="AJ7" s="75"/>
      <c r="AK7" s="77" t="s">
        <v>41</v>
      </c>
      <c r="AL7" t="s">
        <v>41</v>
      </c>
      <c r="AM7" t="s">
        <v>41</v>
      </c>
      <c r="AN7" t="s">
        <v>41</v>
      </c>
      <c r="AO7" t="s">
        <v>41</v>
      </c>
      <c r="AP7" t="s">
        <v>41</v>
      </c>
      <c r="BA7" s="78">
        <v>1</v>
      </c>
      <c r="BB7" s="79">
        <v>2</v>
      </c>
      <c r="BC7" s="79">
        <v>3</v>
      </c>
      <c r="BD7" s="79">
        <v>4</v>
      </c>
      <c r="BE7" s="79">
        <v>5</v>
      </c>
      <c r="BF7" s="80"/>
      <c r="BG7" s="80"/>
      <c r="BH7" s="81"/>
      <c r="BI7" s="46"/>
      <c r="BJ7" s="46"/>
      <c r="BK7" s="46"/>
      <c r="BL7" s="22"/>
      <c r="BM7" s="22"/>
      <c r="BN7" s="57" t="str">
        <f>BH3&amp;BK3&amp;""&amp;BL1&amp;""&amp;AK5&amp;BI1</f>
        <v>Attainment Level 3: 60% of maximum marks </v>
      </c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</row>
    <row r="8" ht="15.75" customHeight="1" spans="1:78" x14ac:dyDescent="0.25">
      <c r="A8" s="70"/>
      <c r="B8" s="70"/>
      <c r="C8" s="59" t="s">
        <v>42</v>
      </c>
      <c r="D8" s="82" t="s">
        <v>43</v>
      </c>
      <c r="E8" s="82" t="s">
        <v>44</v>
      </c>
      <c r="F8" s="82" t="s">
        <v>45</v>
      </c>
      <c r="G8" s="82" t="s">
        <v>46</v>
      </c>
      <c r="H8" s="82" t="s">
        <v>47</v>
      </c>
      <c r="I8" s="82" t="s">
        <v>48</v>
      </c>
      <c r="J8" s="82" t="s">
        <v>49</v>
      </c>
      <c r="K8" s="82" t="s">
        <v>50</v>
      </c>
      <c r="L8" s="82" t="s">
        <v>51</v>
      </c>
      <c r="M8" s="82" t="s">
        <v>52</v>
      </c>
      <c r="N8" s="82" t="s">
        <v>53</v>
      </c>
      <c r="O8" s="82" t="s">
        <v>54</v>
      </c>
      <c r="P8" s="82"/>
      <c r="Q8" s="82"/>
      <c r="R8" s="82"/>
      <c r="S8" s="82"/>
      <c r="T8" s="59"/>
      <c r="U8" s="82" t="s">
        <v>43</v>
      </c>
      <c r="V8" s="82" t="s">
        <v>44</v>
      </c>
      <c r="W8" s="82" t="s">
        <v>45</v>
      </c>
      <c r="X8" s="82" t="s">
        <v>46</v>
      </c>
      <c r="Y8" s="82" t="s">
        <v>47</v>
      </c>
      <c r="Z8" s="82" t="s">
        <v>48</v>
      </c>
      <c r="AA8" s="82" t="s">
        <v>49</v>
      </c>
      <c r="AB8" s="82" t="s">
        <v>50</v>
      </c>
      <c r="AC8" s="82" t="s">
        <v>51</v>
      </c>
      <c r="AD8" s="82" t="s">
        <v>52</v>
      </c>
      <c r="AE8" s="82" t="s">
        <v>53</v>
      </c>
      <c r="AF8" s="82" t="s">
        <v>54</v>
      </c>
      <c r="AG8" s="82"/>
      <c r="AH8" s="82"/>
      <c r="AI8" s="82"/>
      <c r="AJ8" s="82"/>
      <c r="AK8" t="s">
        <v>55</v>
      </c>
      <c r="AL8" t="s">
        <v>56</v>
      </c>
      <c r="AM8" t="s">
        <v>57</v>
      </c>
      <c r="AN8" t="s">
        <v>55</v>
      </c>
      <c r="AO8" t="s">
        <v>56</v>
      </c>
      <c r="AP8" t="s">
        <v>57</v>
      </c>
      <c r="BA8" s="83">
        <v>1</v>
      </c>
      <c r="BB8" s="84">
        <v>2</v>
      </c>
      <c r="BC8" s="84">
        <v>3</v>
      </c>
      <c r="BD8" s="84">
        <v>4</v>
      </c>
      <c r="BE8" s="84">
        <v>5</v>
      </c>
      <c r="BF8" s="84">
        <v>6</v>
      </c>
      <c r="BG8" s="85">
        <v>7</v>
      </c>
      <c r="BH8" s="81"/>
      <c r="BI8" s="86" t="s">
        <v>58</v>
      </c>
      <c r="BJ8" s="3"/>
      <c r="BK8" s="62"/>
      <c r="BL8" s="87" t="s">
        <v>59</v>
      </c>
      <c r="BM8" s="33"/>
      <c r="BN8" s="34"/>
      <c r="BO8" s="87" t="s">
        <v>60</v>
      </c>
      <c r="BP8" s="33"/>
      <c r="BQ8" s="34"/>
      <c r="BR8" s="87" t="s">
        <v>61</v>
      </c>
      <c r="BS8" s="33"/>
      <c r="BT8" s="34"/>
      <c r="BU8" s="87" t="s">
        <v>62</v>
      </c>
      <c r="BV8" s="33"/>
      <c r="BW8" s="34"/>
      <c r="BX8" s="87" t="s">
        <v>63</v>
      </c>
      <c r="BY8" s="33"/>
      <c r="BZ8" s="34"/>
    </row>
    <row r="9" ht="15.75" customHeight="1" spans="1:78" x14ac:dyDescent="0.25">
      <c r="A9" s="70"/>
      <c r="B9" s="70"/>
      <c r="C9" s="88" t="s">
        <v>64</v>
      </c>
      <c r="D9" s="75">
        <v>5</v>
      </c>
      <c r="E9" s="75"/>
      <c r="F9" s="75">
        <v>5</v>
      </c>
      <c r="G9" s="75"/>
      <c r="H9" s="75">
        <v>5</v>
      </c>
      <c r="I9" s="75"/>
      <c r="J9" s="75">
        <v>2.5</v>
      </c>
      <c r="K9" s="75">
        <v>2.5</v>
      </c>
      <c r="L9" s="75">
        <v>3</v>
      </c>
      <c r="M9" s="75">
        <v>2</v>
      </c>
      <c r="N9" s="75">
        <v>5</v>
      </c>
      <c r="O9" s="75">
        <v>0</v>
      </c>
      <c r="P9" s="75">
        <v>5</v>
      </c>
      <c r="Q9" s="75">
        <v>5</v>
      </c>
      <c r="R9" s="75"/>
      <c r="S9" s="75"/>
      <c r="T9" s="89"/>
      <c r="U9" s="75">
        <v>5</v>
      </c>
      <c r="V9" s="75"/>
      <c r="W9" s="75">
        <v>3</v>
      </c>
      <c r="X9" s="75">
        <v>2</v>
      </c>
      <c r="Y9" s="75">
        <v>5</v>
      </c>
      <c r="Z9" s="75"/>
      <c r="AA9" s="75">
        <v>5</v>
      </c>
      <c r="AB9" s="75"/>
      <c r="AC9" s="75">
        <v>5</v>
      </c>
      <c r="AD9" s="75"/>
      <c r="AE9" s="75">
        <v>5</v>
      </c>
      <c r="AF9" s="75"/>
      <c r="AG9" s="75">
        <v>5</v>
      </c>
      <c r="AH9" s="75"/>
      <c r="AI9" s="75"/>
      <c r="AJ9" s="75"/>
      <c r="AK9">
        <v>10</v>
      </c>
      <c r="AL9">
        <v>5</v>
      </c>
      <c r="AM9">
        <v>35</v>
      </c>
      <c r="AN9">
        <v>10</v>
      </c>
      <c r="AO9">
        <v>5</v>
      </c>
      <c r="AP9">
        <v>35</v>
      </c>
      <c r="BA9" s="90">
        <v>10</v>
      </c>
      <c r="BB9" s="91">
        <v>10</v>
      </c>
      <c r="BC9" s="91">
        <v>10</v>
      </c>
      <c r="BD9" s="91">
        <v>10</v>
      </c>
      <c r="BE9" s="91">
        <v>10</v>
      </c>
      <c r="BF9" s="92"/>
      <c r="BG9" s="92"/>
      <c r="BH9" s="81"/>
      <c r="BI9" s="93" t="s">
        <v>65</v>
      </c>
      <c r="BJ9" s="94"/>
      <c r="BK9" s="95">
        <f>IFERROR(IF(BK10&lt;BK1,0,IF(BK10&gt;=BK3,3,IF(BK10&gt;=BK2,2,1))),0)</f>
        <v>3</v>
      </c>
      <c r="BL9" s="93" t="s">
        <v>65</v>
      </c>
      <c r="BM9" s="94"/>
      <c r="BN9" s="96">
        <f>IFERROR(IF(BN10&lt;BK1,0,IF(BN10&gt;=BK3,3,IF(BN10&gt;=BK2,2,1))),0)</f>
        <v>3</v>
      </c>
      <c r="BO9" s="93" t="s">
        <v>65</v>
      </c>
      <c r="BP9" s="94"/>
      <c r="BQ9" s="96">
        <f>IFERROR(IF(BQ10&lt;BK1,0,IF(BQ10&gt;=BK3,3,IF(BQ10&gt;=BK2,2,1))),0)</f>
        <v>3</v>
      </c>
      <c r="BR9" s="93" t="s">
        <v>65</v>
      </c>
      <c r="BS9" s="94"/>
      <c r="BT9" s="96">
        <f>IFERROR(IF(BT10&lt;BK1,0,IF(BT10&gt;=BK3,3,IF(BT10&gt;=BK2,2,1))),0)</f>
        <v>3</v>
      </c>
      <c r="BU9" s="93" t="s">
        <v>65</v>
      </c>
      <c r="BV9" s="94"/>
      <c r="BW9" s="96">
        <f>IFERROR(IF(BW10&lt;BK1,0,IF(BW10&gt;=BK3,3,IF(BW10&gt;=BK2,2,1))),0)</f>
        <v>3</v>
      </c>
      <c r="BX9" s="93" t="s">
        <v>65</v>
      </c>
      <c r="BY9" s="94"/>
      <c r="BZ9" s="96">
        <f>IFERROR(IF(BZ10&lt;BK1,0,IF(BZ10&gt;=BK3,3,IF(BZ10&gt;=BK2,2,1))),0)</f>
        <v>0</v>
      </c>
    </row>
    <row r="10" ht="15.75" customHeight="1" spans="1:78" x14ac:dyDescent="0.25">
      <c r="A10" s="70"/>
      <c r="B10" s="70"/>
      <c r="C10" s="97"/>
      <c r="D10" s="98" t="s">
        <v>66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100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BA10" s="3"/>
      <c r="BB10" s="3"/>
      <c r="BC10" s="3"/>
      <c r="BD10" s="3"/>
      <c r="BE10" s="3"/>
      <c r="BF10" s="3"/>
      <c r="BG10" s="62"/>
      <c r="BH10" s="55"/>
      <c r="BI10" s="101" t="s">
        <v>67</v>
      </c>
      <c r="BJ10" s="102"/>
      <c r="BK10" s="103">
        <f>IFERROR(BK11/BI11*100,0)</f>
        <v>85.12396694214877</v>
      </c>
      <c r="BL10" s="101" t="s">
        <v>67</v>
      </c>
      <c r="BM10" s="102"/>
      <c r="BN10" s="104">
        <f>IFERROR(BN11/BL11*100,0)</f>
        <v>89.25619834710744</v>
      </c>
      <c r="BO10" s="101" t="s">
        <v>67</v>
      </c>
      <c r="BP10" s="102"/>
      <c r="BQ10" s="104">
        <f>IFERROR(BQ11/BO11*100,0)</f>
        <v>86.77685950413223</v>
      </c>
      <c r="BR10" s="101" t="s">
        <v>67</v>
      </c>
      <c r="BS10" s="102"/>
      <c r="BT10" s="104">
        <f>IFERROR(BT11/BR11*100,0)</f>
        <v>80.99173553719008</v>
      </c>
      <c r="BU10" s="101" t="s">
        <v>67</v>
      </c>
      <c r="BV10" s="102"/>
      <c r="BW10" s="104">
        <f>IFERROR(BW11/BU11*100,0)</f>
        <v>78.51239669421489</v>
      </c>
      <c r="BX10" s="101" t="s">
        <v>67</v>
      </c>
      <c r="BY10" s="102"/>
      <c r="BZ10" s="104">
        <f>IFERROR(BZ11/BX11*100,0)</f>
        <v>0</v>
      </c>
    </row>
    <row r="11" ht="15.75" customHeight="1" spans="1:78" x14ac:dyDescent="0.25">
      <c r="A11" s="70"/>
      <c r="B11" s="70"/>
      <c r="C11" s="70"/>
      <c r="D11" s="98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BG11" s="56"/>
      <c r="BH11" s="55"/>
      <c r="BI11" s="105">
        <f>COUNTIF(BJ13:BJ200,"&gt;"&amp;0)</f>
        <v>121</v>
      </c>
      <c r="BJ11" s="34"/>
      <c r="BK11" s="106">
        <f>COUNTIF(BK13:BK200,"&gt;="&amp;Z5)</f>
        <v>103</v>
      </c>
      <c r="BL11" s="105">
        <f>COUNTIF(BM13:BM200,"&gt;"&amp;0)</f>
        <v>121</v>
      </c>
      <c r="BM11" s="34"/>
      <c r="BN11" s="107">
        <f>COUNTIF(BN13:BN200,"&gt;="&amp;Z5)</f>
        <v>108</v>
      </c>
      <c r="BO11" s="105">
        <f>COUNTIF(BP13:BP200,"&gt;"&amp;0)</f>
        <v>121</v>
      </c>
      <c r="BP11" s="34"/>
      <c r="BQ11" s="107">
        <f>COUNTIF(BQ13:BQ200,"&gt;="&amp;Z5)</f>
        <v>105</v>
      </c>
      <c r="BR11" s="105">
        <f>COUNTIF(BS13:BS200,"&gt;"&amp;0)</f>
        <v>121</v>
      </c>
      <c r="BS11" s="34"/>
      <c r="BT11" s="107">
        <f>COUNTIF(BT13:BT200,"&gt;="&amp;Z5)</f>
        <v>98</v>
      </c>
      <c r="BU11" s="105">
        <f>COUNTIF(BV13:BV200,"&gt;"&amp;0)</f>
        <v>121</v>
      </c>
      <c r="BV11" s="34"/>
      <c r="BW11" s="107">
        <f>COUNTIF(BW13:BW200,"&gt;="&amp;Z5)</f>
        <v>95</v>
      </c>
      <c r="BX11" s="105">
        <f>COUNTIF(BY13:BY200,"&gt;"&amp;0)</f>
        <v>0</v>
      </c>
      <c r="BY11" s="34"/>
      <c r="BZ11" s="107">
        <f>COUNTIF(BZ13:BZ200,"&gt;="&amp;Z5)</f>
        <v>0</v>
      </c>
    </row>
    <row r="12" ht="15.75" customHeight="1" spans="1:78" x14ac:dyDescent="0.25">
      <c r="A12" s="108"/>
      <c r="B12" s="108"/>
      <c r="C12" s="108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BA12" s="55"/>
      <c r="BB12" s="55"/>
      <c r="BC12" s="55"/>
      <c r="BD12" s="55"/>
      <c r="BE12" s="55"/>
      <c r="BF12" s="55"/>
      <c r="BG12" s="56"/>
      <c r="BH12" s="56"/>
      <c r="BI12" s="111" t="s">
        <v>68</v>
      </c>
      <c r="BJ12" s="112" t="s">
        <v>69</v>
      </c>
      <c r="BK12" s="112" t="s">
        <v>70</v>
      </c>
      <c r="BL12" s="113" t="s">
        <v>68</v>
      </c>
      <c r="BM12" s="113" t="s">
        <v>69</v>
      </c>
      <c r="BN12" s="114" t="s">
        <v>70</v>
      </c>
      <c r="BO12" s="113" t="s">
        <v>68</v>
      </c>
      <c r="BP12" s="113" t="s">
        <v>69</v>
      </c>
      <c r="BQ12" s="114" t="s">
        <v>70</v>
      </c>
      <c r="BR12" s="113" t="s">
        <v>68</v>
      </c>
      <c r="BS12" s="113" t="s">
        <v>69</v>
      </c>
      <c r="BT12" s="114" t="s">
        <v>70</v>
      </c>
      <c r="BU12" s="113" t="s">
        <v>68</v>
      </c>
      <c r="BV12" s="113" t="s">
        <v>69</v>
      </c>
      <c r="BW12" s="114" t="s">
        <v>70</v>
      </c>
      <c r="BX12" s="113" t="s">
        <v>68</v>
      </c>
      <c r="BY12" s="113" t="s">
        <v>69</v>
      </c>
      <c r="BZ12" s="114" t="s">
        <v>70</v>
      </c>
    </row>
    <row r="13" ht="15.75" customHeight="1" spans="1:78" x14ac:dyDescent="0.25">
      <c r="A13" s="115" t="s">
        <v>71</v>
      </c>
      <c r="B13" s="116"/>
      <c r="C13" s="117"/>
      <c r="D13" s="118">
        <v>5</v>
      </c>
      <c r="E13" s="119"/>
      <c r="F13" s="120"/>
      <c r="G13" s="120"/>
      <c r="H13" s="121">
        <v>4</v>
      </c>
      <c r="I13" s="121"/>
      <c r="J13" s="122">
        <v>3</v>
      </c>
      <c r="K13" s="123"/>
      <c r="L13" s="120"/>
      <c r="M13" s="120">
        <v>3</v>
      </c>
      <c r="N13" s="121"/>
      <c r="O13" s="121"/>
      <c r="P13" s="122"/>
      <c r="Q13" s="122">
        <v>3</v>
      </c>
      <c r="R13" s="121"/>
      <c r="S13" s="121"/>
      <c r="T13" s="124"/>
      <c r="U13" s="118">
        <v>5</v>
      </c>
      <c r="V13" s="119"/>
      <c r="W13" s="120">
        <v>3</v>
      </c>
      <c r="X13" s="120">
        <v>2</v>
      </c>
      <c r="Y13" s="121">
        <v>5</v>
      </c>
      <c r="Z13" s="121"/>
      <c r="AA13" s="122">
        <v>5</v>
      </c>
      <c r="AB13" s="123"/>
      <c r="AC13" s="120">
        <v>4</v>
      </c>
      <c r="AD13" s="120"/>
      <c r="AE13" s="121"/>
      <c r="AF13" s="121"/>
      <c r="AG13" s="122"/>
      <c r="AH13" s="122"/>
      <c r="AI13" s="121"/>
      <c r="AJ13" s="121"/>
      <c r="AM13">
        <f>SUMIF($D$6:$AJ$6,"IA-1",D13:AJ13)+AK13+AL13</f>
      </c>
      <c r="AP13">
        <f>SUMIF($D$6:$AJ$6,"IA-2",D13:AJ13)+AN13+AO13</f>
      </c>
      <c r="BA13" s="125">
        <v>10</v>
      </c>
      <c r="BB13" s="125">
        <v>10</v>
      </c>
      <c r="BC13" s="125">
        <v>10</v>
      </c>
      <c r="BD13" s="125">
        <v>10</v>
      </c>
      <c r="BE13" s="125">
        <v>10</v>
      </c>
      <c r="BF13" s="126"/>
      <c r="BG13" s="127"/>
      <c r="BH13" s="46"/>
      <c r="BI13" s="128">
        <f>SUMIF($D$7:$BG$7,"1",$D13:$BG13)</f>
        <v>13</v>
      </c>
      <c r="BJ13" s="129">
        <f>SUMIFS($D$9:$BG$9,$D$7:$BG$7,"1",$D13:$BG13,"&gt;"&amp;-1)</f>
        <v>12.5</v>
      </c>
      <c r="BK13" s="130">
        <f t="shared" ref="BK13:BK200" si="0">ROUNDUP(IF(BJ13,BI13/BJ13%,0),2)</f>
        <v>104</v>
      </c>
      <c r="BL13" s="131">
        <f>SUMIF($D$7:$BG$7,"2",$D13:$BG13)</f>
        <v>27</v>
      </c>
      <c r="BM13" s="129">
        <f>SUMIFS($D$9:$BG$9,$D$7:$BG$7,"2",$D13:$BG13,"&gt;"&amp;-1)</f>
        <v>27</v>
      </c>
      <c r="BN13" s="130">
        <f t="shared" ref="BN13:BN200" si="1">ROUNDUP(IF(BM13,BL13/BM13%,0),2)</f>
        <v>100</v>
      </c>
      <c r="BO13" s="131">
        <f>SUMIF($D$7:$BG$7,"3",$D13:$BG13)</f>
        <v>24</v>
      </c>
      <c r="BP13" s="129">
        <f>SUMIFS($D$9:$BG$9,$D$7:$BG$7,"3",$D13:$BG13,"&gt;"&amp;-1)</f>
        <v>25</v>
      </c>
      <c r="BQ13" s="130">
        <f t="shared" ref="BQ13:BQ200" si="2">ROUNDUP(IF(BP13,BO13/BP13%,0),2)</f>
        <v>96</v>
      </c>
      <c r="BR13" s="131">
        <f>SUMIF($D$7:$BG$7,"4",$D13:$BG13)</f>
        <v>15</v>
      </c>
      <c r="BS13" s="129">
        <f>SUMIFS($D$9:$BG$9,$D$7:$BG$7,"4",$D13:$BG13,"&gt;"&amp;-1)</f>
        <v>15</v>
      </c>
      <c r="BT13" s="130">
        <f t="shared" ref="BT13:BT200" si="3">ROUNDUP(IF(BS13,BR13/BS13%,0),2)</f>
        <v>100</v>
      </c>
      <c r="BU13" s="131">
        <f>SUMIF($D$7:$BG$7,"5",$D13:$BG13)</f>
        <v>13</v>
      </c>
      <c r="BV13" s="129">
        <f>SUMIFS($D$9:$BG$9,$D$7:$BG$7,"5",$D13:$BG13,"&gt;"&amp;-1)</f>
        <v>15</v>
      </c>
      <c r="BW13" s="130">
        <f t="shared" ref="BW13:BW200" si="4">ROUNDUP(IF(BV13,BU13/BV13%,0),2)</f>
        <v>86.67</v>
      </c>
      <c r="BX13" s="131">
        <f>SUMIF($D$7:$BG$7,"6",$D13:$BG13)</f>
        <v>0</v>
      </c>
      <c r="BY13" s="129">
        <f>SUMIFS($D$9:$BG$9,$D$7:$BG$7,"6",$D13:$BG13,"&gt;"&amp;-1)</f>
        <v>0</v>
      </c>
      <c r="BZ13" s="130">
        <f t="shared" ref="BZ13:BZ200" si="5">ROUNDUP(IF(BY13,BX13/BY13%,0),2)</f>
        <v>0</v>
      </c>
    </row>
    <row r="14" ht="15.75" customHeight="1" spans="1:78" x14ac:dyDescent="0.25">
      <c r="A14" s="115" t="s">
        <v>72</v>
      </c>
      <c r="B14" s="116"/>
      <c r="C14" s="117"/>
      <c r="D14" s="132">
        <v>5</v>
      </c>
      <c r="E14" s="133"/>
      <c r="F14" s="134"/>
      <c r="G14" s="134"/>
      <c r="H14" s="135"/>
      <c r="I14" s="135"/>
      <c r="J14" s="136">
        <v>2</v>
      </c>
      <c r="K14" s="137">
        <v>0</v>
      </c>
      <c r="L14" s="134">
        <v>1</v>
      </c>
      <c r="M14" s="134">
        <v>0</v>
      </c>
      <c r="N14" s="135"/>
      <c r="O14" s="135"/>
      <c r="P14" s="136">
        <v>1</v>
      </c>
      <c r="Q14" s="136">
        <v>0</v>
      </c>
      <c r="R14" s="135"/>
      <c r="S14" s="135"/>
      <c r="T14" s="138"/>
      <c r="U14" s="132">
        <v>5</v>
      </c>
      <c r="V14" s="133"/>
      <c r="W14" s="134">
        <v>3</v>
      </c>
      <c r="X14" s="134">
        <v>2</v>
      </c>
      <c r="Y14" s="135">
        <v>4</v>
      </c>
      <c r="Z14" s="135"/>
      <c r="AA14" s="136">
        <v>5</v>
      </c>
      <c r="AB14" s="137"/>
      <c r="AC14" s="134"/>
      <c r="AD14" s="134"/>
      <c r="AE14" s="135"/>
      <c r="AF14" s="135"/>
      <c r="AG14" s="136"/>
      <c r="AH14" s="136"/>
      <c r="AI14" s="135"/>
      <c r="AJ14" s="135"/>
      <c r="BA14" s="125">
        <v>10</v>
      </c>
      <c r="BB14" s="125">
        <v>10</v>
      </c>
      <c r="BC14" s="125">
        <v>10</v>
      </c>
      <c r="BD14" s="125">
        <v>10</v>
      </c>
      <c r="BE14" s="125">
        <v>10</v>
      </c>
      <c r="BF14" s="126"/>
      <c r="BG14" s="127"/>
      <c r="BH14" s="46"/>
      <c r="BI14" s="139">
        <f>SUMIF($D$7:$BG$7,"1",$D14:$BG14)</f>
        <v>12</v>
      </c>
      <c r="BJ14" s="140">
        <f>SUMIFS($D$9:$BG$9,$D$7:$BG$7,"1",$D14:$BG14,"&gt;"&amp;-1)</f>
        <v>15</v>
      </c>
      <c r="BK14" s="141">
        <f t="shared" si="0"/>
        <v>80</v>
      </c>
      <c r="BL14" s="142">
        <f>SUMIF($D$7:$BG$7,"2",$D14:$BG14)</f>
        <v>21</v>
      </c>
      <c r="BM14" s="140">
        <f>SUMIFS($D$9:$BG$9,$D$7:$BG$7,"2",$D14:$BG14,"&gt;"&amp;-1)</f>
        <v>25</v>
      </c>
      <c r="BN14" s="141">
        <f t="shared" si="1"/>
        <v>84</v>
      </c>
      <c r="BO14" s="142">
        <f>SUMIF($D$7:$BG$7,"3",$D14:$BG14)</f>
        <v>19</v>
      </c>
      <c r="BP14" s="140">
        <f>SUMIFS($D$9:$BG$9,$D$7:$BG$7,"3",$D14:$BG14,"&gt;"&amp;-1)</f>
        <v>20</v>
      </c>
      <c r="BQ14" s="141">
        <f t="shared" si="2"/>
        <v>95</v>
      </c>
      <c r="BR14" s="142">
        <f>SUMIF($D$7:$BG$7,"4",$D14:$BG14)</f>
        <v>15</v>
      </c>
      <c r="BS14" s="140">
        <f>SUMIFS($D$9:$BG$9,$D$7:$BG$7,"4",$D14:$BG14,"&gt;"&amp;-1)</f>
        <v>15</v>
      </c>
      <c r="BT14" s="141">
        <f t="shared" si="3"/>
        <v>100</v>
      </c>
      <c r="BU14" s="142">
        <f>SUMIF($D$7:$BG$7,"5",$D14:$BG14)</f>
        <v>11</v>
      </c>
      <c r="BV14" s="140">
        <f>SUMIFS($D$9:$BG$9,$D$7:$BG$7,"5",$D14:$BG14,"&gt;"&amp;-1)</f>
        <v>20</v>
      </c>
      <c r="BW14" s="141">
        <f t="shared" si="4"/>
        <v>55</v>
      </c>
      <c r="BX14" s="142">
        <f>SUMIF($D$7:$BG$7,"6",$D14:$BG14)</f>
        <v>0</v>
      </c>
      <c r="BY14" s="140">
        <f>SUMIFS($D$9:$BG$9,$D$7:$BG$7,"6",$D14:$BG14,"&gt;"&amp;-1)</f>
        <v>0</v>
      </c>
      <c r="BZ14" s="141">
        <f t="shared" si="5"/>
        <v>0</v>
      </c>
    </row>
    <row r="15" ht="15.75" customHeight="1" spans="1:78" x14ac:dyDescent="0.25">
      <c r="A15" s="115" t="s">
        <v>73</v>
      </c>
      <c r="B15" s="116"/>
      <c r="C15" s="117"/>
      <c r="D15" s="132">
        <v>5</v>
      </c>
      <c r="E15" s="133"/>
      <c r="F15" s="134">
        <v>5</v>
      </c>
      <c r="G15" s="134"/>
      <c r="H15" s="135"/>
      <c r="I15" s="135"/>
      <c r="J15" s="136"/>
      <c r="K15" s="137"/>
      <c r="L15" s="134">
        <v>2</v>
      </c>
      <c r="M15" s="134">
        <v>3</v>
      </c>
      <c r="N15" s="135"/>
      <c r="O15" s="135"/>
      <c r="P15" s="136">
        <v>2</v>
      </c>
      <c r="Q15" s="136">
        <v>3</v>
      </c>
      <c r="R15" s="135"/>
      <c r="S15" s="135"/>
      <c r="T15" s="138"/>
      <c r="U15" s="132">
        <v>5</v>
      </c>
      <c r="V15" s="133"/>
      <c r="W15" s="134">
        <v>3</v>
      </c>
      <c r="X15" s="134">
        <v>2</v>
      </c>
      <c r="Y15" s="135">
        <v>5</v>
      </c>
      <c r="Z15" s="135"/>
      <c r="AA15" s="136">
        <v>5</v>
      </c>
      <c r="AB15" s="137"/>
      <c r="AC15" s="134">
        <v>4</v>
      </c>
      <c r="AD15" s="134"/>
      <c r="AE15" s="135">
        <v>5</v>
      </c>
      <c r="AF15" s="135"/>
      <c r="AG15" s="136"/>
      <c r="AH15" s="136"/>
      <c r="AI15" s="135"/>
      <c r="AJ15" s="135"/>
      <c r="BA15" s="125">
        <v>10</v>
      </c>
      <c r="BB15" s="125">
        <v>10</v>
      </c>
      <c r="BC15" s="125">
        <v>10</v>
      </c>
      <c r="BD15" s="125">
        <v>10</v>
      </c>
      <c r="BE15" s="125">
        <v>10</v>
      </c>
      <c r="BF15" s="126"/>
      <c r="BG15" s="127"/>
      <c r="BH15" s="46"/>
      <c r="BI15" s="139">
        <f>SUMIF($D$7:$BG$7,"1",$D15:$BG15)</f>
        <v>10</v>
      </c>
      <c r="BJ15" s="140">
        <f>SUMIFS($D$9:$BG$9,$D$7:$BG$7,"1",$D15:$BG15,"&gt;"&amp;-1)</f>
        <v>10</v>
      </c>
      <c r="BK15" s="141">
        <f t="shared" si="0"/>
        <v>100</v>
      </c>
      <c r="BL15" s="142">
        <f>SUMIF($D$7:$BG$7,"2",$D15:$BG15)</f>
        <v>25</v>
      </c>
      <c r="BM15" s="140">
        <f>SUMIFS($D$9:$BG$9,$D$7:$BG$7,"2",$D15:$BG15,"&gt;"&amp;-1)</f>
        <v>25</v>
      </c>
      <c r="BN15" s="141">
        <f t="shared" si="1"/>
        <v>100</v>
      </c>
      <c r="BO15" s="142">
        <f>SUMIF($D$7:$BG$7,"3",$D15:$BG15)</f>
        <v>34</v>
      </c>
      <c r="BP15" s="140">
        <f>SUMIFS($D$9:$BG$9,$D$7:$BG$7,"3",$D15:$BG15,"&gt;"&amp;-1)</f>
        <v>35</v>
      </c>
      <c r="BQ15" s="141">
        <f t="shared" si="2"/>
        <v>97.15</v>
      </c>
      <c r="BR15" s="142">
        <f>SUMIF($D$7:$BG$7,"4",$D15:$BG15)</f>
        <v>15</v>
      </c>
      <c r="BS15" s="140">
        <f>SUMIFS($D$9:$BG$9,$D$7:$BG$7,"4",$D15:$BG15,"&gt;"&amp;-1)</f>
        <v>15</v>
      </c>
      <c r="BT15" s="141">
        <f t="shared" si="3"/>
        <v>100</v>
      </c>
      <c r="BU15" s="142">
        <f>SUMIF($D$7:$BG$7,"5",$D15:$BG15)</f>
        <v>15</v>
      </c>
      <c r="BV15" s="140">
        <f>SUMIFS($D$9:$BG$9,$D$7:$BG$7,"5",$D15:$BG15,"&gt;"&amp;-1)</f>
        <v>20</v>
      </c>
      <c r="BW15" s="141">
        <f t="shared" si="4"/>
        <v>75</v>
      </c>
      <c r="BX15" s="142">
        <f>SUMIF($D$7:$BG$7,"6",$D15:$BG15)</f>
        <v>0</v>
      </c>
      <c r="BY15" s="140">
        <f>SUMIFS($D$9:$BG$9,$D$7:$BG$7,"6",$D15:$BG15,"&gt;"&amp;-1)</f>
        <v>0</v>
      </c>
      <c r="BZ15" s="141">
        <f t="shared" si="5"/>
        <v>0</v>
      </c>
    </row>
    <row r="16" ht="15.75" customHeight="1" spans="1:78" x14ac:dyDescent="0.25">
      <c r="A16" s="115" t="s">
        <v>74</v>
      </c>
      <c r="B16" s="116"/>
      <c r="C16" s="117"/>
      <c r="D16" s="132">
        <v>5</v>
      </c>
      <c r="E16" s="133"/>
      <c r="F16" s="134">
        <v>5</v>
      </c>
      <c r="G16" s="134"/>
      <c r="H16" s="135"/>
      <c r="I16" s="135"/>
      <c r="J16" s="136">
        <v>2.5</v>
      </c>
      <c r="K16" s="137">
        <v>2.5</v>
      </c>
      <c r="L16" s="134">
        <v>2</v>
      </c>
      <c r="M16" s="134">
        <v>3</v>
      </c>
      <c r="N16" s="135"/>
      <c r="O16" s="135"/>
      <c r="P16" s="136">
        <v>2</v>
      </c>
      <c r="Q16" s="136">
        <v>3</v>
      </c>
      <c r="R16" s="135"/>
      <c r="S16" s="135"/>
      <c r="T16" s="138"/>
      <c r="U16" s="132">
        <v>5</v>
      </c>
      <c r="V16" s="133"/>
      <c r="W16" s="134">
        <v>3</v>
      </c>
      <c r="X16" s="134">
        <v>2</v>
      </c>
      <c r="Y16" s="135">
        <v>5</v>
      </c>
      <c r="Z16" s="135"/>
      <c r="AA16" s="136">
        <v>5</v>
      </c>
      <c r="AB16" s="137"/>
      <c r="AC16" s="134">
        <v>5</v>
      </c>
      <c r="AD16" s="134"/>
      <c r="AE16" s="135">
        <v>5</v>
      </c>
      <c r="AF16" s="135"/>
      <c r="AG16" s="136"/>
      <c r="AH16" s="136"/>
      <c r="AI16" s="135"/>
      <c r="AJ16" s="135"/>
      <c r="BA16" s="125">
        <v>10</v>
      </c>
      <c r="BB16" s="125">
        <v>10</v>
      </c>
      <c r="BC16" s="125">
        <v>10</v>
      </c>
      <c r="BD16" s="125">
        <v>10</v>
      </c>
      <c r="BE16" s="125">
        <v>10</v>
      </c>
      <c r="BF16" s="126"/>
      <c r="BG16" s="127"/>
      <c r="BH16" s="46"/>
      <c r="BI16" s="139">
        <f>SUMIF($D$7:$BG$7,"1",$D16:$BG16)</f>
        <v>15</v>
      </c>
      <c r="BJ16" s="140">
        <f>SUMIFS($D$9:$BG$9,$D$7:$BG$7,"1",$D16:$BG16,"&gt;"&amp;-1)</f>
        <v>15</v>
      </c>
      <c r="BK16" s="141">
        <f t="shared" si="0"/>
        <v>100</v>
      </c>
      <c r="BL16" s="142">
        <f>SUMIF($D$7:$BG$7,"2",$D16:$BG16)</f>
        <v>25</v>
      </c>
      <c r="BM16" s="140">
        <f>SUMIFS($D$9:$BG$9,$D$7:$BG$7,"2",$D16:$BG16,"&gt;"&amp;-1)</f>
        <v>25</v>
      </c>
      <c r="BN16" s="141">
        <f t="shared" si="1"/>
        <v>100</v>
      </c>
      <c r="BO16" s="142">
        <f>SUMIF($D$7:$BG$7,"3",$D16:$BG16)</f>
        <v>35</v>
      </c>
      <c r="BP16" s="140">
        <f>SUMIFS($D$9:$BG$9,$D$7:$BG$7,"3",$D16:$BG16,"&gt;"&amp;-1)</f>
        <v>35</v>
      </c>
      <c r="BQ16" s="141">
        <f t="shared" si="2"/>
        <v>100</v>
      </c>
      <c r="BR16" s="142">
        <f>SUMIF($D$7:$BG$7,"4",$D16:$BG16)</f>
        <v>15</v>
      </c>
      <c r="BS16" s="140">
        <f>SUMIFS($D$9:$BG$9,$D$7:$BG$7,"4",$D16:$BG16,"&gt;"&amp;-1)</f>
        <v>15</v>
      </c>
      <c r="BT16" s="141">
        <f t="shared" si="3"/>
        <v>100</v>
      </c>
      <c r="BU16" s="142">
        <f>SUMIF($D$7:$BG$7,"5",$D16:$BG16)</f>
        <v>15</v>
      </c>
      <c r="BV16" s="140">
        <f>SUMIFS($D$9:$BG$9,$D$7:$BG$7,"5",$D16:$BG16,"&gt;"&amp;-1)</f>
        <v>20</v>
      </c>
      <c r="BW16" s="141">
        <f t="shared" si="4"/>
        <v>75</v>
      </c>
      <c r="BX16" s="142">
        <f>SUMIF($D$7:$BG$7,"6",$D16:$BG16)</f>
        <v>0</v>
      </c>
      <c r="BY16" s="140">
        <f>SUMIFS($D$9:$BG$9,$D$7:$BG$7,"6",$D16:$BG16,"&gt;"&amp;-1)</f>
        <v>0</v>
      </c>
      <c r="BZ16" s="141">
        <f t="shared" si="5"/>
        <v>0</v>
      </c>
    </row>
    <row r="17" ht="15.75" customHeight="1" spans="1:78" x14ac:dyDescent="0.25">
      <c r="A17" s="115" t="s">
        <v>75</v>
      </c>
      <c r="B17" s="116"/>
      <c r="C17" s="117"/>
      <c r="D17" s="132">
        <v>5</v>
      </c>
      <c r="E17" s="133"/>
      <c r="F17" s="134">
        <v>4</v>
      </c>
      <c r="G17" s="134"/>
      <c r="H17" s="135"/>
      <c r="I17" s="135"/>
      <c r="J17" s="136">
        <v>0</v>
      </c>
      <c r="K17" s="137">
        <v>1</v>
      </c>
      <c r="L17" s="134">
        <v>0</v>
      </c>
      <c r="M17" s="134">
        <v>1</v>
      </c>
      <c r="N17" s="135"/>
      <c r="O17" s="135"/>
      <c r="P17" s="136">
        <v>0</v>
      </c>
      <c r="Q17" s="136">
        <v>1</v>
      </c>
      <c r="R17" s="135"/>
      <c r="S17" s="135"/>
      <c r="T17" s="138"/>
      <c r="U17" s="132">
        <v>5</v>
      </c>
      <c r="V17" s="133"/>
      <c r="W17" s="134">
        <v>3</v>
      </c>
      <c r="X17" s="134">
        <v>2</v>
      </c>
      <c r="Y17" s="135">
        <v>3</v>
      </c>
      <c r="Z17" s="135"/>
      <c r="AA17" s="136">
        <v>5</v>
      </c>
      <c r="AB17" s="137"/>
      <c r="AC17" s="134">
        <v>5</v>
      </c>
      <c r="AD17" s="134"/>
      <c r="AE17" s="135">
        <v>4</v>
      </c>
      <c r="AF17" s="135"/>
      <c r="AG17" s="136"/>
      <c r="AH17" s="136"/>
      <c r="AI17" s="135"/>
      <c r="AJ17" s="135"/>
      <c r="BA17" s="125">
        <v>9</v>
      </c>
      <c r="BB17" s="125">
        <v>9</v>
      </c>
      <c r="BC17" s="125">
        <v>9</v>
      </c>
      <c r="BD17" s="125">
        <v>9</v>
      </c>
      <c r="BE17" s="125">
        <v>9</v>
      </c>
      <c r="BF17" s="126"/>
      <c r="BG17" s="127"/>
      <c r="BH17" s="46"/>
      <c r="BI17" s="139">
        <f>SUMIF($D$7:$BG$7,"1",$D17:$BG17)</f>
        <v>10</v>
      </c>
      <c r="BJ17" s="140">
        <f>SUMIFS($D$9:$BG$9,$D$7:$BG$7,"1",$D17:$BG17,"&gt;"&amp;-1)</f>
        <v>15</v>
      </c>
      <c r="BK17" s="141">
        <f t="shared" si="0"/>
        <v>66.67</v>
      </c>
      <c r="BL17" s="142">
        <f>SUMIF($D$7:$BG$7,"2",$D17:$BG17)</f>
        <v>20</v>
      </c>
      <c r="BM17" s="140">
        <f>SUMIFS($D$9:$BG$9,$D$7:$BG$7,"2",$D17:$BG17,"&gt;"&amp;-1)</f>
        <v>25</v>
      </c>
      <c r="BN17" s="141">
        <f t="shared" si="1"/>
        <v>80</v>
      </c>
      <c r="BO17" s="142">
        <f>SUMIF($D$7:$BG$7,"3",$D17:$BG17)</f>
        <v>30</v>
      </c>
      <c r="BP17" s="140">
        <f>SUMIFS($D$9:$BG$9,$D$7:$BG$7,"3",$D17:$BG17,"&gt;"&amp;-1)</f>
        <v>35</v>
      </c>
      <c r="BQ17" s="141">
        <f t="shared" si="2"/>
        <v>85.72</v>
      </c>
      <c r="BR17" s="142">
        <f>SUMIF($D$7:$BG$7,"4",$D17:$BG17)</f>
        <v>14</v>
      </c>
      <c r="BS17" s="140">
        <f>SUMIFS($D$9:$BG$9,$D$7:$BG$7,"4",$D17:$BG17,"&gt;"&amp;-1)</f>
        <v>15</v>
      </c>
      <c r="BT17" s="141">
        <f t="shared" si="3"/>
        <v>93.34</v>
      </c>
      <c r="BU17" s="142">
        <f>SUMIF($D$7:$BG$7,"5",$D17:$BG17)</f>
        <v>10</v>
      </c>
      <c r="BV17" s="140">
        <f>SUMIFS($D$9:$BG$9,$D$7:$BG$7,"5",$D17:$BG17,"&gt;"&amp;-1)</f>
        <v>20</v>
      </c>
      <c r="BW17" s="141">
        <f t="shared" si="4"/>
        <v>50</v>
      </c>
      <c r="BX17" s="142">
        <f>SUMIF($D$7:$BG$7,"6",$D17:$BG17)</f>
        <v>0</v>
      </c>
      <c r="BY17" s="140">
        <f>SUMIFS($D$9:$BG$9,$D$7:$BG$7,"6",$D17:$BG17,"&gt;"&amp;-1)</f>
        <v>0</v>
      </c>
      <c r="BZ17" s="141">
        <f t="shared" si="5"/>
        <v>0</v>
      </c>
    </row>
    <row r="18" ht="15.75" customHeight="1" spans="1:78" x14ac:dyDescent="0.25">
      <c r="A18" s="115" t="s">
        <v>76</v>
      </c>
      <c r="B18" s="116"/>
      <c r="C18" s="117"/>
      <c r="D18" s="132">
        <v>5</v>
      </c>
      <c r="E18" s="133"/>
      <c r="F18" s="134">
        <v>5</v>
      </c>
      <c r="G18" s="134"/>
      <c r="H18" s="135"/>
      <c r="I18" s="135"/>
      <c r="J18" s="136">
        <v>2</v>
      </c>
      <c r="K18" s="137">
        <v>2</v>
      </c>
      <c r="L18" s="134">
        <v>1</v>
      </c>
      <c r="M18" s="134">
        <v>0</v>
      </c>
      <c r="N18" s="135"/>
      <c r="O18" s="135"/>
      <c r="P18" s="136">
        <v>1</v>
      </c>
      <c r="Q18" s="136">
        <v>0</v>
      </c>
      <c r="R18" s="135"/>
      <c r="S18" s="135"/>
      <c r="T18" s="138"/>
      <c r="U18" s="132">
        <v>5</v>
      </c>
      <c r="V18" s="133"/>
      <c r="W18" s="134">
        <v>3</v>
      </c>
      <c r="X18" s="134">
        <v>2</v>
      </c>
      <c r="Y18" s="135">
        <v>2</v>
      </c>
      <c r="Z18" s="135"/>
      <c r="AA18" s="136">
        <v>4</v>
      </c>
      <c r="AB18" s="137"/>
      <c r="AC18" s="134">
        <v>3</v>
      </c>
      <c r="AD18" s="134"/>
      <c r="AE18" s="135"/>
      <c r="AF18" s="135"/>
      <c r="AG18" s="136"/>
      <c r="AH18" s="136"/>
      <c r="AI18" s="135"/>
      <c r="AJ18" s="135"/>
      <c r="BA18" s="125">
        <v>10</v>
      </c>
      <c r="BB18" s="125">
        <v>10</v>
      </c>
      <c r="BC18" s="125">
        <v>10</v>
      </c>
      <c r="BD18" s="125">
        <v>10</v>
      </c>
      <c r="BE18" s="125">
        <v>10</v>
      </c>
      <c r="BF18" s="126"/>
      <c r="BG18" s="127"/>
      <c r="BH18" s="46"/>
      <c r="BI18" s="139">
        <f>SUMIF($D$7:$BG$7,"1",$D18:$BG18)</f>
        <v>14</v>
      </c>
      <c r="BJ18" s="140">
        <f>SUMIFS($D$9:$BG$9,$D$7:$BG$7,"1",$D18:$BG18,"&gt;"&amp;-1)</f>
        <v>15</v>
      </c>
      <c r="BK18" s="141">
        <f t="shared" si="0"/>
        <v>93.34</v>
      </c>
      <c r="BL18" s="142">
        <f>SUMIF($D$7:$BG$7,"2",$D18:$BG18)</f>
        <v>21</v>
      </c>
      <c r="BM18" s="140">
        <f>SUMIFS($D$9:$BG$9,$D$7:$BG$7,"2",$D18:$BG18,"&gt;"&amp;-1)</f>
        <v>25</v>
      </c>
      <c r="BN18" s="141">
        <f t="shared" si="1"/>
        <v>84</v>
      </c>
      <c r="BO18" s="142">
        <f>SUMIF($D$7:$BG$7,"3",$D18:$BG18)</f>
        <v>25</v>
      </c>
      <c r="BP18" s="140">
        <f>SUMIFS($D$9:$BG$9,$D$7:$BG$7,"3",$D18:$BG18,"&gt;"&amp;-1)</f>
        <v>30</v>
      </c>
      <c r="BQ18" s="141">
        <f t="shared" si="2"/>
        <v>83.34</v>
      </c>
      <c r="BR18" s="142">
        <f>SUMIF($D$7:$BG$7,"4",$D18:$BG18)</f>
        <v>14</v>
      </c>
      <c r="BS18" s="140">
        <f>SUMIFS($D$9:$BG$9,$D$7:$BG$7,"4",$D18:$BG18,"&gt;"&amp;-1)</f>
        <v>15</v>
      </c>
      <c r="BT18" s="141">
        <f t="shared" si="3"/>
        <v>93.34</v>
      </c>
      <c r="BU18" s="142">
        <f>SUMIF($D$7:$BG$7,"5",$D18:$BG18)</f>
        <v>11</v>
      </c>
      <c r="BV18" s="140">
        <f>SUMIFS($D$9:$BG$9,$D$7:$BG$7,"5",$D18:$BG18,"&gt;"&amp;-1)</f>
        <v>20</v>
      </c>
      <c r="BW18" s="141">
        <f t="shared" si="4"/>
        <v>55</v>
      </c>
      <c r="BX18" s="142">
        <f>SUMIF($D$7:$BG$7,"6",$D18:$BG18)</f>
        <v>0</v>
      </c>
      <c r="BY18" s="140">
        <f>SUMIFS($D$9:$BG$9,$D$7:$BG$7,"6",$D18:$BG18,"&gt;"&amp;-1)</f>
        <v>0</v>
      </c>
      <c r="BZ18" s="141">
        <f t="shared" si="5"/>
        <v>0</v>
      </c>
    </row>
    <row r="19" ht="15.75" customHeight="1" spans="1:78" x14ac:dyDescent="0.25">
      <c r="A19" s="143" t="s">
        <v>77</v>
      </c>
      <c r="B19" s="144"/>
      <c r="C19" s="117"/>
      <c r="D19" s="132">
        <v>5</v>
      </c>
      <c r="E19" s="133"/>
      <c r="F19" s="134"/>
      <c r="G19" s="134"/>
      <c r="H19" s="135">
        <v>2</v>
      </c>
      <c r="I19" s="135"/>
      <c r="J19" s="136">
        <v>1</v>
      </c>
      <c r="K19" s="137">
        <v>2</v>
      </c>
      <c r="L19" s="134">
        <v>0</v>
      </c>
      <c r="M19" s="134">
        <v>2</v>
      </c>
      <c r="N19" s="135"/>
      <c r="O19" s="135"/>
      <c r="P19" s="136">
        <v>0</v>
      </c>
      <c r="Q19" s="136">
        <v>2</v>
      </c>
      <c r="R19" s="135"/>
      <c r="S19" s="135"/>
      <c r="T19" s="138"/>
      <c r="U19" s="132">
        <v>0</v>
      </c>
      <c r="V19" s="133"/>
      <c r="W19" s="134">
        <v>3</v>
      </c>
      <c r="X19" s="134">
        <v>2</v>
      </c>
      <c r="Y19" s="135"/>
      <c r="Z19" s="135"/>
      <c r="AA19" s="136">
        <v>3</v>
      </c>
      <c r="AB19" s="137"/>
      <c r="AC19" s="134">
        <v>4</v>
      </c>
      <c r="AD19" s="134"/>
      <c r="AE19" s="135"/>
      <c r="AF19" s="135"/>
      <c r="AG19" s="136"/>
      <c r="AH19" s="136"/>
      <c r="AI19" s="135"/>
      <c r="AJ19" s="135"/>
      <c r="BA19" s="125">
        <v>10</v>
      </c>
      <c r="BB19" s="125">
        <v>10</v>
      </c>
      <c r="BC19" s="125">
        <v>10</v>
      </c>
      <c r="BD19" s="125">
        <v>10</v>
      </c>
      <c r="BE19" s="125">
        <v>10</v>
      </c>
      <c r="BF19" s="126"/>
      <c r="BG19" s="127"/>
      <c r="BH19" s="46"/>
      <c r="BI19" s="139">
        <f>SUMIF($D$7:$BG$7,"1",$D19:$BG19)</f>
        <v>13</v>
      </c>
      <c r="BJ19" s="140">
        <f>SUMIFS($D$9:$BG$9,$D$7:$BG$7,"1",$D19:$BG19,"&gt;"&amp;-1)</f>
        <v>15</v>
      </c>
      <c r="BK19" s="141">
        <f t="shared" si="0"/>
        <v>86.67</v>
      </c>
      <c r="BL19" s="142">
        <f>SUMIF($D$7:$BG$7,"2",$D19:$BG19)</f>
        <v>24</v>
      </c>
      <c r="BM19" s="140">
        <f>SUMIFS($D$9:$BG$9,$D$7:$BG$7,"2",$D19:$BG19,"&gt;"&amp;-1)</f>
        <v>30</v>
      </c>
      <c r="BN19" s="141">
        <f t="shared" si="1"/>
        <v>80</v>
      </c>
      <c r="BO19" s="142">
        <f>SUMIF($D$7:$BG$7,"3",$D19:$BG19)</f>
        <v>14</v>
      </c>
      <c r="BP19" s="140">
        <f>SUMIFS($D$9:$BG$9,$D$7:$BG$7,"3",$D19:$BG19,"&gt;"&amp;-1)</f>
        <v>20</v>
      </c>
      <c r="BQ19" s="141">
        <f t="shared" si="2"/>
        <v>70</v>
      </c>
      <c r="BR19" s="142">
        <f>SUMIF($D$7:$BG$7,"4",$D19:$BG19)</f>
        <v>13</v>
      </c>
      <c r="BS19" s="140">
        <f>SUMIFS($D$9:$BG$9,$D$7:$BG$7,"4",$D19:$BG19,"&gt;"&amp;-1)</f>
        <v>15</v>
      </c>
      <c r="BT19" s="141">
        <f t="shared" si="3"/>
        <v>86.67</v>
      </c>
      <c r="BU19" s="142">
        <f>SUMIF($D$7:$BG$7,"5",$D19:$BG19)</f>
        <v>12</v>
      </c>
      <c r="BV19" s="140">
        <f>SUMIFS($D$9:$BG$9,$D$7:$BG$7,"5",$D19:$BG19,"&gt;"&amp;-1)</f>
        <v>20</v>
      </c>
      <c r="BW19" s="141">
        <f t="shared" si="4"/>
        <v>60</v>
      </c>
      <c r="BX19" s="142">
        <f>SUMIF($D$7:$BG$7,"6",$D19:$BG19)</f>
        <v>0</v>
      </c>
      <c r="BY19" s="140">
        <f>SUMIFS($D$9:$BG$9,$D$7:$BG$7,"6",$D19:$BG19,"&gt;"&amp;-1)</f>
        <v>0</v>
      </c>
      <c r="BZ19" s="141">
        <f t="shared" si="5"/>
        <v>0</v>
      </c>
    </row>
    <row r="20" ht="15.75" customHeight="1" spans="1:78" x14ac:dyDescent="0.25">
      <c r="A20" s="143" t="s">
        <v>78</v>
      </c>
      <c r="B20" s="144"/>
      <c r="C20" s="117"/>
      <c r="D20" s="132">
        <v>0</v>
      </c>
      <c r="E20" s="133">
        <v>0</v>
      </c>
      <c r="F20" s="134">
        <v>0</v>
      </c>
      <c r="G20" s="134">
        <v>0</v>
      </c>
      <c r="H20" s="135">
        <v>0</v>
      </c>
      <c r="I20" s="135">
        <v>0</v>
      </c>
      <c r="J20" s="136">
        <v>0</v>
      </c>
      <c r="K20" s="137">
        <v>0</v>
      </c>
      <c r="L20" s="134">
        <v>0</v>
      </c>
      <c r="M20" s="134">
        <v>0</v>
      </c>
      <c r="N20" s="135">
        <v>0</v>
      </c>
      <c r="O20" s="135">
        <v>0</v>
      </c>
      <c r="P20" s="136">
        <v>0</v>
      </c>
      <c r="Q20" s="136">
        <v>0</v>
      </c>
      <c r="R20" s="135"/>
      <c r="S20" s="135"/>
      <c r="T20" s="138"/>
      <c r="U20" s="132">
        <v>5</v>
      </c>
      <c r="V20" s="133"/>
      <c r="W20" s="134">
        <v>3</v>
      </c>
      <c r="X20" s="134">
        <v>2</v>
      </c>
      <c r="Y20" s="135"/>
      <c r="Z20" s="135"/>
      <c r="AA20" s="136"/>
      <c r="AB20" s="137"/>
      <c r="AC20" s="134"/>
      <c r="AD20" s="134"/>
      <c r="AE20" s="135"/>
      <c r="AF20" s="135"/>
      <c r="AG20" s="136"/>
      <c r="AH20" s="136"/>
      <c r="AI20" s="135"/>
      <c r="AJ20" s="135"/>
      <c r="BA20" s="125">
        <v>7.5</v>
      </c>
      <c r="BB20" s="125">
        <v>7.5</v>
      </c>
      <c r="BC20" s="125">
        <v>7.5</v>
      </c>
      <c r="BD20" s="125">
        <v>7.5</v>
      </c>
      <c r="BE20" s="125">
        <v>7.5</v>
      </c>
      <c r="BF20" s="126"/>
      <c r="BG20" s="127"/>
      <c r="BH20" s="46"/>
      <c r="BI20" s="139">
        <f>SUMIF($D$7:$BG$7,"1",$D20:$BG20)</f>
        <v>7.5</v>
      </c>
      <c r="BJ20" s="140">
        <f>SUMIFS($D$9:$BG$9,$D$7:$BG$7,"1",$D20:$BG20,"&gt;"&amp;-1)</f>
        <v>15</v>
      </c>
      <c r="BK20" s="141">
        <f t="shared" si="0"/>
        <v>50</v>
      </c>
      <c r="BL20" s="142">
        <f>SUMIF($D$7:$BG$7,"2",$D20:$BG20)</f>
        <v>12.5</v>
      </c>
      <c r="BM20" s="140">
        <f>SUMIFS($D$9:$BG$9,$D$7:$BG$7,"2",$D20:$BG20,"&gt;"&amp;-1)</f>
        <v>30</v>
      </c>
      <c r="BN20" s="141">
        <f t="shared" si="1"/>
        <v>41.669999999999995</v>
      </c>
      <c r="BO20" s="142">
        <f>SUMIF($D$7:$BG$7,"3",$D20:$BG20)</f>
        <v>12.5</v>
      </c>
      <c r="BP20" s="140">
        <f>SUMIFS($D$9:$BG$9,$D$7:$BG$7,"3",$D20:$BG20,"&gt;"&amp;-1)</f>
        <v>25</v>
      </c>
      <c r="BQ20" s="141">
        <f t="shared" si="2"/>
        <v>50</v>
      </c>
      <c r="BR20" s="142">
        <f>SUMIF($D$7:$BG$7,"4",$D20:$BG20)</f>
        <v>7.5</v>
      </c>
      <c r="BS20" s="140">
        <f>SUMIFS($D$9:$BG$9,$D$7:$BG$7,"4",$D20:$BG20,"&gt;"&amp;-1)</f>
        <v>10</v>
      </c>
      <c r="BT20" s="141">
        <f t="shared" si="3"/>
        <v>75</v>
      </c>
      <c r="BU20" s="142">
        <f>SUMIF($D$7:$BG$7,"5",$D20:$BG20)</f>
        <v>7.5</v>
      </c>
      <c r="BV20" s="140">
        <f>SUMIFS($D$9:$BG$9,$D$7:$BG$7,"5",$D20:$BG20,"&gt;"&amp;-1)</f>
        <v>20</v>
      </c>
      <c r="BW20" s="141">
        <f t="shared" si="4"/>
        <v>37.5</v>
      </c>
      <c r="BX20" s="142">
        <f>SUMIF($D$7:$BG$7,"6",$D20:$BG20)</f>
        <v>0</v>
      </c>
      <c r="BY20" s="140">
        <f>SUMIFS($D$9:$BG$9,$D$7:$BG$7,"6",$D20:$BG20,"&gt;"&amp;-1)</f>
        <v>0</v>
      </c>
      <c r="BZ20" s="141">
        <f t="shared" si="5"/>
        <v>0</v>
      </c>
    </row>
    <row r="21" ht="15.75" customHeight="1" spans="1:78" x14ac:dyDescent="0.25">
      <c r="A21" s="143" t="s">
        <v>79</v>
      </c>
      <c r="B21" s="144"/>
      <c r="C21" s="117"/>
      <c r="D21" s="132">
        <v>1</v>
      </c>
      <c r="E21" s="133"/>
      <c r="F21" s="134"/>
      <c r="G21" s="134"/>
      <c r="H21" s="135"/>
      <c r="I21" s="135"/>
      <c r="J21" s="136"/>
      <c r="K21" s="137"/>
      <c r="L21" s="134"/>
      <c r="M21" s="134"/>
      <c r="N21" s="135"/>
      <c r="O21" s="135"/>
      <c r="P21" s="136"/>
      <c r="Q21" s="136"/>
      <c r="R21" s="135"/>
      <c r="S21" s="135"/>
      <c r="T21" s="138"/>
      <c r="U21" s="132">
        <v>1</v>
      </c>
      <c r="V21" s="133"/>
      <c r="W21" s="134">
        <v>2</v>
      </c>
      <c r="X21" s="134"/>
      <c r="Y21" s="135"/>
      <c r="Z21" s="135"/>
      <c r="AA21" s="136"/>
      <c r="AB21" s="137"/>
      <c r="AC21" s="134"/>
      <c r="AD21" s="134"/>
      <c r="AE21" s="135"/>
      <c r="AF21" s="135"/>
      <c r="AG21" s="136"/>
      <c r="AH21" s="136"/>
      <c r="AI21" s="135"/>
      <c r="AJ21" s="135"/>
      <c r="BA21" s="125">
        <v>10</v>
      </c>
      <c r="BB21" s="125">
        <v>10</v>
      </c>
      <c r="BC21" s="125">
        <v>10</v>
      </c>
      <c r="BD21" s="125">
        <v>10</v>
      </c>
      <c r="BE21" s="125">
        <v>10</v>
      </c>
      <c r="BF21" s="126"/>
      <c r="BG21" s="127"/>
      <c r="BH21" s="46"/>
      <c r="BI21" s="139">
        <f>SUMIF($D$7:$BG$7,"1",$D21:$BG21)</f>
        <v>10</v>
      </c>
      <c r="BJ21" s="140">
        <f>SUMIFS($D$9:$BG$9,$D$7:$BG$7,"1",$D21:$BG21,"&gt;"&amp;-1)</f>
        <v>10</v>
      </c>
      <c r="BK21" s="141">
        <f t="shared" si="0"/>
        <v>100</v>
      </c>
      <c r="BL21" s="142">
        <f>SUMIF($D$7:$BG$7,"2",$D21:$BG21)</f>
        <v>13</v>
      </c>
      <c r="BM21" s="140">
        <f>SUMIFS($D$9:$BG$9,$D$7:$BG$7,"2",$D21:$BG21,"&gt;"&amp;-1)</f>
        <v>18</v>
      </c>
      <c r="BN21" s="141">
        <f t="shared" si="1"/>
        <v>72.23</v>
      </c>
      <c r="BO21" s="142">
        <f>SUMIF($D$7:$BG$7,"3",$D21:$BG21)</f>
        <v>11</v>
      </c>
      <c r="BP21" s="140">
        <f>SUMIFS($D$9:$BG$9,$D$7:$BG$7,"3",$D21:$BG21,"&gt;"&amp;-1)</f>
        <v>15</v>
      </c>
      <c r="BQ21" s="141">
        <f t="shared" si="2"/>
        <v>73.34</v>
      </c>
      <c r="BR21" s="142">
        <f>SUMIF($D$7:$BG$7,"4",$D21:$BG21)</f>
        <v>10</v>
      </c>
      <c r="BS21" s="140">
        <f>SUMIFS($D$9:$BG$9,$D$7:$BG$7,"4",$D21:$BG21,"&gt;"&amp;-1)</f>
        <v>10</v>
      </c>
      <c r="BT21" s="141">
        <f t="shared" si="3"/>
        <v>100</v>
      </c>
      <c r="BU21" s="142">
        <f>SUMIF($D$7:$BG$7,"5",$D21:$BG21)</f>
        <v>10</v>
      </c>
      <c r="BV21" s="140">
        <f>SUMIFS($D$9:$BG$9,$D$7:$BG$7,"5",$D21:$BG21,"&gt;"&amp;-1)</f>
        <v>10</v>
      </c>
      <c r="BW21" s="141">
        <f t="shared" si="4"/>
        <v>100</v>
      </c>
      <c r="BX21" s="142">
        <f>SUMIF($D$7:$BG$7,"6",$D21:$BG21)</f>
        <v>0</v>
      </c>
      <c r="BY21" s="140">
        <f>SUMIFS($D$9:$BG$9,$D$7:$BG$7,"6",$D21:$BG21,"&gt;"&amp;-1)</f>
        <v>0</v>
      </c>
      <c r="BZ21" s="141">
        <f t="shared" si="5"/>
        <v>0</v>
      </c>
    </row>
    <row r="22" ht="15.75" customHeight="1" spans="1:78" x14ac:dyDescent="0.25">
      <c r="A22" s="143" t="s">
        <v>80</v>
      </c>
      <c r="B22" s="144"/>
      <c r="C22" s="117"/>
      <c r="D22" s="132">
        <v>5</v>
      </c>
      <c r="E22" s="133"/>
      <c r="F22" s="134">
        <v>5</v>
      </c>
      <c r="G22" s="134"/>
      <c r="H22" s="135">
        <v>2</v>
      </c>
      <c r="I22" s="135"/>
      <c r="J22" s="136">
        <v>2</v>
      </c>
      <c r="K22" s="137">
        <v>2</v>
      </c>
      <c r="L22" s="134">
        <v>1</v>
      </c>
      <c r="M22" s="134">
        <v>3</v>
      </c>
      <c r="N22" s="135"/>
      <c r="O22" s="135"/>
      <c r="P22" s="136">
        <v>1</v>
      </c>
      <c r="Q22" s="136">
        <v>3</v>
      </c>
      <c r="R22" s="135"/>
      <c r="S22" s="135"/>
      <c r="T22" s="138"/>
      <c r="U22" s="132">
        <v>5</v>
      </c>
      <c r="V22" s="133"/>
      <c r="W22" s="134">
        <v>3</v>
      </c>
      <c r="X22" s="134">
        <v>2</v>
      </c>
      <c r="Y22" s="135">
        <v>5</v>
      </c>
      <c r="Z22" s="135"/>
      <c r="AA22" s="136">
        <v>5</v>
      </c>
      <c r="AB22" s="137"/>
      <c r="AC22" s="134">
        <v>4</v>
      </c>
      <c r="AD22" s="134"/>
      <c r="AE22" s="135">
        <v>3</v>
      </c>
      <c r="AF22" s="135"/>
      <c r="AG22" s="136"/>
      <c r="AH22" s="136"/>
      <c r="AI22" s="135"/>
      <c r="AJ22" s="135"/>
      <c r="BA22" s="125">
        <v>10</v>
      </c>
      <c r="BB22" s="125">
        <v>10</v>
      </c>
      <c r="BC22" s="125">
        <v>10</v>
      </c>
      <c r="BD22" s="125">
        <v>10</v>
      </c>
      <c r="BE22" s="125">
        <v>10</v>
      </c>
      <c r="BF22" s="126"/>
      <c r="BG22" s="127"/>
      <c r="BH22" s="46"/>
      <c r="BI22" s="139">
        <f>SUMIF($D$7:$BG$7,"1",$D22:$BG22)</f>
        <v>14</v>
      </c>
      <c r="BJ22" s="140">
        <f>SUMIFS($D$9:$BG$9,$D$7:$BG$7,"1",$D22:$BG22,"&gt;"&amp;-1)</f>
        <v>15</v>
      </c>
      <c r="BK22" s="141">
        <f t="shared" si="0"/>
        <v>93.34</v>
      </c>
      <c r="BL22" s="142">
        <f>SUMIF($D$7:$BG$7,"2",$D22:$BG22)</f>
        <v>26</v>
      </c>
      <c r="BM22" s="140">
        <f>SUMIFS($D$9:$BG$9,$D$7:$BG$7,"2",$D22:$BG22,"&gt;"&amp;-1)</f>
        <v>30</v>
      </c>
      <c r="BN22" s="141">
        <f t="shared" si="1"/>
        <v>86.67</v>
      </c>
      <c r="BO22" s="142">
        <f>SUMIF($D$7:$BG$7,"3",$D22:$BG22)</f>
        <v>32</v>
      </c>
      <c r="BP22" s="140">
        <f>SUMIFS($D$9:$BG$9,$D$7:$BG$7,"3",$D22:$BG22,"&gt;"&amp;-1)</f>
        <v>35</v>
      </c>
      <c r="BQ22" s="141">
        <f t="shared" si="2"/>
        <v>91.43</v>
      </c>
      <c r="BR22" s="142">
        <f>SUMIF($D$7:$BG$7,"4",$D22:$BG22)</f>
        <v>15</v>
      </c>
      <c r="BS22" s="140">
        <f>SUMIFS($D$9:$BG$9,$D$7:$BG$7,"4",$D22:$BG22,"&gt;"&amp;-1)</f>
        <v>15</v>
      </c>
      <c r="BT22" s="141">
        <f t="shared" si="3"/>
        <v>100</v>
      </c>
      <c r="BU22" s="142">
        <f>SUMIF($D$7:$BG$7,"5",$D22:$BG22)</f>
        <v>14</v>
      </c>
      <c r="BV22" s="140">
        <f>SUMIFS($D$9:$BG$9,$D$7:$BG$7,"5",$D22:$BG22,"&gt;"&amp;-1)</f>
        <v>20</v>
      </c>
      <c r="BW22" s="141">
        <f t="shared" si="4"/>
        <v>70</v>
      </c>
      <c r="BX22" s="142">
        <f>SUMIF($D$7:$BG$7,"6",$D22:$BG22)</f>
        <v>0</v>
      </c>
      <c r="BY22" s="140">
        <f>SUMIFS($D$9:$BG$9,$D$7:$BG$7,"6",$D22:$BG22,"&gt;"&amp;-1)</f>
        <v>0</v>
      </c>
      <c r="BZ22" s="141">
        <f t="shared" si="5"/>
        <v>0</v>
      </c>
    </row>
    <row r="23" ht="15.75" customHeight="1" spans="1:78" x14ac:dyDescent="0.25">
      <c r="A23" s="143" t="s">
        <v>81</v>
      </c>
      <c r="B23" s="144"/>
      <c r="C23" s="117"/>
      <c r="D23" s="132">
        <v>5</v>
      </c>
      <c r="E23" s="133"/>
      <c r="F23" s="134"/>
      <c r="G23" s="134"/>
      <c r="H23" s="135"/>
      <c r="I23" s="135"/>
      <c r="J23" s="136">
        <v>0</v>
      </c>
      <c r="K23" s="137">
        <v>2</v>
      </c>
      <c r="L23" s="134">
        <v>0</v>
      </c>
      <c r="M23" s="134">
        <v>3</v>
      </c>
      <c r="N23" s="135"/>
      <c r="O23" s="135"/>
      <c r="P23" s="136">
        <v>0</v>
      </c>
      <c r="Q23" s="136">
        <v>3</v>
      </c>
      <c r="R23" s="135"/>
      <c r="S23" s="135"/>
      <c r="T23" s="138"/>
      <c r="U23" s="132">
        <v>5</v>
      </c>
      <c r="V23" s="133"/>
      <c r="W23" s="134">
        <v>3</v>
      </c>
      <c r="X23" s="134">
        <v>2</v>
      </c>
      <c r="Y23" s="135">
        <v>2</v>
      </c>
      <c r="Z23" s="135"/>
      <c r="AA23" s="136">
        <v>1</v>
      </c>
      <c r="AB23" s="137"/>
      <c r="AC23" s="134"/>
      <c r="AD23" s="134"/>
      <c r="AE23" s="135"/>
      <c r="AF23" s="135"/>
      <c r="AG23" s="136"/>
      <c r="AH23" s="136"/>
      <c r="AI23" s="135"/>
      <c r="AJ23" s="135"/>
      <c r="BA23" s="125">
        <v>10</v>
      </c>
      <c r="BB23" s="125">
        <v>10</v>
      </c>
      <c r="BC23" s="125">
        <v>10</v>
      </c>
      <c r="BD23" s="125">
        <v>10</v>
      </c>
      <c r="BE23" s="125">
        <v>10</v>
      </c>
      <c r="BF23" s="126"/>
      <c r="BG23" s="127"/>
      <c r="BH23" s="46"/>
      <c r="BI23" s="139">
        <f>SUMIF($D$7:$BG$7,"1",$D23:$BG23)</f>
        <v>12</v>
      </c>
      <c r="BJ23" s="140">
        <f>SUMIFS($D$9:$BG$9,$D$7:$BG$7,"1",$D23:$BG23,"&gt;"&amp;-1)</f>
        <v>15</v>
      </c>
      <c r="BK23" s="141">
        <f t="shared" si="0"/>
        <v>80</v>
      </c>
      <c r="BL23" s="142">
        <f>SUMIF($D$7:$BG$7,"2",$D23:$BG23)</f>
        <v>23</v>
      </c>
      <c r="BM23" s="140">
        <f>SUMIFS($D$9:$BG$9,$D$7:$BG$7,"2",$D23:$BG23,"&gt;"&amp;-1)</f>
        <v>25</v>
      </c>
      <c r="BN23" s="141">
        <f t="shared" si="1"/>
        <v>92</v>
      </c>
      <c r="BO23" s="142">
        <f>SUMIF($D$7:$BG$7,"3",$D23:$BG23)</f>
        <v>17</v>
      </c>
      <c r="BP23" s="140">
        <f>SUMIFS($D$9:$BG$9,$D$7:$BG$7,"3",$D23:$BG23,"&gt;"&amp;-1)</f>
        <v>20</v>
      </c>
      <c r="BQ23" s="141">
        <f t="shared" si="2"/>
        <v>85</v>
      </c>
      <c r="BR23" s="142">
        <f>SUMIF($D$7:$BG$7,"4",$D23:$BG23)</f>
        <v>11</v>
      </c>
      <c r="BS23" s="140">
        <f>SUMIFS($D$9:$BG$9,$D$7:$BG$7,"4",$D23:$BG23,"&gt;"&amp;-1)</f>
        <v>15</v>
      </c>
      <c r="BT23" s="141">
        <f t="shared" si="3"/>
        <v>73.34</v>
      </c>
      <c r="BU23" s="142">
        <f>SUMIF($D$7:$BG$7,"5",$D23:$BG23)</f>
        <v>13</v>
      </c>
      <c r="BV23" s="140">
        <f>SUMIFS($D$9:$BG$9,$D$7:$BG$7,"5",$D23:$BG23,"&gt;"&amp;-1)</f>
        <v>20</v>
      </c>
      <c r="BW23" s="141">
        <f t="shared" si="4"/>
        <v>65</v>
      </c>
      <c r="BX23" s="142">
        <f>SUMIF($D$7:$BG$7,"6",$D23:$BG23)</f>
        <v>0</v>
      </c>
      <c r="BY23" s="140">
        <f>SUMIFS($D$9:$BG$9,$D$7:$BG$7,"6",$D23:$BG23,"&gt;"&amp;-1)</f>
        <v>0</v>
      </c>
      <c r="BZ23" s="141">
        <f t="shared" si="5"/>
        <v>0</v>
      </c>
    </row>
    <row r="24" ht="15.75" customHeight="1" spans="1:78" x14ac:dyDescent="0.25">
      <c r="A24" s="143" t="s">
        <v>82</v>
      </c>
      <c r="B24" s="144"/>
      <c r="C24" s="117"/>
      <c r="D24" s="132">
        <v>4</v>
      </c>
      <c r="E24" s="133"/>
      <c r="F24" s="134"/>
      <c r="G24" s="134"/>
      <c r="H24" s="135"/>
      <c r="I24" s="135"/>
      <c r="J24" s="136">
        <v>2.5</v>
      </c>
      <c r="K24" s="137">
        <v>2.5</v>
      </c>
      <c r="L24" s="134"/>
      <c r="M24" s="134"/>
      <c r="N24" s="135"/>
      <c r="O24" s="135"/>
      <c r="P24" s="136"/>
      <c r="Q24" s="136"/>
      <c r="R24" s="135"/>
      <c r="S24" s="135"/>
      <c r="T24" s="138"/>
      <c r="U24" s="132">
        <v>4</v>
      </c>
      <c r="V24" s="133"/>
      <c r="W24" s="134">
        <v>3</v>
      </c>
      <c r="X24" s="134">
        <v>2</v>
      </c>
      <c r="Y24" s="135">
        <v>5</v>
      </c>
      <c r="Z24" s="135"/>
      <c r="AA24" s="136"/>
      <c r="AB24" s="137"/>
      <c r="AC24" s="134">
        <v>3</v>
      </c>
      <c r="AD24" s="134"/>
      <c r="AE24" s="135"/>
      <c r="AF24" s="135"/>
      <c r="AG24" s="136"/>
      <c r="AH24" s="136"/>
      <c r="AI24" s="135"/>
      <c r="AJ24" s="135"/>
      <c r="BA24" s="125">
        <v>10</v>
      </c>
      <c r="BB24" s="125">
        <v>10</v>
      </c>
      <c r="BC24" s="125">
        <v>10</v>
      </c>
      <c r="BD24" s="125">
        <v>10</v>
      </c>
      <c r="BE24" s="125">
        <v>10</v>
      </c>
      <c r="BF24" s="126"/>
      <c r="BG24" s="127"/>
      <c r="BH24" s="46"/>
      <c r="BI24" s="139">
        <f>SUMIF($D$7:$BG$7,"1",$D24:$BG24)</f>
        <v>15</v>
      </c>
      <c r="BJ24" s="140">
        <f>SUMIFS($D$9:$BG$9,$D$7:$BG$7,"1",$D24:$BG24,"&gt;"&amp;-1)</f>
        <v>15</v>
      </c>
      <c r="BK24" s="141">
        <f t="shared" si="0"/>
        <v>100</v>
      </c>
      <c r="BL24" s="142">
        <f>SUMIF($D$7:$BG$7,"2",$D24:$BG24)</f>
        <v>19</v>
      </c>
      <c r="BM24" s="140">
        <f>SUMIFS($D$9:$BG$9,$D$7:$BG$7,"2",$D24:$BG24,"&gt;"&amp;-1)</f>
        <v>20</v>
      </c>
      <c r="BN24" s="141">
        <f t="shared" si="1"/>
        <v>95</v>
      </c>
      <c r="BO24" s="142">
        <f>SUMIF($D$7:$BG$7,"3",$D24:$BG24)</f>
        <v>22</v>
      </c>
      <c r="BP24" s="140">
        <f>SUMIFS($D$9:$BG$9,$D$7:$BG$7,"3",$D24:$BG24,"&gt;"&amp;-1)</f>
        <v>25</v>
      </c>
      <c r="BQ24" s="141">
        <f t="shared" si="2"/>
        <v>88</v>
      </c>
      <c r="BR24" s="142">
        <f>SUMIF($D$7:$BG$7,"4",$D24:$BG24)</f>
        <v>10</v>
      </c>
      <c r="BS24" s="140">
        <f>SUMIFS($D$9:$BG$9,$D$7:$BG$7,"4",$D24:$BG24,"&gt;"&amp;-1)</f>
        <v>10</v>
      </c>
      <c r="BT24" s="141">
        <f t="shared" si="3"/>
        <v>100</v>
      </c>
      <c r="BU24" s="142">
        <f>SUMIF($D$7:$BG$7,"5",$D24:$BG24)</f>
        <v>10</v>
      </c>
      <c r="BV24" s="140">
        <f>SUMIFS($D$9:$BG$9,$D$7:$BG$7,"5",$D24:$BG24,"&gt;"&amp;-1)</f>
        <v>10</v>
      </c>
      <c r="BW24" s="141">
        <f t="shared" si="4"/>
        <v>100</v>
      </c>
      <c r="BX24" s="142">
        <f>SUMIF($D$7:$BG$7,"6",$D24:$BG24)</f>
        <v>0</v>
      </c>
      <c r="BY24" s="140">
        <f>SUMIFS($D$9:$BG$9,$D$7:$BG$7,"6",$D24:$BG24,"&gt;"&amp;-1)</f>
        <v>0</v>
      </c>
      <c r="BZ24" s="141">
        <f t="shared" si="5"/>
        <v>0</v>
      </c>
    </row>
    <row r="25" ht="15.75" customHeight="1" spans="1:78" x14ac:dyDescent="0.25">
      <c r="A25" s="143" t="s">
        <v>83</v>
      </c>
      <c r="B25" s="144"/>
      <c r="C25" s="117"/>
      <c r="D25" s="132">
        <v>5</v>
      </c>
      <c r="E25" s="133"/>
      <c r="F25" s="134"/>
      <c r="G25" s="134"/>
      <c r="H25" s="135">
        <v>1</v>
      </c>
      <c r="I25" s="135">
        <v>0</v>
      </c>
      <c r="J25" s="136">
        <v>0</v>
      </c>
      <c r="K25" s="137">
        <v>2</v>
      </c>
      <c r="L25" s="134"/>
      <c r="M25" s="134"/>
      <c r="N25" s="135"/>
      <c r="O25" s="135"/>
      <c r="P25" s="136"/>
      <c r="Q25" s="136"/>
      <c r="R25" s="135"/>
      <c r="S25" s="135"/>
      <c r="T25" s="138"/>
      <c r="U25" s="132">
        <v>5</v>
      </c>
      <c r="V25" s="133"/>
      <c r="W25" s="134">
        <v>3</v>
      </c>
      <c r="X25" s="134">
        <v>2</v>
      </c>
      <c r="Y25" s="135">
        <v>2</v>
      </c>
      <c r="Z25" s="135"/>
      <c r="AA25" s="136"/>
      <c r="AB25" s="137"/>
      <c r="AC25" s="134">
        <v>2</v>
      </c>
      <c r="AD25" s="134"/>
      <c r="AE25" s="135"/>
      <c r="AF25" s="135"/>
      <c r="AG25" s="136"/>
      <c r="AH25" s="136"/>
      <c r="AI25" s="135"/>
      <c r="AJ25" s="135"/>
      <c r="BA25" s="125">
        <v>10</v>
      </c>
      <c r="BB25" s="125">
        <v>10</v>
      </c>
      <c r="BC25" s="125">
        <v>10</v>
      </c>
      <c r="BD25" s="125">
        <v>10</v>
      </c>
      <c r="BE25" s="125">
        <v>10</v>
      </c>
      <c r="BF25" s="126"/>
      <c r="BG25" s="127"/>
      <c r="BH25" s="46"/>
      <c r="BI25" s="139">
        <f>SUMIF($D$7:$BG$7,"1",$D25:$BG25)</f>
        <v>12</v>
      </c>
      <c r="BJ25" s="140">
        <f>SUMIFS($D$9:$BG$9,$D$7:$BG$7,"1",$D25:$BG25,"&gt;"&amp;-1)</f>
        <v>15</v>
      </c>
      <c r="BK25" s="141">
        <f t="shared" si="0"/>
        <v>80</v>
      </c>
      <c r="BL25" s="142">
        <f>SUMIF($D$7:$BG$7,"2",$D25:$BG25)</f>
        <v>21</v>
      </c>
      <c r="BM25" s="140">
        <f>SUMIFS($D$9:$BG$9,$D$7:$BG$7,"2",$D25:$BG25,"&gt;"&amp;-1)</f>
        <v>25</v>
      </c>
      <c r="BN25" s="141">
        <f t="shared" si="1"/>
        <v>84</v>
      </c>
      <c r="BO25" s="142">
        <f>SUMIF($D$7:$BG$7,"3",$D25:$BG25)</f>
        <v>19</v>
      </c>
      <c r="BP25" s="140">
        <f>SUMIFS($D$9:$BG$9,$D$7:$BG$7,"3",$D25:$BG25,"&gt;"&amp;-1)</f>
        <v>25</v>
      </c>
      <c r="BQ25" s="141">
        <f t="shared" si="2"/>
        <v>76</v>
      </c>
      <c r="BR25" s="142">
        <f>SUMIF($D$7:$BG$7,"4",$D25:$BG25)</f>
        <v>10</v>
      </c>
      <c r="BS25" s="140">
        <f>SUMIFS($D$9:$BG$9,$D$7:$BG$7,"4",$D25:$BG25,"&gt;"&amp;-1)</f>
        <v>10</v>
      </c>
      <c r="BT25" s="141">
        <f t="shared" si="3"/>
        <v>100</v>
      </c>
      <c r="BU25" s="142">
        <f>SUMIF($D$7:$BG$7,"5",$D25:$BG25)</f>
        <v>10</v>
      </c>
      <c r="BV25" s="140">
        <f>SUMIFS($D$9:$BG$9,$D$7:$BG$7,"5",$D25:$BG25,"&gt;"&amp;-1)</f>
        <v>10</v>
      </c>
      <c r="BW25" s="141">
        <f t="shared" si="4"/>
        <v>100</v>
      </c>
      <c r="BX25" s="142">
        <f>SUMIF($D$7:$BG$7,"6",$D25:$BG25)</f>
        <v>0</v>
      </c>
      <c r="BY25" s="140">
        <f>SUMIFS($D$9:$BG$9,$D$7:$BG$7,"6",$D25:$BG25,"&gt;"&amp;-1)</f>
        <v>0</v>
      </c>
      <c r="BZ25" s="141">
        <f t="shared" si="5"/>
        <v>0</v>
      </c>
    </row>
    <row r="26" ht="15.75" customHeight="1" spans="1:78" x14ac:dyDescent="0.25">
      <c r="A26" s="143" t="s">
        <v>84</v>
      </c>
      <c r="B26" s="144"/>
      <c r="C26" s="117"/>
      <c r="D26" s="132">
        <v>2</v>
      </c>
      <c r="E26" s="133"/>
      <c r="F26" s="134"/>
      <c r="G26" s="134"/>
      <c r="H26" s="135"/>
      <c r="I26" s="135"/>
      <c r="J26" s="136"/>
      <c r="K26" s="137"/>
      <c r="L26" s="134"/>
      <c r="M26" s="134"/>
      <c r="N26" s="135"/>
      <c r="O26" s="135"/>
      <c r="P26" s="136"/>
      <c r="Q26" s="136"/>
      <c r="R26" s="135"/>
      <c r="S26" s="135"/>
      <c r="T26" s="138"/>
      <c r="U26" s="132">
        <v>5</v>
      </c>
      <c r="V26" s="133"/>
      <c r="W26" s="134">
        <v>3</v>
      </c>
      <c r="X26" s="134">
        <v>2</v>
      </c>
      <c r="Y26" s="135"/>
      <c r="Z26" s="135"/>
      <c r="AA26" s="136"/>
      <c r="AB26" s="137"/>
      <c r="AC26" s="134"/>
      <c r="AD26" s="134"/>
      <c r="AE26" s="135"/>
      <c r="AF26" s="135"/>
      <c r="AG26" s="136"/>
      <c r="AH26" s="136"/>
      <c r="AI26" s="135"/>
      <c r="AJ26" s="135"/>
      <c r="BA26" s="125">
        <v>10</v>
      </c>
      <c r="BB26" s="125">
        <v>10</v>
      </c>
      <c r="BC26" s="125">
        <v>10</v>
      </c>
      <c r="BD26" s="125">
        <v>10</v>
      </c>
      <c r="BE26" s="125">
        <v>10</v>
      </c>
      <c r="BF26" s="126"/>
      <c r="BG26" s="127"/>
      <c r="BH26" s="46"/>
      <c r="BI26" s="139">
        <f>SUMIF($D$7:$BG$7,"1",$D26:$BG26)</f>
        <v>10</v>
      </c>
      <c r="BJ26" s="140">
        <f>SUMIFS($D$9:$BG$9,$D$7:$BG$7,"1",$D26:$BG26,"&gt;"&amp;-1)</f>
        <v>10</v>
      </c>
      <c r="BK26" s="141">
        <f t="shared" si="0"/>
        <v>100</v>
      </c>
      <c r="BL26" s="142">
        <f>SUMIF($D$7:$BG$7,"2",$D26:$BG26)</f>
        <v>17</v>
      </c>
      <c r="BM26" s="140">
        <f>SUMIFS($D$9:$BG$9,$D$7:$BG$7,"2",$D26:$BG26,"&gt;"&amp;-1)</f>
        <v>20</v>
      </c>
      <c r="BN26" s="141">
        <f t="shared" si="1"/>
        <v>85</v>
      </c>
      <c r="BO26" s="142">
        <f>SUMIF($D$7:$BG$7,"3",$D26:$BG26)</f>
        <v>15</v>
      </c>
      <c r="BP26" s="140">
        <f>SUMIFS($D$9:$BG$9,$D$7:$BG$7,"3",$D26:$BG26,"&gt;"&amp;-1)</f>
        <v>15</v>
      </c>
      <c r="BQ26" s="141">
        <f t="shared" si="2"/>
        <v>100</v>
      </c>
      <c r="BR26" s="142">
        <f>SUMIF($D$7:$BG$7,"4",$D26:$BG26)</f>
        <v>10</v>
      </c>
      <c r="BS26" s="140">
        <f>SUMIFS($D$9:$BG$9,$D$7:$BG$7,"4",$D26:$BG26,"&gt;"&amp;-1)</f>
        <v>10</v>
      </c>
      <c r="BT26" s="141">
        <f t="shared" si="3"/>
        <v>100</v>
      </c>
      <c r="BU26" s="142">
        <f>SUMIF($D$7:$BG$7,"5",$D26:$BG26)</f>
        <v>10</v>
      </c>
      <c r="BV26" s="140">
        <f>SUMIFS($D$9:$BG$9,$D$7:$BG$7,"5",$D26:$BG26,"&gt;"&amp;-1)</f>
        <v>10</v>
      </c>
      <c r="BW26" s="141">
        <f t="shared" si="4"/>
        <v>100</v>
      </c>
      <c r="BX26" s="142">
        <f>SUMIF($D$7:$BG$7,"6",$D26:$BG26)</f>
        <v>0</v>
      </c>
      <c r="BY26" s="140">
        <f>SUMIFS($D$9:$BG$9,$D$7:$BG$7,"6",$D26:$BG26,"&gt;"&amp;-1)</f>
        <v>0</v>
      </c>
      <c r="BZ26" s="141">
        <f t="shared" si="5"/>
        <v>0</v>
      </c>
    </row>
    <row r="27" ht="15.75" customHeight="1" spans="1:78" x14ac:dyDescent="0.25">
      <c r="A27" s="145" t="s">
        <v>85</v>
      </c>
      <c r="B27" s="144"/>
      <c r="C27" s="117"/>
      <c r="D27" s="132">
        <v>2</v>
      </c>
      <c r="E27" s="133"/>
      <c r="F27" s="134"/>
      <c r="G27" s="134"/>
      <c r="H27" s="135"/>
      <c r="I27" s="135"/>
      <c r="J27" s="136"/>
      <c r="K27" s="137"/>
      <c r="L27" s="134"/>
      <c r="M27" s="134">
        <v>2</v>
      </c>
      <c r="N27" s="135"/>
      <c r="O27" s="135"/>
      <c r="P27" s="136"/>
      <c r="Q27" s="136">
        <v>2</v>
      </c>
      <c r="R27" s="135"/>
      <c r="S27" s="135"/>
      <c r="T27" s="138"/>
      <c r="U27" s="132">
        <v>5</v>
      </c>
      <c r="V27" s="133"/>
      <c r="W27" s="134">
        <v>3</v>
      </c>
      <c r="X27" s="134">
        <v>2</v>
      </c>
      <c r="Y27" s="135"/>
      <c r="Z27" s="135"/>
      <c r="AA27" s="136"/>
      <c r="AB27" s="137"/>
      <c r="AC27" s="134"/>
      <c r="AD27" s="134"/>
      <c r="AE27" s="135"/>
      <c r="AF27" s="135"/>
      <c r="AG27" s="136"/>
      <c r="AH27" s="136"/>
      <c r="AI27" s="135"/>
      <c r="AJ27" s="135"/>
      <c r="BA27" s="125">
        <v>10</v>
      </c>
      <c r="BB27" s="125">
        <v>10</v>
      </c>
      <c r="BC27" s="125">
        <v>10</v>
      </c>
      <c r="BD27" s="125">
        <v>10</v>
      </c>
      <c r="BE27" s="125">
        <v>10</v>
      </c>
      <c r="BF27" s="126"/>
      <c r="BG27" s="127"/>
      <c r="BH27" s="46"/>
      <c r="BI27" s="139">
        <f>SUMIF($D$7:$BG$7,"1",$D27:$BG27)</f>
        <v>10</v>
      </c>
      <c r="BJ27" s="140">
        <f>SUMIFS($D$9:$BG$9,$D$7:$BG$7,"1",$D27:$BG27,"&gt;"&amp;-1)</f>
        <v>10</v>
      </c>
      <c r="BK27" s="141">
        <f t="shared" si="0"/>
        <v>100</v>
      </c>
      <c r="BL27" s="142">
        <f>SUMIF($D$7:$BG$7,"2",$D27:$BG27)</f>
        <v>19</v>
      </c>
      <c r="BM27" s="140">
        <f>SUMIFS($D$9:$BG$9,$D$7:$BG$7,"2",$D27:$BG27,"&gt;"&amp;-1)</f>
        <v>22</v>
      </c>
      <c r="BN27" s="141">
        <f t="shared" si="1"/>
        <v>86.37</v>
      </c>
      <c r="BO27" s="142">
        <f>SUMIF($D$7:$BG$7,"3",$D27:$BG27)</f>
        <v>15</v>
      </c>
      <c r="BP27" s="140">
        <f>SUMIFS($D$9:$BG$9,$D$7:$BG$7,"3",$D27:$BG27,"&gt;"&amp;-1)</f>
        <v>15</v>
      </c>
      <c r="BQ27" s="141">
        <f t="shared" si="2"/>
        <v>100</v>
      </c>
      <c r="BR27" s="142">
        <f>SUMIF($D$7:$BG$7,"4",$D27:$BG27)</f>
        <v>10</v>
      </c>
      <c r="BS27" s="140">
        <f>SUMIFS($D$9:$BG$9,$D$7:$BG$7,"4",$D27:$BG27,"&gt;"&amp;-1)</f>
        <v>10</v>
      </c>
      <c r="BT27" s="141">
        <f t="shared" si="3"/>
        <v>100</v>
      </c>
      <c r="BU27" s="142">
        <f>SUMIF($D$7:$BG$7,"5",$D27:$BG27)</f>
        <v>12</v>
      </c>
      <c r="BV27" s="140">
        <f>SUMIFS($D$9:$BG$9,$D$7:$BG$7,"5",$D27:$BG27,"&gt;"&amp;-1)</f>
        <v>15</v>
      </c>
      <c r="BW27" s="141">
        <f t="shared" si="4"/>
        <v>80</v>
      </c>
      <c r="BX27" s="142">
        <f>SUMIF($D$7:$BG$7,"6",$D27:$BG27)</f>
        <v>0</v>
      </c>
      <c r="BY27" s="140">
        <f>SUMIFS($D$9:$BG$9,$D$7:$BG$7,"6",$D27:$BG27,"&gt;"&amp;-1)</f>
        <v>0</v>
      </c>
      <c r="BZ27" s="141">
        <f t="shared" si="5"/>
        <v>0</v>
      </c>
    </row>
    <row r="28" ht="15.75" customHeight="1" spans="1:78" x14ac:dyDescent="0.25">
      <c r="A28" s="145" t="s">
        <v>86</v>
      </c>
      <c r="B28" s="144"/>
      <c r="C28" s="117"/>
      <c r="D28" s="132">
        <v>5</v>
      </c>
      <c r="E28" s="133"/>
      <c r="F28" s="134"/>
      <c r="G28" s="134"/>
      <c r="H28" s="135"/>
      <c r="I28" s="135"/>
      <c r="J28" s="136">
        <v>2.5</v>
      </c>
      <c r="K28" s="137">
        <v>2.5</v>
      </c>
      <c r="L28" s="134">
        <v>2</v>
      </c>
      <c r="M28" s="134">
        <v>2</v>
      </c>
      <c r="N28" s="135"/>
      <c r="O28" s="135"/>
      <c r="P28" s="136">
        <v>2</v>
      </c>
      <c r="Q28" s="136">
        <v>2</v>
      </c>
      <c r="R28" s="135"/>
      <c r="S28" s="135"/>
      <c r="T28" s="138"/>
      <c r="U28" s="132">
        <v>5</v>
      </c>
      <c r="V28" s="133"/>
      <c r="W28" s="134">
        <v>3</v>
      </c>
      <c r="X28" s="134">
        <v>2</v>
      </c>
      <c r="Y28" s="135">
        <v>5</v>
      </c>
      <c r="Z28" s="135"/>
      <c r="AA28" s="136">
        <v>5</v>
      </c>
      <c r="AB28" s="137"/>
      <c r="AC28" s="134">
        <v>3</v>
      </c>
      <c r="AD28" s="134"/>
      <c r="AE28" s="135"/>
      <c r="AF28" s="135"/>
      <c r="AG28" s="136"/>
      <c r="AH28" s="136"/>
      <c r="AI28" s="135"/>
      <c r="AJ28" s="135"/>
      <c r="BA28" s="125">
        <v>10</v>
      </c>
      <c r="BB28" s="125">
        <v>10</v>
      </c>
      <c r="BC28" s="125">
        <v>10</v>
      </c>
      <c r="BD28" s="125">
        <v>10</v>
      </c>
      <c r="BE28" s="125">
        <v>10</v>
      </c>
      <c r="BF28" s="126"/>
      <c r="BG28" s="127"/>
      <c r="BH28" s="46"/>
      <c r="BI28" s="139">
        <f>SUMIF($D$7:$BG$7,"1",$D28:$BG28)</f>
        <v>15</v>
      </c>
      <c r="BJ28" s="140">
        <f>SUMIFS($D$9:$BG$9,$D$7:$BG$7,"1",$D28:$BG28,"&gt;"&amp;-1)</f>
        <v>15</v>
      </c>
      <c r="BK28" s="141">
        <f t="shared" si="0"/>
        <v>100</v>
      </c>
      <c r="BL28" s="142">
        <f>SUMIF($D$7:$BG$7,"2",$D28:$BG28)</f>
        <v>24</v>
      </c>
      <c r="BM28" s="140">
        <f>SUMIFS($D$9:$BG$9,$D$7:$BG$7,"2",$D28:$BG28,"&gt;"&amp;-1)</f>
        <v>25</v>
      </c>
      <c r="BN28" s="141">
        <f t="shared" si="1"/>
        <v>96</v>
      </c>
      <c r="BO28" s="142">
        <f>SUMIF($D$7:$BG$7,"3",$D28:$BG28)</f>
        <v>23</v>
      </c>
      <c r="BP28" s="140">
        <f>SUMIFS($D$9:$BG$9,$D$7:$BG$7,"3",$D28:$BG28,"&gt;"&amp;-1)</f>
        <v>25</v>
      </c>
      <c r="BQ28" s="141">
        <f t="shared" si="2"/>
        <v>92</v>
      </c>
      <c r="BR28" s="142">
        <f>SUMIF($D$7:$BG$7,"4",$D28:$BG28)</f>
        <v>15</v>
      </c>
      <c r="BS28" s="140">
        <f>SUMIFS($D$9:$BG$9,$D$7:$BG$7,"4",$D28:$BG28,"&gt;"&amp;-1)</f>
        <v>15</v>
      </c>
      <c r="BT28" s="141">
        <f t="shared" si="3"/>
        <v>100</v>
      </c>
      <c r="BU28" s="142">
        <f>SUMIF($D$7:$BG$7,"5",$D28:$BG28)</f>
        <v>14</v>
      </c>
      <c r="BV28" s="140">
        <f>SUMIFS($D$9:$BG$9,$D$7:$BG$7,"5",$D28:$BG28,"&gt;"&amp;-1)</f>
        <v>20</v>
      </c>
      <c r="BW28" s="141">
        <f t="shared" si="4"/>
        <v>70</v>
      </c>
      <c r="BX28" s="142">
        <f>SUMIF($D$7:$BG$7,"6",$D28:$BG28)</f>
        <v>0</v>
      </c>
      <c r="BY28" s="140">
        <f>SUMIFS($D$9:$BG$9,$D$7:$BG$7,"6",$D28:$BG28,"&gt;"&amp;-1)</f>
        <v>0</v>
      </c>
      <c r="BZ28" s="141">
        <f t="shared" si="5"/>
        <v>0</v>
      </c>
    </row>
    <row r="29" ht="15.75" customHeight="1" spans="1:78" x14ac:dyDescent="0.25">
      <c r="A29" s="145" t="s">
        <v>87</v>
      </c>
      <c r="B29" s="144"/>
      <c r="C29" s="117"/>
      <c r="D29" s="132">
        <v>4</v>
      </c>
      <c r="E29" s="133"/>
      <c r="F29" s="134">
        <v>4</v>
      </c>
      <c r="G29" s="134"/>
      <c r="H29" s="135"/>
      <c r="I29" s="135"/>
      <c r="J29" s="136">
        <v>2</v>
      </c>
      <c r="K29" s="137">
        <v>2</v>
      </c>
      <c r="L29" s="134">
        <v>1</v>
      </c>
      <c r="M29" s="134">
        <v>3</v>
      </c>
      <c r="N29" s="135"/>
      <c r="O29" s="135"/>
      <c r="P29" s="136">
        <v>1</v>
      </c>
      <c r="Q29" s="136">
        <v>3</v>
      </c>
      <c r="R29" s="135"/>
      <c r="S29" s="135"/>
      <c r="T29" s="138"/>
      <c r="U29" s="132">
        <v>5</v>
      </c>
      <c r="V29" s="133"/>
      <c r="W29" s="134">
        <v>3</v>
      </c>
      <c r="X29" s="134">
        <v>2</v>
      </c>
      <c r="Y29" s="135">
        <v>5</v>
      </c>
      <c r="Z29" s="135"/>
      <c r="AA29" s="136">
        <v>5</v>
      </c>
      <c r="AB29" s="137"/>
      <c r="AC29" s="134"/>
      <c r="AD29" s="134"/>
      <c r="AE29" s="135"/>
      <c r="AF29" s="135"/>
      <c r="AG29" s="136"/>
      <c r="AH29" s="136"/>
      <c r="AI29" s="135"/>
      <c r="AJ29" s="135"/>
      <c r="BA29" s="125">
        <v>10</v>
      </c>
      <c r="BB29" s="125">
        <v>10</v>
      </c>
      <c r="BC29" s="125">
        <v>10</v>
      </c>
      <c r="BD29" s="125">
        <v>10</v>
      </c>
      <c r="BE29" s="125">
        <v>10</v>
      </c>
      <c r="BF29" s="126"/>
      <c r="BG29" s="127"/>
      <c r="BH29" s="46"/>
      <c r="BI29" s="139">
        <f>SUMIF($D$7:$BG$7,"1",$D29:$BG29)</f>
        <v>14</v>
      </c>
      <c r="BJ29" s="140">
        <f>SUMIFS($D$9:$BG$9,$D$7:$BG$7,"1",$D29:$BG29,"&gt;"&amp;-1)</f>
        <v>15</v>
      </c>
      <c r="BK29" s="141">
        <f t="shared" si="0"/>
        <v>93.34</v>
      </c>
      <c r="BL29" s="142">
        <f>SUMIF($D$7:$BG$7,"2",$D29:$BG29)</f>
        <v>23</v>
      </c>
      <c r="BM29" s="140">
        <f>SUMIFS($D$9:$BG$9,$D$7:$BG$7,"2",$D29:$BG29,"&gt;"&amp;-1)</f>
        <v>25</v>
      </c>
      <c r="BN29" s="141">
        <f t="shared" si="1"/>
        <v>92</v>
      </c>
      <c r="BO29" s="142">
        <f>SUMIF($D$7:$BG$7,"3",$D29:$BG29)</f>
        <v>24</v>
      </c>
      <c r="BP29" s="140">
        <f>SUMIFS($D$9:$BG$9,$D$7:$BG$7,"3",$D29:$BG29,"&gt;"&amp;-1)</f>
        <v>25</v>
      </c>
      <c r="BQ29" s="141">
        <f t="shared" si="2"/>
        <v>96</v>
      </c>
      <c r="BR29" s="142">
        <f>SUMIF($D$7:$BG$7,"4",$D29:$BG29)</f>
        <v>15</v>
      </c>
      <c r="BS29" s="140">
        <f>SUMIFS($D$9:$BG$9,$D$7:$BG$7,"4",$D29:$BG29,"&gt;"&amp;-1)</f>
        <v>15</v>
      </c>
      <c r="BT29" s="141">
        <f t="shared" si="3"/>
        <v>100</v>
      </c>
      <c r="BU29" s="142">
        <f>SUMIF($D$7:$BG$7,"5",$D29:$BG29)</f>
        <v>14</v>
      </c>
      <c r="BV29" s="140">
        <f>SUMIFS($D$9:$BG$9,$D$7:$BG$7,"5",$D29:$BG29,"&gt;"&amp;-1)</f>
        <v>20</v>
      </c>
      <c r="BW29" s="141">
        <f t="shared" si="4"/>
        <v>70</v>
      </c>
      <c r="BX29" s="142">
        <f>SUMIF($D$7:$BG$7,"6",$D29:$BG29)</f>
        <v>0</v>
      </c>
      <c r="BY29" s="140">
        <f>SUMIFS($D$9:$BG$9,$D$7:$BG$7,"6",$D29:$BG29,"&gt;"&amp;-1)</f>
        <v>0</v>
      </c>
      <c r="BZ29" s="141">
        <f t="shared" si="5"/>
        <v>0</v>
      </c>
    </row>
    <row r="30" ht="15.75" customHeight="1" spans="1:78" x14ac:dyDescent="0.25">
      <c r="A30" s="145" t="s">
        <v>88</v>
      </c>
      <c r="B30" s="144"/>
      <c r="C30" s="117"/>
      <c r="D30" s="132">
        <v>4</v>
      </c>
      <c r="E30" s="133"/>
      <c r="F30" s="134"/>
      <c r="G30" s="134"/>
      <c r="H30" s="135">
        <v>3</v>
      </c>
      <c r="I30" s="135"/>
      <c r="J30" s="136">
        <v>2</v>
      </c>
      <c r="K30" s="137">
        <v>0</v>
      </c>
      <c r="L30" s="134"/>
      <c r="M30" s="134"/>
      <c r="N30" s="135"/>
      <c r="O30" s="135"/>
      <c r="P30" s="136"/>
      <c r="Q30" s="136"/>
      <c r="R30" s="135"/>
      <c r="S30" s="135"/>
      <c r="T30" s="138"/>
      <c r="U30" s="132">
        <v>5</v>
      </c>
      <c r="V30" s="133"/>
      <c r="W30" s="134"/>
      <c r="X30" s="134"/>
      <c r="Y30" s="135">
        <v>4</v>
      </c>
      <c r="Z30" s="135"/>
      <c r="AA30" s="136">
        <v>5</v>
      </c>
      <c r="AB30" s="137"/>
      <c r="AC30" s="134">
        <v>5</v>
      </c>
      <c r="AD30" s="134"/>
      <c r="AE30" s="135">
        <v>5</v>
      </c>
      <c r="AF30" s="135"/>
      <c r="AG30" s="136"/>
      <c r="AH30" s="136"/>
      <c r="AI30" s="135"/>
      <c r="AJ30" s="135"/>
      <c r="BA30" s="125">
        <v>10</v>
      </c>
      <c r="BB30" s="125">
        <v>10</v>
      </c>
      <c r="BC30" s="125">
        <v>10</v>
      </c>
      <c r="BD30" s="125">
        <v>10</v>
      </c>
      <c r="BE30" s="125">
        <v>10</v>
      </c>
      <c r="BF30" s="126"/>
      <c r="BG30" s="127"/>
      <c r="BH30" s="46"/>
      <c r="BI30" s="139">
        <f>SUMIF($D$7:$BG$7,"1",$D30:$BG30)</f>
        <v>12</v>
      </c>
      <c r="BJ30" s="140">
        <f>SUMIFS($D$9:$BG$9,$D$7:$BG$7,"1",$D30:$BG30,"&gt;"&amp;-1)</f>
        <v>15</v>
      </c>
      <c r="BK30" s="141">
        <f t="shared" si="0"/>
        <v>80</v>
      </c>
      <c r="BL30" s="142">
        <f>SUMIF($D$7:$BG$7,"2",$D30:$BG30)</f>
        <v>17</v>
      </c>
      <c r="BM30" s="140">
        <f>SUMIFS($D$9:$BG$9,$D$7:$BG$7,"2",$D30:$BG30,"&gt;"&amp;-1)</f>
        <v>20</v>
      </c>
      <c r="BN30" s="141">
        <f t="shared" si="1"/>
        <v>85</v>
      </c>
      <c r="BO30" s="142">
        <f>SUMIF($D$7:$BG$7,"3",$D30:$BG30)</f>
        <v>29</v>
      </c>
      <c r="BP30" s="140">
        <f>SUMIFS($D$9:$BG$9,$D$7:$BG$7,"3",$D30:$BG30,"&gt;"&amp;-1)</f>
        <v>30</v>
      </c>
      <c r="BQ30" s="141">
        <f t="shared" si="2"/>
        <v>96.67</v>
      </c>
      <c r="BR30" s="142">
        <f>SUMIF($D$7:$BG$7,"4",$D30:$BG30)</f>
        <v>15</v>
      </c>
      <c r="BS30" s="140">
        <f>SUMIFS($D$9:$BG$9,$D$7:$BG$7,"4",$D30:$BG30,"&gt;"&amp;-1)</f>
        <v>15</v>
      </c>
      <c r="BT30" s="141">
        <f t="shared" si="3"/>
        <v>100</v>
      </c>
      <c r="BU30" s="142">
        <f>SUMIF($D$7:$BG$7,"5",$D30:$BG30)</f>
        <v>10</v>
      </c>
      <c r="BV30" s="140">
        <f>SUMIFS($D$9:$BG$9,$D$7:$BG$7,"5",$D30:$BG30,"&gt;"&amp;-1)</f>
        <v>10</v>
      </c>
      <c r="BW30" s="141">
        <f t="shared" si="4"/>
        <v>100</v>
      </c>
      <c r="BX30" s="142">
        <f>SUMIF($D$7:$BG$7,"6",$D30:$BG30)</f>
        <v>0</v>
      </c>
      <c r="BY30" s="140">
        <f>SUMIFS($D$9:$BG$9,$D$7:$BG$7,"6",$D30:$BG30,"&gt;"&amp;-1)</f>
        <v>0</v>
      </c>
      <c r="BZ30" s="141">
        <f t="shared" si="5"/>
        <v>0</v>
      </c>
    </row>
    <row r="31" ht="15.75" customHeight="1" spans="1:78" x14ac:dyDescent="0.25">
      <c r="A31" s="145" t="s">
        <v>89</v>
      </c>
      <c r="B31" s="144"/>
      <c r="C31" s="117"/>
      <c r="D31" s="132">
        <v>5</v>
      </c>
      <c r="E31" s="133"/>
      <c r="F31" s="134"/>
      <c r="G31" s="134"/>
      <c r="H31" s="135">
        <v>5</v>
      </c>
      <c r="I31" s="135"/>
      <c r="J31" s="136">
        <v>2.5</v>
      </c>
      <c r="K31" s="137">
        <v>2.5</v>
      </c>
      <c r="L31" s="134">
        <v>2</v>
      </c>
      <c r="M31" s="134">
        <v>3</v>
      </c>
      <c r="N31" s="135"/>
      <c r="O31" s="135"/>
      <c r="P31" s="136">
        <v>2</v>
      </c>
      <c r="Q31" s="136">
        <v>3</v>
      </c>
      <c r="R31" s="135"/>
      <c r="S31" s="135"/>
      <c r="T31" s="138"/>
      <c r="U31" s="132">
        <v>3</v>
      </c>
      <c r="V31" s="133"/>
      <c r="W31" s="134">
        <v>3</v>
      </c>
      <c r="X31" s="134">
        <v>2</v>
      </c>
      <c r="Y31" s="135">
        <v>5</v>
      </c>
      <c r="Z31" s="135"/>
      <c r="AA31" s="136">
        <v>5</v>
      </c>
      <c r="AB31" s="137"/>
      <c r="AC31" s="134">
        <v>4</v>
      </c>
      <c r="AD31" s="134"/>
      <c r="AE31" s="135"/>
      <c r="AF31" s="135"/>
      <c r="AG31" s="136"/>
      <c r="AH31" s="136"/>
      <c r="AI31" s="135"/>
      <c r="AJ31" s="135"/>
      <c r="BA31" s="125">
        <v>10</v>
      </c>
      <c r="BB31" s="125">
        <v>10</v>
      </c>
      <c r="BC31" s="125">
        <v>10</v>
      </c>
      <c r="BD31" s="125">
        <v>10</v>
      </c>
      <c r="BE31" s="125">
        <v>10</v>
      </c>
      <c r="BF31" s="126"/>
      <c r="BG31" s="127"/>
      <c r="BH31" s="46"/>
      <c r="BI31" s="139">
        <f>SUMIF($D$7:$BG$7,"1",$D31:$BG31)</f>
        <v>15</v>
      </c>
      <c r="BJ31" s="140">
        <f>SUMIFS($D$9:$BG$9,$D$7:$BG$7,"1",$D31:$BG31,"&gt;"&amp;-1)</f>
        <v>15</v>
      </c>
      <c r="BK31" s="141">
        <f t="shared" si="0"/>
        <v>100</v>
      </c>
      <c r="BL31" s="142">
        <f>SUMIF($D$7:$BG$7,"2",$D31:$BG31)</f>
        <v>30</v>
      </c>
      <c r="BM31" s="140">
        <f>SUMIFS($D$9:$BG$9,$D$7:$BG$7,"2",$D31:$BG31,"&gt;"&amp;-1)</f>
        <v>30</v>
      </c>
      <c r="BN31" s="141">
        <f t="shared" si="1"/>
        <v>100</v>
      </c>
      <c r="BO31" s="142">
        <f>SUMIF($D$7:$BG$7,"3",$D31:$BG31)</f>
        <v>22</v>
      </c>
      <c r="BP31" s="140">
        <f>SUMIFS($D$9:$BG$9,$D$7:$BG$7,"3",$D31:$BG31,"&gt;"&amp;-1)</f>
        <v>25</v>
      </c>
      <c r="BQ31" s="141">
        <f t="shared" si="2"/>
        <v>88</v>
      </c>
      <c r="BR31" s="142">
        <f>SUMIF($D$7:$BG$7,"4",$D31:$BG31)</f>
        <v>15</v>
      </c>
      <c r="BS31" s="140">
        <f>SUMIFS($D$9:$BG$9,$D$7:$BG$7,"4",$D31:$BG31,"&gt;"&amp;-1)</f>
        <v>15</v>
      </c>
      <c r="BT31" s="141">
        <f t="shared" si="3"/>
        <v>100</v>
      </c>
      <c r="BU31" s="142">
        <f>SUMIF($D$7:$BG$7,"5",$D31:$BG31)</f>
        <v>15</v>
      </c>
      <c r="BV31" s="140">
        <f>SUMIFS($D$9:$BG$9,$D$7:$BG$7,"5",$D31:$BG31,"&gt;"&amp;-1)</f>
        <v>20</v>
      </c>
      <c r="BW31" s="141">
        <f t="shared" si="4"/>
        <v>75</v>
      </c>
      <c r="BX31" s="142">
        <f>SUMIF($D$7:$BG$7,"6",$D31:$BG31)</f>
        <v>0</v>
      </c>
      <c r="BY31" s="140">
        <f>SUMIFS($D$9:$BG$9,$D$7:$BG$7,"6",$D31:$BG31,"&gt;"&amp;-1)</f>
        <v>0</v>
      </c>
      <c r="BZ31" s="141">
        <f t="shared" si="5"/>
        <v>0</v>
      </c>
    </row>
    <row r="32" ht="15.75" customHeight="1" spans="1:78" x14ac:dyDescent="0.25">
      <c r="A32" s="146" t="s">
        <v>90</v>
      </c>
      <c r="B32" s="146"/>
      <c r="C32" s="117"/>
      <c r="D32" s="132">
        <v>5</v>
      </c>
      <c r="E32" s="133"/>
      <c r="F32" s="134"/>
      <c r="G32" s="134"/>
      <c r="H32" s="135">
        <v>4</v>
      </c>
      <c r="I32" s="135"/>
      <c r="J32" s="136">
        <v>2.5</v>
      </c>
      <c r="K32" s="137">
        <v>2.5</v>
      </c>
      <c r="L32" s="134">
        <v>2</v>
      </c>
      <c r="M32" s="134">
        <v>5</v>
      </c>
      <c r="N32" s="135"/>
      <c r="O32" s="135"/>
      <c r="P32" s="136">
        <v>2</v>
      </c>
      <c r="Q32" s="136">
        <v>5</v>
      </c>
      <c r="R32" s="135"/>
      <c r="S32" s="135"/>
      <c r="T32" s="138"/>
      <c r="U32" s="132">
        <v>5</v>
      </c>
      <c r="V32" s="133"/>
      <c r="W32" s="134">
        <v>3</v>
      </c>
      <c r="X32" s="134">
        <v>2</v>
      </c>
      <c r="Y32" s="135">
        <v>5</v>
      </c>
      <c r="Z32" s="135"/>
      <c r="AA32" s="136">
        <v>5</v>
      </c>
      <c r="AB32" s="137"/>
      <c r="AC32" s="134">
        <v>5</v>
      </c>
      <c r="AD32" s="134"/>
      <c r="AE32" s="135">
        <v>4</v>
      </c>
      <c r="AF32" s="135"/>
      <c r="AG32" s="136"/>
      <c r="AH32" s="136"/>
      <c r="AI32" s="135"/>
      <c r="AJ32" s="135"/>
      <c r="BA32" s="125">
        <v>10</v>
      </c>
      <c r="BB32" s="125">
        <v>10</v>
      </c>
      <c r="BC32" s="125">
        <v>10</v>
      </c>
      <c r="BD32" s="125">
        <v>10</v>
      </c>
      <c r="BE32" s="125">
        <v>10</v>
      </c>
      <c r="BF32" s="126"/>
      <c r="BG32" s="127"/>
      <c r="BH32" s="46"/>
      <c r="BI32" s="139">
        <f>SUMIF($D$7:$BG$7,"1",$D32:$BG32)</f>
        <v>15</v>
      </c>
      <c r="BJ32" s="140">
        <f>SUMIFS($D$9:$BG$9,$D$7:$BG$7,"1",$D32:$BG32,"&gt;"&amp;-1)</f>
        <v>15</v>
      </c>
      <c r="BK32" s="141">
        <f t="shared" si="0"/>
        <v>100</v>
      </c>
      <c r="BL32" s="142">
        <f>SUMIF($D$7:$BG$7,"2",$D32:$BG32)</f>
        <v>31</v>
      </c>
      <c r="BM32" s="140">
        <f>SUMIFS($D$9:$BG$9,$D$7:$BG$7,"2",$D32:$BG32,"&gt;"&amp;-1)</f>
        <v>30</v>
      </c>
      <c r="BN32" s="141">
        <f t="shared" si="1"/>
        <v>103.34</v>
      </c>
      <c r="BO32" s="142">
        <f>SUMIF($D$7:$BG$7,"3",$D32:$BG32)</f>
        <v>29</v>
      </c>
      <c r="BP32" s="140">
        <f>SUMIFS($D$9:$BG$9,$D$7:$BG$7,"3",$D32:$BG32,"&gt;"&amp;-1)</f>
        <v>30</v>
      </c>
      <c r="BQ32" s="141">
        <f t="shared" si="2"/>
        <v>96.67</v>
      </c>
      <c r="BR32" s="142">
        <f>SUMIF($D$7:$BG$7,"4",$D32:$BG32)</f>
        <v>15</v>
      </c>
      <c r="BS32" s="140">
        <f>SUMIFS($D$9:$BG$9,$D$7:$BG$7,"4",$D32:$BG32,"&gt;"&amp;-1)</f>
        <v>15</v>
      </c>
      <c r="BT32" s="141">
        <f t="shared" si="3"/>
        <v>100</v>
      </c>
      <c r="BU32" s="142">
        <f>SUMIF($D$7:$BG$7,"5",$D32:$BG32)</f>
        <v>17</v>
      </c>
      <c r="BV32" s="140">
        <f>SUMIFS($D$9:$BG$9,$D$7:$BG$7,"5",$D32:$BG32,"&gt;"&amp;-1)</f>
        <v>20</v>
      </c>
      <c r="BW32" s="141">
        <f t="shared" si="4"/>
        <v>85</v>
      </c>
      <c r="BX32" s="142">
        <f>SUMIF($D$7:$BG$7,"6",$D32:$BG32)</f>
        <v>0</v>
      </c>
      <c r="BY32" s="140">
        <f>SUMIFS($D$9:$BG$9,$D$7:$BG$7,"6",$D32:$BG32,"&gt;"&amp;-1)</f>
        <v>0</v>
      </c>
      <c r="BZ32" s="141">
        <f t="shared" si="5"/>
        <v>0</v>
      </c>
    </row>
    <row r="33" ht="15.75" customHeight="1" spans="1:78" x14ac:dyDescent="0.25">
      <c r="A33" s="146" t="s">
        <v>91</v>
      </c>
      <c r="B33" s="146"/>
      <c r="C33" s="117"/>
      <c r="D33" s="132">
        <v>5</v>
      </c>
      <c r="E33" s="133"/>
      <c r="F33" s="134">
        <v>5</v>
      </c>
      <c r="G33" s="134"/>
      <c r="H33" s="135">
        <v>5</v>
      </c>
      <c r="I33" s="135"/>
      <c r="J33" s="136"/>
      <c r="K33" s="137"/>
      <c r="L33" s="134">
        <v>2</v>
      </c>
      <c r="M33" s="134"/>
      <c r="N33" s="135"/>
      <c r="O33" s="135"/>
      <c r="P33" s="136">
        <v>2</v>
      </c>
      <c r="Q33" s="136"/>
      <c r="R33" s="135"/>
      <c r="S33" s="135"/>
      <c r="T33" s="138"/>
      <c r="U33" s="132">
        <v>5</v>
      </c>
      <c r="V33" s="133"/>
      <c r="W33" s="134">
        <v>3</v>
      </c>
      <c r="X33" s="134">
        <v>2</v>
      </c>
      <c r="Y33" s="135"/>
      <c r="Z33" s="135"/>
      <c r="AA33" s="136"/>
      <c r="AB33" s="137"/>
      <c r="AC33" s="134">
        <v>5</v>
      </c>
      <c r="AD33" s="134"/>
      <c r="AE33" s="135">
        <v>4</v>
      </c>
      <c r="AF33" s="135"/>
      <c r="AG33" s="136"/>
      <c r="AH33" s="136"/>
      <c r="AI33" s="135"/>
      <c r="AJ33" s="135"/>
      <c r="BA33" s="125">
        <v>10</v>
      </c>
      <c r="BB33" s="125">
        <v>10</v>
      </c>
      <c r="BC33" s="125">
        <v>10</v>
      </c>
      <c r="BD33" s="125">
        <v>10</v>
      </c>
      <c r="BE33" s="125">
        <v>10</v>
      </c>
      <c r="BF33" s="126"/>
      <c r="BG33" s="127"/>
      <c r="BH33" s="46"/>
      <c r="BI33" s="139">
        <f>SUMIF($D$7:$BG$7,"1",$D33:$BG33)</f>
        <v>10</v>
      </c>
      <c r="BJ33" s="140">
        <f>SUMIFS($D$9:$BG$9,$D$7:$BG$7,"1",$D33:$BG33,"&gt;"&amp;-1)</f>
        <v>10</v>
      </c>
      <c r="BK33" s="141">
        <f t="shared" si="0"/>
        <v>100</v>
      </c>
      <c r="BL33" s="142">
        <f>SUMIF($D$7:$BG$7,"2",$D33:$BG33)</f>
        <v>27</v>
      </c>
      <c r="BM33" s="140">
        <f>SUMIFS($D$9:$BG$9,$D$7:$BG$7,"2",$D33:$BG33,"&gt;"&amp;-1)</f>
        <v>28</v>
      </c>
      <c r="BN33" s="141">
        <f t="shared" si="1"/>
        <v>96.43</v>
      </c>
      <c r="BO33" s="142">
        <f>SUMIF($D$7:$BG$7,"3",$D33:$BG33)</f>
        <v>29</v>
      </c>
      <c r="BP33" s="140">
        <f>SUMIFS($D$9:$BG$9,$D$7:$BG$7,"3",$D33:$BG33,"&gt;"&amp;-1)</f>
        <v>30</v>
      </c>
      <c r="BQ33" s="141">
        <f t="shared" si="2"/>
        <v>96.67</v>
      </c>
      <c r="BR33" s="142">
        <f>SUMIF($D$7:$BG$7,"4",$D33:$BG33)</f>
        <v>10</v>
      </c>
      <c r="BS33" s="140">
        <f>SUMIFS($D$9:$BG$9,$D$7:$BG$7,"4",$D33:$BG33,"&gt;"&amp;-1)</f>
        <v>10</v>
      </c>
      <c r="BT33" s="141">
        <f t="shared" si="3"/>
        <v>100</v>
      </c>
      <c r="BU33" s="142">
        <f>SUMIF($D$7:$BG$7,"5",$D33:$BG33)</f>
        <v>12</v>
      </c>
      <c r="BV33" s="140">
        <f>SUMIFS($D$9:$BG$9,$D$7:$BG$7,"5",$D33:$BG33,"&gt;"&amp;-1)</f>
        <v>15</v>
      </c>
      <c r="BW33" s="141">
        <f t="shared" si="4"/>
        <v>80</v>
      </c>
      <c r="BX33" s="142">
        <f>SUMIF($D$7:$BG$7,"6",$D33:$BG33)</f>
        <v>0</v>
      </c>
      <c r="BY33" s="140">
        <f>SUMIFS($D$9:$BG$9,$D$7:$BG$7,"6",$D33:$BG33,"&gt;"&amp;-1)</f>
        <v>0</v>
      </c>
      <c r="BZ33" s="141">
        <f t="shared" si="5"/>
        <v>0</v>
      </c>
    </row>
    <row r="34" ht="15.75" customHeight="1" spans="1:78" x14ac:dyDescent="0.25">
      <c r="A34" s="146" t="s">
        <v>92</v>
      </c>
      <c r="B34" s="146"/>
      <c r="C34" s="117"/>
      <c r="D34" s="132">
        <v>5</v>
      </c>
      <c r="E34" s="133"/>
      <c r="F34" s="134"/>
      <c r="G34" s="134"/>
      <c r="H34" s="135"/>
      <c r="I34" s="135"/>
      <c r="J34" s="136">
        <v>2.5</v>
      </c>
      <c r="K34" s="137">
        <v>2.5</v>
      </c>
      <c r="L34" s="134">
        <v>1</v>
      </c>
      <c r="M34" s="134">
        <v>3</v>
      </c>
      <c r="N34" s="135"/>
      <c r="O34" s="135"/>
      <c r="P34" s="136">
        <v>1</v>
      </c>
      <c r="Q34" s="136">
        <v>3</v>
      </c>
      <c r="R34" s="135"/>
      <c r="S34" s="135"/>
      <c r="T34" s="138"/>
      <c r="U34" s="132">
        <v>5</v>
      </c>
      <c r="V34" s="133"/>
      <c r="W34" s="134">
        <v>3</v>
      </c>
      <c r="X34" s="134">
        <v>2</v>
      </c>
      <c r="Y34" s="135">
        <v>5</v>
      </c>
      <c r="Z34" s="135"/>
      <c r="AA34" s="136">
        <v>5</v>
      </c>
      <c r="AB34" s="137"/>
      <c r="AC34" s="134"/>
      <c r="AD34" s="134"/>
      <c r="AE34" s="135"/>
      <c r="AF34" s="135"/>
      <c r="AG34" s="136"/>
      <c r="AH34" s="136"/>
      <c r="AI34" s="135"/>
      <c r="AJ34" s="135"/>
      <c r="BA34" s="125">
        <v>10</v>
      </c>
      <c r="BB34" s="125">
        <v>10</v>
      </c>
      <c r="BC34" s="125">
        <v>10</v>
      </c>
      <c r="BD34" s="125">
        <v>10</v>
      </c>
      <c r="BE34" s="125">
        <v>10</v>
      </c>
      <c r="BF34" s="126"/>
      <c r="BG34" s="127"/>
      <c r="BH34" s="46"/>
      <c r="BI34" s="139">
        <f>SUMIF($D$7:$BG$7,"1",$D34:$BG34)</f>
        <v>15</v>
      </c>
      <c r="BJ34" s="140">
        <f>SUMIFS($D$9:$BG$9,$D$7:$BG$7,"1",$D34:$BG34,"&gt;"&amp;-1)</f>
        <v>15</v>
      </c>
      <c r="BK34" s="141">
        <f t="shared" si="0"/>
        <v>100</v>
      </c>
      <c r="BL34" s="142">
        <f>SUMIF($D$7:$BG$7,"2",$D34:$BG34)</f>
        <v>24</v>
      </c>
      <c r="BM34" s="140">
        <f>SUMIFS($D$9:$BG$9,$D$7:$BG$7,"2",$D34:$BG34,"&gt;"&amp;-1)</f>
        <v>25</v>
      </c>
      <c r="BN34" s="141">
        <f t="shared" si="1"/>
        <v>96</v>
      </c>
      <c r="BO34" s="142">
        <f>SUMIF($D$7:$BG$7,"3",$D34:$BG34)</f>
        <v>20</v>
      </c>
      <c r="BP34" s="140">
        <f>SUMIFS($D$9:$BG$9,$D$7:$BG$7,"3",$D34:$BG34,"&gt;"&amp;-1)</f>
        <v>20</v>
      </c>
      <c r="BQ34" s="141">
        <f t="shared" si="2"/>
        <v>100</v>
      </c>
      <c r="BR34" s="142">
        <f>SUMIF($D$7:$BG$7,"4",$D34:$BG34)</f>
        <v>15</v>
      </c>
      <c r="BS34" s="140">
        <f>SUMIFS($D$9:$BG$9,$D$7:$BG$7,"4",$D34:$BG34,"&gt;"&amp;-1)</f>
        <v>15</v>
      </c>
      <c r="BT34" s="141">
        <f t="shared" si="3"/>
        <v>100</v>
      </c>
      <c r="BU34" s="142">
        <f>SUMIF($D$7:$BG$7,"5",$D34:$BG34)</f>
        <v>14</v>
      </c>
      <c r="BV34" s="140">
        <f>SUMIFS($D$9:$BG$9,$D$7:$BG$7,"5",$D34:$BG34,"&gt;"&amp;-1)</f>
        <v>20</v>
      </c>
      <c r="BW34" s="141">
        <f t="shared" si="4"/>
        <v>70</v>
      </c>
      <c r="BX34" s="142">
        <f>SUMIF($D$7:$BG$7,"6",$D34:$BG34)</f>
        <v>0</v>
      </c>
      <c r="BY34" s="140">
        <f>SUMIFS($D$9:$BG$9,$D$7:$BG$7,"6",$D34:$BG34,"&gt;"&amp;-1)</f>
        <v>0</v>
      </c>
      <c r="BZ34" s="141">
        <f t="shared" si="5"/>
        <v>0</v>
      </c>
    </row>
    <row r="35" ht="15.75" customHeight="1" spans="1:78" x14ac:dyDescent="0.25">
      <c r="A35" s="147" t="s">
        <v>93</v>
      </c>
      <c r="B35" s="146"/>
      <c r="C35" s="117"/>
      <c r="D35" s="132">
        <v>5</v>
      </c>
      <c r="E35" s="133"/>
      <c r="F35" s="134"/>
      <c r="G35" s="134"/>
      <c r="H35" s="135"/>
      <c r="I35" s="135"/>
      <c r="J35" s="136"/>
      <c r="K35" s="137"/>
      <c r="L35" s="134"/>
      <c r="M35" s="134">
        <v>1</v>
      </c>
      <c r="N35" s="135"/>
      <c r="O35" s="135"/>
      <c r="P35" s="136"/>
      <c r="Q35" s="136">
        <v>1</v>
      </c>
      <c r="R35" s="135"/>
      <c r="S35" s="135"/>
      <c r="T35" s="138"/>
      <c r="U35" s="132">
        <v>5</v>
      </c>
      <c r="V35" s="133"/>
      <c r="W35" s="134">
        <v>3</v>
      </c>
      <c r="X35" s="134">
        <v>2</v>
      </c>
      <c r="Y35" s="135"/>
      <c r="Z35" s="135"/>
      <c r="AA35" s="136"/>
      <c r="AB35" s="137"/>
      <c r="AC35" s="134">
        <v>2</v>
      </c>
      <c r="AD35" s="134"/>
      <c r="AE35" s="135">
        <v>1</v>
      </c>
      <c r="AF35" s="135"/>
      <c r="AG35" s="136"/>
      <c r="AH35" s="136"/>
      <c r="AI35" s="135"/>
      <c r="AJ35" s="135"/>
      <c r="BA35" s="125">
        <v>10</v>
      </c>
      <c r="BB35" s="125">
        <v>10</v>
      </c>
      <c r="BC35" s="125">
        <v>10</v>
      </c>
      <c r="BD35" s="125">
        <v>10</v>
      </c>
      <c r="BE35" s="125">
        <v>10</v>
      </c>
      <c r="BF35" s="126"/>
      <c r="BG35" s="127"/>
      <c r="BH35" s="46"/>
      <c r="BI35" s="139">
        <f>SUMIF($D$7:$BG$7,"1",$D35:$BG35)</f>
        <v>10</v>
      </c>
      <c r="BJ35" s="140">
        <f>SUMIFS($D$9:$BG$9,$D$7:$BG$7,"1",$D35:$BG35,"&gt;"&amp;-1)</f>
        <v>10</v>
      </c>
      <c r="BK35" s="141">
        <f t="shared" si="0"/>
        <v>100</v>
      </c>
      <c r="BL35" s="142">
        <f>SUMIF($D$7:$BG$7,"2",$D35:$BG35)</f>
        <v>21</v>
      </c>
      <c r="BM35" s="140">
        <f>SUMIFS($D$9:$BG$9,$D$7:$BG$7,"2",$D35:$BG35,"&gt;"&amp;-1)</f>
        <v>22</v>
      </c>
      <c r="BN35" s="141">
        <f t="shared" si="1"/>
        <v>95.46000000000001</v>
      </c>
      <c r="BO35" s="142">
        <f>SUMIF($D$7:$BG$7,"3",$D35:$BG35)</f>
        <v>18</v>
      </c>
      <c r="BP35" s="140">
        <f>SUMIFS($D$9:$BG$9,$D$7:$BG$7,"3",$D35:$BG35,"&gt;"&amp;-1)</f>
        <v>25</v>
      </c>
      <c r="BQ35" s="141">
        <f t="shared" si="2"/>
        <v>72</v>
      </c>
      <c r="BR35" s="142">
        <f>SUMIF($D$7:$BG$7,"4",$D35:$BG35)</f>
        <v>10</v>
      </c>
      <c r="BS35" s="140">
        <f>SUMIFS($D$9:$BG$9,$D$7:$BG$7,"4",$D35:$BG35,"&gt;"&amp;-1)</f>
        <v>10</v>
      </c>
      <c r="BT35" s="141">
        <f t="shared" si="3"/>
        <v>100</v>
      </c>
      <c r="BU35" s="142">
        <f>SUMIF($D$7:$BG$7,"5",$D35:$BG35)</f>
        <v>11</v>
      </c>
      <c r="BV35" s="140">
        <f>SUMIFS($D$9:$BG$9,$D$7:$BG$7,"5",$D35:$BG35,"&gt;"&amp;-1)</f>
        <v>15</v>
      </c>
      <c r="BW35" s="141">
        <f t="shared" si="4"/>
        <v>73.34</v>
      </c>
      <c r="BX35" s="142">
        <f>SUMIF($D$7:$BG$7,"6",$D35:$BG35)</f>
        <v>0</v>
      </c>
      <c r="BY35" s="140">
        <f>SUMIFS($D$9:$BG$9,$D$7:$BG$7,"6",$D35:$BG35,"&gt;"&amp;-1)</f>
        <v>0</v>
      </c>
      <c r="BZ35" s="141">
        <f t="shared" si="5"/>
        <v>0</v>
      </c>
    </row>
    <row r="36" ht="15.75" customHeight="1" spans="1:78" x14ac:dyDescent="0.25">
      <c r="A36" s="147" t="s">
        <v>94</v>
      </c>
      <c r="B36" s="146"/>
      <c r="C36" s="117"/>
      <c r="D36" s="132">
        <v>5</v>
      </c>
      <c r="E36" s="133"/>
      <c r="F36" s="134"/>
      <c r="G36" s="134"/>
      <c r="H36" s="135"/>
      <c r="I36" s="135"/>
      <c r="J36" s="136"/>
      <c r="K36" s="137"/>
      <c r="L36" s="134"/>
      <c r="M36" s="134"/>
      <c r="N36" s="135"/>
      <c r="O36" s="135"/>
      <c r="P36" s="136"/>
      <c r="Q36" s="136"/>
      <c r="R36" s="135"/>
      <c r="S36" s="135"/>
      <c r="T36" s="138"/>
      <c r="U36" s="132"/>
      <c r="V36" s="133"/>
      <c r="W36" s="134">
        <v>3</v>
      </c>
      <c r="X36" s="134">
        <v>2</v>
      </c>
      <c r="Y36" s="135">
        <v>1</v>
      </c>
      <c r="Z36" s="135"/>
      <c r="AA36" s="136"/>
      <c r="AB36" s="137"/>
      <c r="AC36" s="134"/>
      <c r="AD36" s="134"/>
      <c r="AE36" s="135"/>
      <c r="AF36" s="135"/>
      <c r="AG36" s="136"/>
      <c r="AH36" s="136"/>
      <c r="AI36" s="135"/>
      <c r="AJ36" s="135"/>
      <c r="BA36" s="125">
        <v>10</v>
      </c>
      <c r="BB36" s="125">
        <v>10</v>
      </c>
      <c r="BC36" s="125">
        <v>10</v>
      </c>
      <c r="BD36" s="125">
        <v>10</v>
      </c>
      <c r="BE36" s="125">
        <v>10</v>
      </c>
      <c r="BF36" s="126"/>
      <c r="BG36" s="127"/>
      <c r="BH36" s="46"/>
      <c r="BI36" s="139">
        <f>SUMIF($D$7:$BG$7,"1",$D36:$BG36)</f>
        <v>10</v>
      </c>
      <c r="BJ36" s="140">
        <f>SUMIFS($D$9:$BG$9,$D$7:$BG$7,"1",$D36:$BG36,"&gt;"&amp;-1)</f>
        <v>10</v>
      </c>
      <c r="BK36" s="141">
        <f t="shared" si="0"/>
        <v>100</v>
      </c>
      <c r="BL36" s="142">
        <f>SUMIF($D$7:$BG$7,"2",$D36:$BG36)</f>
        <v>20</v>
      </c>
      <c r="BM36" s="140">
        <f>SUMIFS($D$9:$BG$9,$D$7:$BG$7,"2",$D36:$BG36,"&gt;"&amp;-1)</f>
        <v>20</v>
      </c>
      <c r="BN36" s="141">
        <f t="shared" si="1"/>
        <v>100</v>
      </c>
      <c r="BO36" s="142">
        <f>SUMIF($D$7:$BG$7,"3",$D36:$BG36)</f>
        <v>11</v>
      </c>
      <c r="BP36" s="140">
        <f>SUMIFS($D$9:$BG$9,$D$7:$BG$7,"3",$D36:$BG36,"&gt;"&amp;-1)</f>
        <v>15</v>
      </c>
      <c r="BQ36" s="141">
        <f t="shared" si="2"/>
        <v>73.34</v>
      </c>
      <c r="BR36" s="142">
        <f>SUMIF($D$7:$BG$7,"4",$D36:$BG36)</f>
        <v>10</v>
      </c>
      <c r="BS36" s="140">
        <f>SUMIFS($D$9:$BG$9,$D$7:$BG$7,"4",$D36:$BG36,"&gt;"&amp;-1)</f>
        <v>10</v>
      </c>
      <c r="BT36" s="141">
        <f t="shared" si="3"/>
        <v>100</v>
      </c>
      <c r="BU36" s="142">
        <f>SUMIF($D$7:$BG$7,"5",$D36:$BG36)</f>
        <v>10</v>
      </c>
      <c r="BV36" s="140">
        <f>SUMIFS($D$9:$BG$9,$D$7:$BG$7,"5",$D36:$BG36,"&gt;"&amp;-1)</f>
        <v>10</v>
      </c>
      <c r="BW36" s="141">
        <f t="shared" si="4"/>
        <v>100</v>
      </c>
      <c r="BX36" s="142">
        <f>SUMIF($D$7:$BG$7,"6",$D36:$BG36)</f>
        <v>0</v>
      </c>
      <c r="BY36" s="140">
        <f>SUMIFS($D$9:$BG$9,$D$7:$BG$7,"6",$D36:$BG36,"&gt;"&amp;-1)</f>
        <v>0</v>
      </c>
      <c r="BZ36" s="141">
        <f t="shared" si="5"/>
        <v>0</v>
      </c>
    </row>
    <row r="37" ht="15.75" customHeight="1" spans="1:78" x14ac:dyDescent="0.25">
      <c r="A37" s="147" t="s">
        <v>95</v>
      </c>
      <c r="B37" s="146"/>
      <c r="C37" s="117"/>
      <c r="D37" s="132">
        <v>5</v>
      </c>
      <c r="E37" s="133"/>
      <c r="F37" s="134"/>
      <c r="G37" s="134"/>
      <c r="H37" s="135"/>
      <c r="I37" s="135"/>
      <c r="J37" s="136"/>
      <c r="K37" s="137"/>
      <c r="L37" s="134"/>
      <c r="M37" s="134"/>
      <c r="N37" s="135"/>
      <c r="O37" s="135"/>
      <c r="P37" s="136"/>
      <c r="Q37" s="136"/>
      <c r="R37" s="135"/>
      <c r="S37" s="135"/>
      <c r="T37" s="138"/>
      <c r="U37" s="132">
        <v>5</v>
      </c>
      <c r="V37" s="133"/>
      <c r="W37" s="134">
        <v>3</v>
      </c>
      <c r="X37" s="134"/>
      <c r="Y37" s="135">
        <v>1</v>
      </c>
      <c r="Z37" s="135"/>
      <c r="AA37" s="136"/>
      <c r="AB37" s="137"/>
      <c r="AC37" s="134"/>
      <c r="AD37" s="134"/>
      <c r="AE37" s="135"/>
      <c r="AF37" s="135"/>
      <c r="AG37" s="136"/>
      <c r="AH37" s="136"/>
      <c r="AI37" s="135"/>
      <c r="AJ37" s="135"/>
      <c r="BA37" s="125">
        <v>10</v>
      </c>
      <c r="BB37" s="125">
        <v>10</v>
      </c>
      <c r="BC37" s="125">
        <v>10</v>
      </c>
      <c r="BD37" s="125">
        <v>10</v>
      </c>
      <c r="BE37" s="125">
        <v>10</v>
      </c>
      <c r="BF37" s="126"/>
      <c r="BG37" s="127"/>
      <c r="BH37" s="46"/>
      <c r="BI37" s="139">
        <f>SUMIF($D$7:$BG$7,"1",$D37:$BG37)</f>
        <v>10</v>
      </c>
      <c r="BJ37" s="140">
        <f>SUMIFS($D$9:$BG$9,$D$7:$BG$7,"1",$D37:$BG37,"&gt;"&amp;-1)</f>
        <v>10</v>
      </c>
      <c r="BK37" s="141">
        <f t="shared" si="0"/>
        <v>100</v>
      </c>
      <c r="BL37" s="142">
        <f>SUMIF($D$7:$BG$7,"2",$D37:$BG37)</f>
        <v>18</v>
      </c>
      <c r="BM37" s="140">
        <f>SUMIFS($D$9:$BG$9,$D$7:$BG$7,"2",$D37:$BG37,"&gt;"&amp;-1)</f>
        <v>18</v>
      </c>
      <c r="BN37" s="141">
        <f t="shared" si="1"/>
        <v>100</v>
      </c>
      <c r="BO37" s="142">
        <f>SUMIF($D$7:$BG$7,"3",$D37:$BG37)</f>
        <v>16</v>
      </c>
      <c r="BP37" s="140">
        <f>SUMIFS($D$9:$BG$9,$D$7:$BG$7,"3",$D37:$BG37,"&gt;"&amp;-1)</f>
        <v>20</v>
      </c>
      <c r="BQ37" s="141">
        <f t="shared" si="2"/>
        <v>80</v>
      </c>
      <c r="BR37" s="142">
        <f>SUMIF($D$7:$BG$7,"4",$D37:$BG37)</f>
        <v>10</v>
      </c>
      <c r="BS37" s="140">
        <f>SUMIFS($D$9:$BG$9,$D$7:$BG$7,"4",$D37:$BG37,"&gt;"&amp;-1)</f>
        <v>10</v>
      </c>
      <c r="BT37" s="141">
        <f t="shared" si="3"/>
        <v>100</v>
      </c>
      <c r="BU37" s="142">
        <f>SUMIF($D$7:$BG$7,"5",$D37:$BG37)</f>
        <v>10</v>
      </c>
      <c r="BV37" s="140">
        <f>SUMIFS($D$9:$BG$9,$D$7:$BG$7,"5",$D37:$BG37,"&gt;"&amp;-1)</f>
        <v>10</v>
      </c>
      <c r="BW37" s="141">
        <f t="shared" si="4"/>
        <v>100</v>
      </c>
      <c r="BX37" s="142">
        <f>SUMIF($D$7:$BG$7,"6",$D37:$BG37)</f>
        <v>0</v>
      </c>
      <c r="BY37" s="140">
        <f>SUMIFS($D$9:$BG$9,$D$7:$BG$7,"6",$D37:$BG37,"&gt;"&amp;-1)</f>
        <v>0</v>
      </c>
      <c r="BZ37" s="141">
        <f t="shared" si="5"/>
        <v>0</v>
      </c>
    </row>
    <row r="38" ht="15.75" customHeight="1" spans="1:78" x14ac:dyDescent="0.25">
      <c r="A38" s="146" t="s">
        <v>96</v>
      </c>
      <c r="B38" s="146"/>
      <c r="C38" s="117"/>
      <c r="D38" s="132">
        <v>5</v>
      </c>
      <c r="E38" s="133"/>
      <c r="F38" s="134"/>
      <c r="G38" s="134"/>
      <c r="H38" s="135"/>
      <c r="I38" s="135"/>
      <c r="J38" s="136"/>
      <c r="K38" s="137"/>
      <c r="L38" s="134"/>
      <c r="M38" s="134"/>
      <c r="N38" s="135"/>
      <c r="O38" s="135"/>
      <c r="P38" s="136"/>
      <c r="Q38" s="136"/>
      <c r="R38" s="135"/>
      <c r="S38" s="135"/>
      <c r="T38" s="138"/>
      <c r="U38" s="132">
        <v>2</v>
      </c>
      <c r="V38" s="133"/>
      <c r="W38" s="134">
        <v>3</v>
      </c>
      <c r="X38" s="134">
        <v>2</v>
      </c>
      <c r="Y38" s="135"/>
      <c r="Z38" s="135"/>
      <c r="AA38" s="136"/>
      <c r="AB38" s="137"/>
      <c r="AC38" s="134"/>
      <c r="AD38" s="134"/>
      <c r="AE38" s="135">
        <v>2</v>
      </c>
      <c r="AF38" s="135"/>
      <c r="AG38" s="136"/>
      <c r="AH38" s="136"/>
      <c r="AI38" s="135"/>
      <c r="AJ38" s="135"/>
      <c r="BA38" s="125">
        <v>5</v>
      </c>
      <c r="BB38" s="125">
        <v>5</v>
      </c>
      <c r="BC38" s="125">
        <v>5</v>
      </c>
      <c r="BD38" s="125">
        <v>5</v>
      </c>
      <c r="BE38" s="125">
        <v>5</v>
      </c>
      <c r="BF38" s="126"/>
      <c r="BG38" s="127"/>
      <c r="BH38" s="46"/>
      <c r="BI38" s="139">
        <f>SUMIF($D$7:$BG$7,"1",$D38:$BG38)</f>
        <v>5</v>
      </c>
      <c r="BJ38" s="140">
        <f>SUMIFS($D$9:$BG$9,$D$7:$BG$7,"1",$D38:$BG38,"&gt;"&amp;-1)</f>
        <v>10</v>
      </c>
      <c r="BK38" s="141">
        <f t="shared" si="0"/>
        <v>50</v>
      </c>
      <c r="BL38" s="142">
        <f>SUMIF($D$7:$BG$7,"2",$D38:$BG38)</f>
        <v>15</v>
      </c>
      <c r="BM38" s="140">
        <f>SUMIFS($D$9:$BG$9,$D$7:$BG$7,"2",$D38:$BG38,"&gt;"&amp;-1)</f>
        <v>20</v>
      </c>
      <c r="BN38" s="141">
        <f t="shared" si="1"/>
        <v>75</v>
      </c>
      <c r="BO38" s="142">
        <f>SUMIF($D$7:$BG$7,"3",$D38:$BG38)</f>
        <v>9</v>
      </c>
      <c r="BP38" s="140">
        <f>SUMIFS($D$9:$BG$9,$D$7:$BG$7,"3",$D38:$BG38,"&gt;"&amp;-1)</f>
        <v>20</v>
      </c>
      <c r="BQ38" s="141">
        <f t="shared" si="2"/>
        <v>45</v>
      </c>
      <c r="BR38" s="142">
        <f>SUMIF($D$7:$BG$7,"4",$D38:$BG38)</f>
        <v>5</v>
      </c>
      <c r="BS38" s="140">
        <f>SUMIFS($D$9:$BG$9,$D$7:$BG$7,"4",$D38:$BG38,"&gt;"&amp;-1)</f>
        <v>10</v>
      </c>
      <c r="BT38" s="141">
        <f t="shared" si="3"/>
        <v>50</v>
      </c>
      <c r="BU38" s="142">
        <f>SUMIF($D$7:$BG$7,"5",$D38:$BG38)</f>
        <v>5</v>
      </c>
      <c r="BV38" s="140">
        <f>SUMIFS($D$9:$BG$9,$D$7:$BG$7,"5",$D38:$BG38,"&gt;"&amp;-1)</f>
        <v>10</v>
      </c>
      <c r="BW38" s="141">
        <f t="shared" si="4"/>
        <v>50</v>
      </c>
      <c r="BX38" s="142">
        <f>SUMIF($D$7:$BG$7,"6",$D38:$BG38)</f>
        <v>0</v>
      </c>
      <c r="BY38" s="140">
        <f>SUMIFS($D$9:$BG$9,$D$7:$BG$7,"6",$D38:$BG38,"&gt;"&amp;-1)</f>
        <v>0</v>
      </c>
      <c r="BZ38" s="141">
        <f t="shared" si="5"/>
        <v>0</v>
      </c>
    </row>
    <row r="39" ht="15.75" customHeight="1" spans="1:78" x14ac:dyDescent="0.25">
      <c r="A39" s="147" t="s">
        <v>97</v>
      </c>
      <c r="B39" s="146"/>
      <c r="C39" s="117"/>
      <c r="D39" s="132">
        <v>3</v>
      </c>
      <c r="E39" s="133"/>
      <c r="F39" s="134"/>
      <c r="G39" s="134"/>
      <c r="H39" s="135"/>
      <c r="I39" s="135"/>
      <c r="J39" s="136">
        <v>2</v>
      </c>
      <c r="K39" s="137">
        <v>2</v>
      </c>
      <c r="L39" s="134"/>
      <c r="M39" s="134"/>
      <c r="N39" s="135">
        <v>4</v>
      </c>
      <c r="O39" s="135"/>
      <c r="P39" s="136"/>
      <c r="Q39" s="136"/>
      <c r="R39" s="135"/>
      <c r="S39" s="135"/>
      <c r="T39" s="138"/>
      <c r="U39" s="132">
        <v>3</v>
      </c>
      <c r="V39" s="133"/>
      <c r="W39" s="134">
        <v>3</v>
      </c>
      <c r="X39" s="134">
        <v>2</v>
      </c>
      <c r="Y39" s="135"/>
      <c r="Z39" s="135"/>
      <c r="AA39" s="136"/>
      <c r="AB39" s="137"/>
      <c r="AC39" s="134">
        <v>2</v>
      </c>
      <c r="AD39" s="134"/>
      <c r="AE39" s="135"/>
      <c r="AF39" s="135"/>
      <c r="AG39" s="136"/>
      <c r="AH39" s="136"/>
      <c r="AI39" s="135"/>
      <c r="AJ39" s="135"/>
      <c r="BA39" s="125">
        <v>10</v>
      </c>
      <c r="BB39" s="125">
        <v>10</v>
      </c>
      <c r="BC39" s="125">
        <v>10</v>
      </c>
      <c r="BD39" s="125">
        <v>10</v>
      </c>
      <c r="BE39" s="125">
        <v>10</v>
      </c>
      <c r="BF39" s="126"/>
      <c r="BG39" s="127"/>
      <c r="BH39" s="46"/>
      <c r="BI39" s="139">
        <f>SUMIF($D$7:$BG$7,"1",$D39:$BG39)</f>
        <v>14</v>
      </c>
      <c r="BJ39" s="140">
        <f>SUMIFS($D$9:$BG$9,$D$7:$BG$7,"1",$D39:$BG39,"&gt;"&amp;-1)</f>
        <v>15</v>
      </c>
      <c r="BK39" s="141">
        <f t="shared" si="0"/>
        <v>93.34</v>
      </c>
      <c r="BL39" s="142">
        <f>SUMIF($D$7:$BG$7,"2",$D39:$BG39)</f>
        <v>18</v>
      </c>
      <c r="BM39" s="140">
        <f>SUMIFS($D$9:$BG$9,$D$7:$BG$7,"2",$D39:$BG39,"&gt;"&amp;-1)</f>
        <v>20</v>
      </c>
      <c r="BN39" s="141">
        <f t="shared" si="1"/>
        <v>90</v>
      </c>
      <c r="BO39" s="142">
        <f>SUMIF($D$7:$BG$7,"3",$D39:$BG39)</f>
        <v>19</v>
      </c>
      <c r="BP39" s="140">
        <f>SUMIFS($D$9:$BG$9,$D$7:$BG$7,"3",$D39:$BG39,"&gt;"&amp;-1)</f>
        <v>25</v>
      </c>
      <c r="BQ39" s="141">
        <f t="shared" si="2"/>
        <v>76</v>
      </c>
      <c r="BR39" s="142">
        <f>SUMIF($D$7:$BG$7,"4",$D39:$BG39)</f>
        <v>10</v>
      </c>
      <c r="BS39" s="140">
        <f>SUMIFS($D$9:$BG$9,$D$7:$BG$7,"4",$D39:$BG39,"&gt;"&amp;-1)</f>
        <v>10</v>
      </c>
      <c r="BT39" s="141">
        <f t="shared" si="3"/>
        <v>100</v>
      </c>
      <c r="BU39" s="142">
        <f>SUMIF($D$7:$BG$7,"5",$D39:$BG39)</f>
        <v>10</v>
      </c>
      <c r="BV39" s="140">
        <f>SUMIFS($D$9:$BG$9,$D$7:$BG$7,"5",$D39:$BG39,"&gt;"&amp;-1)</f>
        <v>10</v>
      </c>
      <c r="BW39" s="141">
        <f t="shared" si="4"/>
        <v>100</v>
      </c>
      <c r="BX39" s="142">
        <f>SUMIF($D$7:$BG$7,"6",$D39:$BG39)</f>
        <v>0</v>
      </c>
      <c r="BY39" s="140">
        <f>SUMIFS($D$9:$BG$9,$D$7:$BG$7,"6",$D39:$BG39,"&gt;"&amp;-1)</f>
        <v>0</v>
      </c>
      <c r="BZ39" s="141">
        <f t="shared" si="5"/>
        <v>0</v>
      </c>
    </row>
    <row r="40" ht="15.75" customHeight="1" spans="1:78" x14ac:dyDescent="0.25">
      <c r="A40" s="147" t="s">
        <v>98</v>
      </c>
      <c r="B40" s="146"/>
      <c r="C40" s="117"/>
      <c r="D40" s="132">
        <v>5</v>
      </c>
      <c r="E40" s="133"/>
      <c r="F40" s="134"/>
      <c r="G40" s="134"/>
      <c r="H40" s="135">
        <v>1</v>
      </c>
      <c r="I40" s="135"/>
      <c r="J40" s="136"/>
      <c r="K40" s="137">
        <v>1</v>
      </c>
      <c r="L40" s="134">
        <v>2</v>
      </c>
      <c r="M40" s="134">
        <v>2</v>
      </c>
      <c r="N40" s="135">
        <v>5</v>
      </c>
      <c r="O40" s="135"/>
      <c r="P40" s="136">
        <v>2</v>
      </c>
      <c r="Q40" s="136">
        <v>2</v>
      </c>
      <c r="R40" s="135"/>
      <c r="S40" s="135"/>
      <c r="T40" s="138"/>
      <c r="U40" s="132">
        <v>5</v>
      </c>
      <c r="V40" s="133"/>
      <c r="W40" s="134">
        <v>3</v>
      </c>
      <c r="X40" s="134">
        <v>2</v>
      </c>
      <c r="Y40" s="135">
        <v>5</v>
      </c>
      <c r="Z40" s="135"/>
      <c r="AA40" s="136">
        <v>5</v>
      </c>
      <c r="AB40" s="137"/>
      <c r="AC40" s="134">
        <v>4</v>
      </c>
      <c r="AD40" s="134"/>
      <c r="AE40" s="135"/>
      <c r="AF40" s="135"/>
      <c r="AG40" s="136"/>
      <c r="AH40" s="136"/>
      <c r="AI40" s="135"/>
      <c r="AJ40" s="135"/>
      <c r="BA40" s="125">
        <v>10</v>
      </c>
      <c r="BB40" s="125">
        <v>10</v>
      </c>
      <c r="BC40" s="125">
        <v>10</v>
      </c>
      <c r="BD40" s="125">
        <v>10</v>
      </c>
      <c r="BE40" s="125">
        <v>10</v>
      </c>
      <c r="BF40" s="126"/>
      <c r="BG40" s="127"/>
      <c r="BH40" s="46"/>
      <c r="BI40" s="139">
        <f>SUMIF($D$7:$BG$7,"1",$D40:$BG40)</f>
        <v>11</v>
      </c>
      <c r="BJ40" s="140">
        <f>SUMIFS($D$9:$BG$9,$D$7:$BG$7,"1",$D40:$BG40,"&gt;"&amp;-1)</f>
        <v>12.5</v>
      </c>
      <c r="BK40" s="141">
        <f t="shared" si="0"/>
        <v>88</v>
      </c>
      <c r="BL40" s="142">
        <f>SUMIF($D$7:$BG$7,"2",$D40:$BG40)</f>
        <v>25</v>
      </c>
      <c r="BM40" s="140">
        <f>SUMIFS($D$9:$BG$9,$D$7:$BG$7,"2",$D40:$BG40,"&gt;"&amp;-1)</f>
        <v>30</v>
      </c>
      <c r="BN40" s="141">
        <f t="shared" si="1"/>
        <v>83.34</v>
      </c>
      <c r="BO40" s="142">
        <f>SUMIF($D$7:$BG$7,"3",$D40:$BG40)</f>
        <v>29</v>
      </c>
      <c r="BP40" s="140">
        <f>SUMIFS($D$9:$BG$9,$D$7:$BG$7,"3",$D40:$BG40,"&gt;"&amp;-1)</f>
        <v>30</v>
      </c>
      <c r="BQ40" s="141">
        <f t="shared" si="2"/>
        <v>96.67</v>
      </c>
      <c r="BR40" s="142">
        <f>SUMIF($D$7:$BG$7,"4",$D40:$BG40)</f>
        <v>15</v>
      </c>
      <c r="BS40" s="140">
        <f>SUMIFS($D$9:$BG$9,$D$7:$BG$7,"4",$D40:$BG40,"&gt;"&amp;-1)</f>
        <v>15</v>
      </c>
      <c r="BT40" s="141">
        <f t="shared" si="3"/>
        <v>100</v>
      </c>
      <c r="BU40" s="142">
        <f>SUMIF($D$7:$BG$7,"5",$D40:$BG40)</f>
        <v>14</v>
      </c>
      <c r="BV40" s="140">
        <f>SUMIFS($D$9:$BG$9,$D$7:$BG$7,"5",$D40:$BG40,"&gt;"&amp;-1)</f>
        <v>20</v>
      </c>
      <c r="BW40" s="141">
        <f t="shared" si="4"/>
        <v>70</v>
      </c>
      <c r="BX40" s="142">
        <f>SUMIF($D$7:$BG$7,"6",$D40:$BG40)</f>
        <v>0</v>
      </c>
      <c r="BY40" s="140">
        <f>SUMIFS($D$9:$BG$9,$D$7:$BG$7,"6",$D40:$BG40,"&gt;"&amp;-1)</f>
        <v>0</v>
      </c>
      <c r="BZ40" s="141">
        <f t="shared" si="5"/>
        <v>0</v>
      </c>
    </row>
    <row r="41" ht="15.75" customHeight="1" spans="1:78" x14ac:dyDescent="0.25">
      <c r="A41" s="146" t="s">
        <v>99</v>
      </c>
      <c r="B41" s="146"/>
      <c r="C41" s="117"/>
      <c r="D41" s="132">
        <v>4</v>
      </c>
      <c r="E41" s="133"/>
      <c r="F41" s="134">
        <v>2</v>
      </c>
      <c r="G41" s="134"/>
      <c r="H41" s="135"/>
      <c r="I41" s="135"/>
      <c r="J41" s="136"/>
      <c r="K41" s="137"/>
      <c r="L41" s="134"/>
      <c r="M41" s="134">
        <v>2</v>
      </c>
      <c r="N41" s="135"/>
      <c r="O41" s="135"/>
      <c r="P41" s="136"/>
      <c r="Q41" s="136">
        <v>2</v>
      </c>
      <c r="R41" s="135"/>
      <c r="S41" s="135"/>
      <c r="T41" s="138"/>
      <c r="U41" s="132">
        <v>3</v>
      </c>
      <c r="V41" s="133"/>
      <c r="W41" s="134">
        <v>3</v>
      </c>
      <c r="X41" s="134">
        <v>2</v>
      </c>
      <c r="Y41" s="135">
        <v>3</v>
      </c>
      <c r="Z41" s="135"/>
      <c r="AA41" s="136">
        <v>5</v>
      </c>
      <c r="AB41" s="137"/>
      <c r="AC41" s="134"/>
      <c r="AD41" s="134"/>
      <c r="AE41" s="135"/>
      <c r="AF41" s="135"/>
      <c r="AG41" s="136"/>
      <c r="AH41" s="136"/>
      <c r="AI41" s="135"/>
      <c r="AJ41" s="135"/>
      <c r="BA41" s="125">
        <v>7.5</v>
      </c>
      <c r="BB41" s="125">
        <v>7.5</v>
      </c>
      <c r="BC41" s="125">
        <v>7.5</v>
      </c>
      <c r="BD41" s="125">
        <v>7.5</v>
      </c>
      <c r="BE41" s="125">
        <v>7.5</v>
      </c>
      <c r="BF41" s="126"/>
      <c r="BG41" s="127"/>
      <c r="BH41" s="46"/>
      <c r="BI41" s="139">
        <f>SUMIF($D$7:$BG$7,"1",$D41:$BG41)</f>
        <v>7.5</v>
      </c>
      <c r="BJ41" s="140">
        <f>SUMIFS($D$9:$BG$9,$D$7:$BG$7,"1",$D41:$BG41,"&gt;"&amp;-1)</f>
        <v>10</v>
      </c>
      <c r="BK41" s="141">
        <f t="shared" si="0"/>
        <v>75</v>
      </c>
      <c r="BL41" s="142">
        <f>SUMIF($D$7:$BG$7,"2",$D41:$BG41)</f>
        <v>18.5</v>
      </c>
      <c r="BM41" s="140">
        <f>SUMIFS($D$9:$BG$9,$D$7:$BG$7,"2",$D41:$BG41,"&gt;"&amp;-1)</f>
        <v>22</v>
      </c>
      <c r="BN41" s="141">
        <f t="shared" si="1"/>
        <v>84.10000000000001</v>
      </c>
      <c r="BO41" s="142">
        <f>SUMIF($D$7:$BG$7,"3",$D41:$BG41)</f>
        <v>15.5</v>
      </c>
      <c r="BP41" s="140">
        <f>SUMIFS($D$9:$BG$9,$D$7:$BG$7,"3",$D41:$BG41,"&gt;"&amp;-1)</f>
        <v>25</v>
      </c>
      <c r="BQ41" s="141">
        <f t="shared" si="2"/>
        <v>62</v>
      </c>
      <c r="BR41" s="142">
        <f>SUMIF($D$7:$BG$7,"4",$D41:$BG41)</f>
        <v>12.5</v>
      </c>
      <c r="BS41" s="140">
        <f>SUMIFS($D$9:$BG$9,$D$7:$BG$7,"4",$D41:$BG41,"&gt;"&amp;-1)</f>
        <v>15</v>
      </c>
      <c r="BT41" s="141">
        <f t="shared" si="3"/>
        <v>83.34</v>
      </c>
      <c r="BU41" s="142">
        <f>SUMIF($D$7:$BG$7,"5",$D41:$BG41)</f>
        <v>9.5</v>
      </c>
      <c r="BV41" s="140">
        <f>SUMIFS($D$9:$BG$9,$D$7:$BG$7,"5",$D41:$BG41,"&gt;"&amp;-1)</f>
        <v>15</v>
      </c>
      <c r="BW41" s="141">
        <f t="shared" si="4"/>
        <v>63.339999999999996</v>
      </c>
      <c r="BX41" s="142">
        <f>SUMIF($D$7:$BG$7,"6",$D41:$BG41)</f>
        <v>0</v>
      </c>
      <c r="BY41" s="140">
        <f>SUMIFS($D$9:$BG$9,$D$7:$BG$7,"6",$D41:$BG41,"&gt;"&amp;-1)</f>
        <v>0</v>
      </c>
      <c r="BZ41" s="141">
        <f t="shared" si="5"/>
        <v>0</v>
      </c>
    </row>
    <row r="42" ht="15.75" customHeight="1" spans="1:78" x14ac:dyDescent="0.25">
      <c r="A42" s="146" t="s">
        <v>100</v>
      </c>
      <c r="B42" s="146"/>
      <c r="C42" s="117"/>
      <c r="D42" s="132"/>
      <c r="E42" s="133"/>
      <c r="F42" s="134"/>
      <c r="G42" s="134"/>
      <c r="H42" s="135"/>
      <c r="I42" s="135"/>
      <c r="J42" s="136"/>
      <c r="K42" s="137"/>
      <c r="L42" s="134"/>
      <c r="M42" s="134"/>
      <c r="N42" s="135"/>
      <c r="O42" s="135"/>
      <c r="P42" s="136"/>
      <c r="Q42" s="136"/>
      <c r="R42" s="135"/>
      <c r="S42" s="135"/>
      <c r="T42" s="138"/>
      <c r="U42" s="132">
        <v>4</v>
      </c>
      <c r="V42" s="133"/>
      <c r="W42" s="134"/>
      <c r="X42" s="134"/>
      <c r="Y42" s="135"/>
      <c r="Z42" s="135"/>
      <c r="AA42" s="136"/>
      <c r="AB42" s="137"/>
      <c r="AC42" s="134"/>
      <c r="AD42" s="134"/>
      <c r="AE42" s="135"/>
      <c r="AF42" s="135"/>
      <c r="AG42" s="136"/>
      <c r="AH42" s="136"/>
      <c r="AI42" s="135"/>
      <c r="AJ42" s="135"/>
      <c r="BA42" s="125">
        <v>10</v>
      </c>
      <c r="BB42" s="125">
        <v>10</v>
      </c>
      <c r="BC42" s="125">
        <v>10</v>
      </c>
      <c r="BD42" s="125">
        <v>10</v>
      </c>
      <c r="BE42" s="125">
        <v>10</v>
      </c>
      <c r="BF42" s="126"/>
      <c r="BG42" s="127"/>
      <c r="BH42" s="46"/>
      <c r="BI42" s="139">
        <f>SUMIF($D$7:$BG$7,"1",$D42:$BG42)</f>
        <v>10</v>
      </c>
      <c r="BJ42" s="140">
        <f>SUMIFS($D$9:$BG$9,$D$7:$BG$7,"1",$D42:$BG42,"&gt;"&amp;-1)</f>
        <v>10</v>
      </c>
      <c r="BK42" s="141">
        <f t="shared" si="0"/>
        <v>100</v>
      </c>
      <c r="BL42" s="142">
        <f>SUMIF($D$7:$BG$7,"2",$D42:$BG42)</f>
        <v>10</v>
      </c>
      <c r="BM42" s="140">
        <f>SUMIFS($D$9:$BG$9,$D$7:$BG$7,"2",$D42:$BG42,"&gt;"&amp;-1)</f>
        <v>10</v>
      </c>
      <c r="BN42" s="141">
        <f t="shared" si="1"/>
        <v>100</v>
      </c>
      <c r="BO42" s="142">
        <f>SUMIF($D$7:$BG$7,"3",$D42:$BG42)</f>
        <v>14</v>
      </c>
      <c r="BP42" s="140">
        <f>SUMIFS($D$9:$BG$9,$D$7:$BG$7,"3",$D42:$BG42,"&gt;"&amp;-1)</f>
        <v>15</v>
      </c>
      <c r="BQ42" s="141">
        <f t="shared" si="2"/>
        <v>93.34</v>
      </c>
      <c r="BR42" s="142">
        <f>SUMIF($D$7:$BG$7,"4",$D42:$BG42)</f>
        <v>10</v>
      </c>
      <c r="BS42" s="140">
        <f>SUMIFS($D$9:$BG$9,$D$7:$BG$7,"4",$D42:$BG42,"&gt;"&amp;-1)</f>
        <v>10</v>
      </c>
      <c r="BT42" s="141">
        <f t="shared" si="3"/>
        <v>100</v>
      </c>
      <c r="BU42" s="142">
        <f>SUMIF($D$7:$BG$7,"5",$D42:$BG42)</f>
        <v>10</v>
      </c>
      <c r="BV42" s="140">
        <f>SUMIFS($D$9:$BG$9,$D$7:$BG$7,"5",$D42:$BG42,"&gt;"&amp;-1)</f>
        <v>10</v>
      </c>
      <c r="BW42" s="141">
        <f t="shared" si="4"/>
        <v>100</v>
      </c>
      <c r="BX42" s="142">
        <f>SUMIF($D$7:$BG$7,"6",$D42:$BG42)</f>
        <v>0</v>
      </c>
      <c r="BY42" s="140">
        <f>SUMIFS($D$9:$BG$9,$D$7:$BG$7,"6",$D42:$BG42,"&gt;"&amp;-1)</f>
        <v>0</v>
      </c>
      <c r="BZ42" s="141">
        <f t="shared" si="5"/>
        <v>0</v>
      </c>
    </row>
    <row r="43" ht="15.75" customHeight="1" spans="1:78" x14ac:dyDescent="0.25">
      <c r="A43" s="147" t="s">
        <v>101</v>
      </c>
      <c r="B43" s="146"/>
      <c r="C43" s="117"/>
      <c r="D43" s="132">
        <v>5</v>
      </c>
      <c r="E43" s="133"/>
      <c r="F43" s="134"/>
      <c r="G43" s="134"/>
      <c r="H43" s="135">
        <v>4</v>
      </c>
      <c r="I43" s="135"/>
      <c r="J43" s="136">
        <v>1</v>
      </c>
      <c r="K43" s="137">
        <v>0</v>
      </c>
      <c r="L43" s="134"/>
      <c r="M43" s="134"/>
      <c r="N43" s="135">
        <v>5</v>
      </c>
      <c r="O43" s="135"/>
      <c r="P43" s="136"/>
      <c r="Q43" s="136"/>
      <c r="R43" s="135"/>
      <c r="S43" s="135"/>
      <c r="T43" s="138"/>
      <c r="U43" s="132">
        <v>5</v>
      </c>
      <c r="V43" s="133"/>
      <c r="W43" s="134"/>
      <c r="X43" s="134">
        <v>2</v>
      </c>
      <c r="Y43" s="135">
        <v>5</v>
      </c>
      <c r="Z43" s="135"/>
      <c r="AA43" s="136">
        <v>4</v>
      </c>
      <c r="AB43" s="137"/>
      <c r="AC43" s="134">
        <v>5</v>
      </c>
      <c r="AD43" s="134"/>
      <c r="AE43" s="135"/>
      <c r="AF43" s="135"/>
      <c r="AG43" s="136"/>
      <c r="AH43" s="136"/>
      <c r="AI43" s="135"/>
      <c r="AJ43" s="135"/>
      <c r="BA43" s="125">
        <v>9</v>
      </c>
      <c r="BB43" s="125">
        <v>9</v>
      </c>
      <c r="BC43" s="125">
        <v>9</v>
      </c>
      <c r="BD43" s="125">
        <v>9</v>
      </c>
      <c r="BE43" s="125">
        <v>9</v>
      </c>
      <c r="BF43" s="126"/>
      <c r="BG43" s="127"/>
      <c r="BH43" s="46"/>
      <c r="BI43" s="139">
        <f>SUMIF($D$7:$BG$7,"1",$D43:$BG43)</f>
        <v>10</v>
      </c>
      <c r="BJ43" s="140">
        <f>SUMIFS($D$9:$BG$9,$D$7:$BG$7,"1",$D43:$BG43,"&gt;"&amp;-1)</f>
        <v>15</v>
      </c>
      <c r="BK43" s="141">
        <f t="shared" si="0"/>
        <v>66.67</v>
      </c>
      <c r="BL43" s="142">
        <f>SUMIF($D$7:$BG$7,"2",$D43:$BG43)</f>
        <v>20</v>
      </c>
      <c r="BM43" s="140">
        <f>SUMIFS($D$9:$BG$9,$D$7:$BG$7,"2",$D43:$BG43,"&gt;"&amp;-1)</f>
        <v>22</v>
      </c>
      <c r="BN43" s="141">
        <f t="shared" si="1"/>
        <v>90.91000000000001</v>
      </c>
      <c r="BO43" s="142">
        <f>SUMIF($D$7:$BG$7,"3",$D43:$BG43)</f>
        <v>29</v>
      </c>
      <c r="BP43" s="140">
        <f>SUMIFS($D$9:$BG$9,$D$7:$BG$7,"3",$D43:$BG43,"&gt;"&amp;-1)</f>
        <v>30</v>
      </c>
      <c r="BQ43" s="141">
        <f t="shared" si="2"/>
        <v>96.67</v>
      </c>
      <c r="BR43" s="142">
        <f>SUMIF($D$7:$BG$7,"4",$D43:$BG43)</f>
        <v>13</v>
      </c>
      <c r="BS43" s="140">
        <f>SUMIFS($D$9:$BG$9,$D$7:$BG$7,"4",$D43:$BG43,"&gt;"&amp;-1)</f>
        <v>15</v>
      </c>
      <c r="BT43" s="141">
        <f t="shared" si="3"/>
        <v>86.67</v>
      </c>
      <c r="BU43" s="142">
        <f>SUMIF($D$7:$BG$7,"5",$D43:$BG43)</f>
        <v>9</v>
      </c>
      <c r="BV43" s="140">
        <f>SUMIFS($D$9:$BG$9,$D$7:$BG$7,"5",$D43:$BG43,"&gt;"&amp;-1)</f>
        <v>10</v>
      </c>
      <c r="BW43" s="141">
        <f t="shared" si="4"/>
        <v>90</v>
      </c>
      <c r="BX43" s="142">
        <f>SUMIF($D$7:$BG$7,"6",$D43:$BG43)</f>
        <v>0</v>
      </c>
      <c r="BY43" s="140">
        <f>SUMIFS($D$9:$BG$9,$D$7:$BG$7,"6",$D43:$BG43,"&gt;"&amp;-1)</f>
        <v>0</v>
      </c>
      <c r="BZ43" s="141">
        <f t="shared" si="5"/>
        <v>0</v>
      </c>
    </row>
    <row r="44" ht="15.75" customHeight="1" spans="1:78" x14ac:dyDescent="0.25">
      <c r="A44" s="147" t="s">
        <v>102</v>
      </c>
      <c r="B44" s="146"/>
      <c r="C44" s="117"/>
      <c r="D44" s="132">
        <v>5</v>
      </c>
      <c r="E44" s="133"/>
      <c r="F44" s="134">
        <v>5</v>
      </c>
      <c r="G44" s="134"/>
      <c r="H44" s="135"/>
      <c r="I44" s="135"/>
      <c r="J44" s="136"/>
      <c r="K44" s="137"/>
      <c r="L44" s="134">
        <v>1</v>
      </c>
      <c r="M44" s="134">
        <v>0</v>
      </c>
      <c r="N44" s="135">
        <v>5</v>
      </c>
      <c r="O44" s="135"/>
      <c r="P44" s="136">
        <v>1</v>
      </c>
      <c r="Q44" s="136">
        <v>0</v>
      </c>
      <c r="R44" s="135"/>
      <c r="S44" s="135"/>
      <c r="T44" s="138"/>
      <c r="U44" s="132">
        <v>5</v>
      </c>
      <c r="V44" s="133"/>
      <c r="W44" s="134">
        <v>3</v>
      </c>
      <c r="X44" s="134">
        <v>2</v>
      </c>
      <c r="Y44" s="135">
        <v>5</v>
      </c>
      <c r="Z44" s="135"/>
      <c r="AA44" s="136"/>
      <c r="AB44" s="137"/>
      <c r="AC44" s="134"/>
      <c r="AD44" s="134"/>
      <c r="AE44" s="135"/>
      <c r="AF44" s="135"/>
      <c r="AG44" s="136"/>
      <c r="AH44" s="136"/>
      <c r="AI44" s="135"/>
      <c r="AJ44" s="135"/>
      <c r="BA44" s="125">
        <v>9</v>
      </c>
      <c r="BB44" s="125">
        <v>9</v>
      </c>
      <c r="BC44" s="125">
        <v>9</v>
      </c>
      <c r="BD44" s="125">
        <v>9</v>
      </c>
      <c r="BE44" s="125">
        <v>9</v>
      </c>
      <c r="BF44" s="126"/>
      <c r="BG44" s="127"/>
      <c r="BH44" s="46"/>
      <c r="BI44" s="139">
        <f>SUMIF($D$7:$BG$7,"1",$D44:$BG44)</f>
        <v>9</v>
      </c>
      <c r="BJ44" s="140">
        <f>SUMIFS($D$9:$BG$9,$D$7:$BG$7,"1",$D44:$BG44,"&gt;"&amp;-1)</f>
        <v>10</v>
      </c>
      <c r="BK44" s="141">
        <f t="shared" si="0"/>
        <v>90</v>
      </c>
      <c r="BL44" s="142">
        <f>SUMIF($D$7:$BG$7,"2",$D44:$BG44)</f>
        <v>20</v>
      </c>
      <c r="BM44" s="140">
        <f>SUMIFS($D$9:$BG$9,$D$7:$BG$7,"2",$D44:$BG44,"&gt;"&amp;-1)</f>
        <v>25</v>
      </c>
      <c r="BN44" s="141">
        <f t="shared" si="1"/>
        <v>80</v>
      </c>
      <c r="BO44" s="142">
        <f>SUMIF($D$7:$BG$7,"3",$D44:$BG44)</f>
        <v>29</v>
      </c>
      <c r="BP44" s="140">
        <f>SUMIFS($D$9:$BG$9,$D$7:$BG$7,"3",$D44:$BG44,"&gt;"&amp;-1)</f>
        <v>30</v>
      </c>
      <c r="BQ44" s="141">
        <f t="shared" si="2"/>
        <v>96.67</v>
      </c>
      <c r="BR44" s="142">
        <f>SUMIF($D$7:$BG$7,"4",$D44:$BG44)</f>
        <v>9</v>
      </c>
      <c r="BS44" s="140">
        <f>SUMIFS($D$9:$BG$9,$D$7:$BG$7,"4",$D44:$BG44,"&gt;"&amp;-1)</f>
        <v>10</v>
      </c>
      <c r="BT44" s="141">
        <f t="shared" si="3"/>
        <v>90</v>
      </c>
      <c r="BU44" s="142">
        <f>SUMIF($D$7:$BG$7,"5",$D44:$BG44)</f>
        <v>10</v>
      </c>
      <c r="BV44" s="140">
        <f>SUMIFS($D$9:$BG$9,$D$7:$BG$7,"5",$D44:$BG44,"&gt;"&amp;-1)</f>
        <v>20</v>
      </c>
      <c r="BW44" s="141">
        <f t="shared" si="4"/>
        <v>50</v>
      </c>
      <c r="BX44" s="142">
        <f>SUMIF($D$7:$BG$7,"6",$D44:$BG44)</f>
        <v>0</v>
      </c>
      <c r="BY44" s="140">
        <f>SUMIFS($D$9:$BG$9,$D$7:$BG$7,"6",$D44:$BG44,"&gt;"&amp;-1)</f>
        <v>0</v>
      </c>
      <c r="BZ44" s="141">
        <f t="shared" si="5"/>
        <v>0</v>
      </c>
    </row>
    <row r="45" ht="15.75" customHeight="1" spans="1:78" x14ac:dyDescent="0.25">
      <c r="A45" s="146" t="s">
        <v>103</v>
      </c>
      <c r="B45" s="146"/>
      <c r="C45" s="117"/>
      <c r="D45" s="132">
        <v>5</v>
      </c>
      <c r="E45" s="133"/>
      <c r="F45" s="134"/>
      <c r="G45" s="134"/>
      <c r="H45" s="135"/>
      <c r="I45" s="135"/>
      <c r="J45" s="136"/>
      <c r="K45" s="137"/>
      <c r="L45" s="134"/>
      <c r="M45" s="134"/>
      <c r="N45" s="135"/>
      <c r="O45" s="135"/>
      <c r="P45" s="136"/>
      <c r="Q45" s="136"/>
      <c r="R45" s="135"/>
      <c r="S45" s="135"/>
      <c r="T45" s="138"/>
      <c r="U45" s="132">
        <v>5</v>
      </c>
      <c r="V45" s="133"/>
      <c r="W45" s="134">
        <v>3</v>
      </c>
      <c r="X45" s="134">
        <v>2</v>
      </c>
      <c r="Y45" s="135"/>
      <c r="Z45" s="135"/>
      <c r="AA45" s="136"/>
      <c r="AB45" s="137"/>
      <c r="AC45" s="134"/>
      <c r="AD45" s="134"/>
      <c r="AE45" s="135"/>
      <c r="AF45" s="135"/>
      <c r="AG45" s="136"/>
      <c r="AH45" s="136"/>
      <c r="AI45" s="135"/>
      <c r="AJ45" s="135"/>
      <c r="BA45" s="125">
        <v>5</v>
      </c>
      <c r="BB45" s="125">
        <v>5</v>
      </c>
      <c r="BC45" s="125">
        <v>5</v>
      </c>
      <c r="BD45" s="125">
        <v>5</v>
      </c>
      <c r="BE45" s="125">
        <v>5</v>
      </c>
      <c r="BF45" s="126"/>
      <c r="BG45" s="127"/>
      <c r="BH45" s="46"/>
      <c r="BI45" s="139">
        <f>SUMIF($D$7:$BG$7,"1",$D45:$BG45)</f>
        <v>5</v>
      </c>
      <c r="BJ45" s="140">
        <f>SUMIFS($D$9:$BG$9,$D$7:$BG$7,"1",$D45:$BG45,"&gt;"&amp;-1)</f>
        <v>10</v>
      </c>
      <c r="BK45" s="141">
        <f t="shared" si="0"/>
        <v>50</v>
      </c>
      <c r="BL45" s="142">
        <f>SUMIF($D$7:$BG$7,"2",$D45:$BG45)</f>
        <v>15</v>
      </c>
      <c r="BM45" s="140">
        <f>SUMIFS($D$9:$BG$9,$D$7:$BG$7,"2",$D45:$BG45,"&gt;"&amp;-1)</f>
        <v>20</v>
      </c>
      <c r="BN45" s="141">
        <f t="shared" si="1"/>
        <v>75</v>
      </c>
      <c r="BO45" s="142">
        <f>SUMIF($D$7:$BG$7,"3",$D45:$BG45)</f>
        <v>10</v>
      </c>
      <c r="BP45" s="140">
        <f>SUMIFS($D$9:$BG$9,$D$7:$BG$7,"3",$D45:$BG45,"&gt;"&amp;-1)</f>
        <v>15</v>
      </c>
      <c r="BQ45" s="141">
        <f t="shared" si="2"/>
        <v>66.67</v>
      </c>
      <c r="BR45" s="142">
        <f>SUMIF($D$7:$BG$7,"4",$D45:$BG45)</f>
        <v>5</v>
      </c>
      <c r="BS45" s="140">
        <f>SUMIFS($D$9:$BG$9,$D$7:$BG$7,"4",$D45:$BG45,"&gt;"&amp;-1)</f>
        <v>10</v>
      </c>
      <c r="BT45" s="141">
        <f t="shared" si="3"/>
        <v>50</v>
      </c>
      <c r="BU45" s="142">
        <f>SUMIF($D$7:$BG$7,"5",$D45:$BG45)</f>
        <v>5</v>
      </c>
      <c r="BV45" s="140">
        <f>SUMIFS($D$9:$BG$9,$D$7:$BG$7,"5",$D45:$BG45,"&gt;"&amp;-1)</f>
        <v>10</v>
      </c>
      <c r="BW45" s="141">
        <f t="shared" si="4"/>
        <v>50</v>
      </c>
      <c r="BX45" s="142">
        <f>SUMIF($D$7:$BG$7,"6",$D45:$BG45)</f>
        <v>0</v>
      </c>
      <c r="BY45" s="140">
        <f>SUMIFS($D$9:$BG$9,$D$7:$BG$7,"6",$D45:$BG45,"&gt;"&amp;-1)</f>
        <v>0</v>
      </c>
      <c r="BZ45" s="141">
        <f t="shared" si="5"/>
        <v>0</v>
      </c>
    </row>
    <row r="46" ht="15.75" customHeight="1" spans="1:78" x14ac:dyDescent="0.25">
      <c r="A46" s="146" t="s">
        <v>104</v>
      </c>
      <c r="B46" s="146"/>
      <c r="C46" s="117"/>
      <c r="D46" s="132"/>
      <c r="E46" s="133"/>
      <c r="F46" s="134"/>
      <c r="G46" s="134"/>
      <c r="H46" s="135"/>
      <c r="I46" s="135"/>
      <c r="J46" s="136"/>
      <c r="K46" s="137">
        <v>1</v>
      </c>
      <c r="L46" s="134"/>
      <c r="M46" s="134"/>
      <c r="N46" s="135"/>
      <c r="O46" s="135"/>
      <c r="P46" s="136"/>
      <c r="Q46" s="136"/>
      <c r="R46" s="135"/>
      <c r="S46" s="135"/>
      <c r="T46" s="138"/>
      <c r="U46" s="132">
        <v>5</v>
      </c>
      <c r="V46" s="133"/>
      <c r="W46" s="134">
        <v>3</v>
      </c>
      <c r="X46" s="134">
        <v>2</v>
      </c>
      <c r="Y46" s="135">
        <v>1</v>
      </c>
      <c r="Z46" s="135"/>
      <c r="AA46" s="136"/>
      <c r="AB46" s="137"/>
      <c r="AC46" s="134"/>
      <c r="AD46" s="134"/>
      <c r="AE46" s="135"/>
      <c r="AF46" s="135"/>
      <c r="AG46" s="136"/>
      <c r="AH46" s="136"/>
      <c r="AI46" s="135"/>
      <c r="AJ46" s="135"/>
      <c r="BA46" s="125">
        <v>10</v>
      </c>
      <c r="BB46" s="125">
        <v>10</v>
      </c>
      <c r="BC46" s="125">
        <v>10</v>
      </c>
      <c r="BD46" s="125">
        <v>10</v>
      </c>
      <c r="BE46" s="125">
        <v>10</v>
      </c>
      <c r="BF46" s="126"/>
      <c r="BG46" s="127"/>
      <c r="BH46" s="46"/>
      <c r="BI46" s="139">
        <f>SUMIF($D$7:$BG$7,"1",$D46:$BG46)</f>
        <v>11</v>
      </c>
      <c r="BJ46" s="140">
        <f>SUMIFS($D$9:$BG$9,$D$7:$BG$7,"1",$D46:$BG46,"&gt;"&amp;-1)</f>
        <v>12.5</v>
      </c>
      <c r="BK46" s="141">
        <f t="shared" si="0"/>
        <v>88</v>
      </c>
      <c r="BL46" s="142">
        <f>SUMIF($D$7:$BG$7,"2",$D46:$BG46)</f>
        <v>15</v>
      </c>
      <c r="BM46" s="140">
        <f>SUMIFS($D$9:$BG$9,$D$7:$BG$7,"2",$D46:$BG46,"&gt;"&amp;-1)</f>
        <v>15</v>
      </c>
      <c r="BN46" s="141">
        <f t="shared" si="1"/>
        <v>100</v>
      </c>
      <c r="BO46" s="142">
        <f>SUMIF($D$7:$BG$7,"3",$D46:$BG46)</f>
        <v>16</v>
      </c>
      <c r="BP46" s="140">
        <f>SUMIFS($D$9:$BG$9,$D$7:$BG$7,"3",$D46:$BG46,"&gt;"&amp;-1)</f>
        <v>20</v>
      </c>
      <c r="BQ46" s="141">
        <f t="shared" si="2"/>
        <v>80</v>
      </c>
      <c r="BR46" s="142">
        <f>SUMIF($D$7:$BG$7,"4",$D46:$BG46)</f>
        <v>10</v>
      </c>
      <c r="BS46" s="140">
        <f>SUMIFS($D$9:$BG$9,$D$7:$BG$7,"4",$D46:$BG46,"&gt;"&amp;-1)</f>
        <v>10</v>
      </c>
      <c r="BT46" s="141">
        <f t="shared" si="3"/>
        <v>100</v>
      </c>
      <c r="BU46" s="142">
        <f>SUMIF($D$7:$BG$7,"5",$D46:$BG46)</f>
        <v>10</v>
      </c>
      <c r="BV46" s="140">
        <f>SUMIFS($D$9:$BG$9,$D$7:$BG$7,"5",$D46:$BG46,"&gt;"&amp;-1)</f>
        <v>10</v>
      </c>
      <c r="BW46" s="141">
        <f t="shared" si="4"/>
        <v>100</v>
      </c>
      <c r="BX46" s="142">
        <f>SUMIF($D$7:$BG$7,"6",$D46:$BG46)</f>
        <v>0</v>
      </c>
      <c r="BY46" s="140">
        <f>SUMIFS($D$9:$BG$9,$D$7:$BG$7,"6",$D46:$BG46,"&gt;"&amp;-1)</f>
        <v>0</v>
      </c>
      <c r="BZ46" s="141">
        <f t="shared" si="5"/>
        <v>0</v>
      </c>
    </row>
    <row r="47" ht="15.75" customHeight="1" spans="1:78" x14ac:dyDescent="0.25">
      <c r="A47" s="146" t="s">
        <v>105</v>
      </c>
      <c r="B47" s="146"/>
      <c r="C47" s="117"/>
      <c r="D47" s="132">
        <v>5</v>
      </c>
      <c r="E47" s="133"/>
      <c r="F47" s="134">
        <v>2</v>
      </c>
      <c r="G47" s="134"/>
      <c r="H47" s="135"/>
      <c r="I47" s="135"/>
      <c r="J47" s="136"/>
      <c r="K47" s="137"/>
      <c r="L47" s="134"/>
      <c r="M47" s="134"/>
      <c r="N47" s="135"/>
      <c r="O47" s="135"/>
      <c r="P47" s="136"/>
      <c r="Q47" s="136"/>
      <c r="R47" s="135"/>
      <c r="S47" s="135"/>
      <c r="T47" s="138"/>
      <c r="U47" s="132">
        <v>5</v>
      </c>
      <c r="V47" s="133"/>
      <c r="W47" s="134">
        <v>3</v>
      </c>
      <c r="X47" s="134">
        <v>2</v>
      </c>
      <c r="Y47" s="135"/>
      <c r="Z47" s="135"/>
      <c r="AA47" s="136"/>
      <c r="AB47" s="137"/>
      <c r="AC47" s="134">
        <v>4</v>
      </c>
      <c r="AD47" s="134"/>
      <c r="AE47" s="135"/>
      <c r="AF47" s="135"/>
      <c r="AG47" s="136"/>
      <c r="AH47" s="136"/>
      <c r="AI47" s="135"/>
      <c r="AJ47" s="135"/>
      <c r="BA47" s="125">
        <v>5</v>
      </c>
      <c r="BB47" s="125">
        <v>5</v>
      </c>
      <c r="BC47" s="125">
        <v>5</v>
      </c>
      <c r="BD47" s="125">
        <v>5</v>
      </c>
      <c r="BE47" s="125">
        <v>5</v>
      </c>
      <c r="BF47" s="126"/>
      <c r="BG47" s="127"/>
      <c r="BH47" s="46"/>
      <c r="BI47" s="139">
        <f>SUMIF($D$7:$BG$7,"1",$D47:$BG47)</f>
        <v>5</v>
      </c>
      <c r="BJ47" s="140">
        <f>SUMIFS($D$9:$BG$9,$D$7:$BG$7,"1",$D47:$BG47,"&gt;"&amp;-1)</f>
        <v>10</v>
      </c>
      <c r="BK47" s="141">
        <f t="shared" si="0"/>
        <v>50</v>
      </c>
      <c r="BL47" s="142">
        <f>SUMIF($D$7:$BG$7,"2",$D47:$BG47)</f>
        <v>15</v>
      </c>
      <c r="BM47" s="140">
        <f>SUMIFS($D$9:$BG$9,$D$7:$BG$7,"2",$D47:$BG47,"&gt;"&amp;-1)</f>
        <v>20</v>
      </c>
      <c r="BN47" s="141">
        <f t="shared" si="1"/>
        <v>75</v>
      </c>
      <c r="BO47" s="142">
        <f>SUMIF($D$7:$BG$7,"3",$D47:$BG47)</f>
        <v>16</v>
      </c>
      <c r="BP47" s="140">
        <f>SUMIFS($D$9:$BG$9,$D$7:$BG$7,"3",$D47:$BG47,"&gt;"&amp;-1)</f>
        <v>25</v>
      </c>
      <c r="BQ47" s="141">
        <f t="shared" si="2"/>
        <v>64</v>
      </c>
      <c r="BR47" s="142">
        <f>SUMIF($D$7:$BG$7,"4",$D47:$BG47)</f>
        <v>5</v>
      </c>
      <c r="BS47" s="140">
        <f>SUMIFS($D$9:$BG$9,$D$7:$BG$7,"4",$D47:$BG47,"&gt;"&amp;-1)</f>
        <v>10</v>
      </c>
      <c r="BT47" s="141">
        <f t="shared" si="3"/>
        <v>50</v>
      </c>
      <c r="BU47" s="142">
        <f>SUMIF($D$7:$BG$7,"5",$D47:$BG47)</f>
        <v>5</v>
      </c>
      <c r="BV47" s="140">
        <f>SUMIFS($D$9:$BG$9,$D$7:$BG$7,"5",$D47:$BG47,"&gt;"&amp;-1)</f>
        <v>10</v>
      </c>
      <c r="BW47" s="141">
        <f t="shared" si="4"/>
        <v>50</v>
      </c>
      <c r="BX47" s="142">
        <f>SUMIF($D$7:$BG$7,"6",$D47:$BG47)</f>
        <v>0</v>
      </c>
      <c r="BY47" s="140">
        <f>SUMIFS($D$9:$BG$9,$D$7:$BG$7,"6",$D47:$BG47,"&gt;"&amp;-1)</f>
        <v>0</v>
      </c>
      <c r="BZ47" s="141">
        <f t="shared" si="5"/>
        <v>0</v>
      </c>
    </row>
    <row r="48" ht="15.75" customHeight="1" spans="1:78" x14ac:dyDescent="0.25">
      <c r="A48" s="147" t="s">
        <v>106</v>
      </c>
      <c r="B48" s="146"/>
      <c r="C48" s="117"/>
      <c r="D48" s="132">
        <v>5</v>
      </c>
      <c r="E48" s="133"/>
      <c r="F48" s="134">
        <v>5</v>
      </c>
      <c r="G48" s="134"/>
      <c r="H48" s="135"/>
      <c r="I48" s="135"/>
      <c r="J48" s="136"/>
      <c r="K48" s="137"/>
      <c r="L48" s="134">
        <v>2</v>
      </c>
      <c r="M48" s="134">
        <v>2</v>
      </c>
      <c r="N48" s="135"/>
      <c r="O48" s="135"/>
      <c r="P48" s="136">
        <v>2</v>
      </c>
      <c r="Q48" s="136">
        <v>2</v>
      </c>
      <c r="R48" s="135"/>
      <c r="S48" s="135"/>
      <c r="T48" s="138"/>
      <c r="U48" s="132">
        <v>5</v>
      </c>
      <c r="V48" s="133"/>
      <c r="W48" s="134">
        <v>3</v>
      </c>
      <c r="X48" s="134">
        <v>2</v>
      </c>
      <c r="Y48" s="135"/>
      <c r="Z48" s="135"/>
      <c r="AA48" s="136">
        <v>5</v>
      </c>
      <c r="AB48" s="137"/>
      <c r="AC48" s="134">
        <v>5</v>
      </c>
      <c r="AD48" s="134"/>
      <c r="AE48" s="135">
        <v>5</v>
      </c>
      <c r="AF48" s="135"/>
      <c r="AG48" s="136"/>
      <c r="AH48" s="136"/>
      <c r="AI48" s="135"/>
      <c r="AJ48" s="135"/>
      <c r="BA48" s="125">
        <v>5</v>
      </c>
      <c r="BB48" s="125">
        <v>5</v>
      </c>
      <c r="BC48" s="125">
        <v>5</v>
      </c>
      <c r="BD48" s="125">
        <v>5</v>
      </c>
      <c r="BE48" s="125">
        <v>5</v>
      </c>
      <c r="BF48" s="126"/>
      <c r="BG48" s="127"/>
      <c r="BH48" s="46"/>
      <c r="BI48" s="139">
        <f>SUMIF($D$7:$BG$7,"1",$D48:$BG48)</f>
        <v>5</v>
      </c>
      <c r="BJ48" s="140">
        <f>SUMIFS($D$9:$BG$9,$D$7:$BG$7,"1",$D48:$BG48,"&gt;"&amp;-1)</f>
        <v>10</v>
      </c>
      <c r="BK48" s="141">
        <f t="shared" si="0"/>
        <v>50</v>
      </c>
      <c r="BL48" s="142">
        <f>SUMIF($D$7:$BG$7,"2",$D48:$BG48)</f>
        <v>19</v>
      </c>
      <c r="BM48" s="140">
        <f>SUMIFS($D$9:$BG$9,$D$7:$BG$7,"2",$D48:$BG48,"&gt;"&amp;-1)</f>
        <v>25</v>
      </c>
      <c r="BN48" s="141">
        <f t="shared" si="1"/>
        <v>76</v>
      </c>
      <c r="BO48" s="142">
        <f>SUMIF($D$7:$BG$7,"3",$D48:$BG48)</f>
        <v>25</v>
      </c>
      <c r="BP48" s="140">
        <f>SUMIFS($D$9:$BG$9,$D$7:$BG$7,"3",$D48:$BG48,"&gt;"&amp;-1)</f>
        <v>30</v>
      </c>
      <c r="BQ48" s="141">
        <f t="shared" si="2"/>
        <v>83.34</v>
      </c>
      <c r="BR48" s="142">
        <f>SUMIF($D$7:$BG$7,"4",$D48:$BG48)</f>
        <v>10</v>
      </c>
      <c r="BS48" s="140">
        <f>SUMIFS($D$9:$BG$9,$D$7:$BG$7,"4",$D48:$BG48,"&gt;"&amp;-1)</f>
        <v>15</v>
      </c>
      <c r="BT48" s="141">
        <f t="shared" si="3"/>
        <v>66.67</v>
      </c>
      <c r="BU48" s="142">
        <f>SUMIF($D$7:$BG$7,"5",$D48:$BG48)</f>
        <v>9</v>
      </c>
      <c r="BV48" s="140">
        <f>SUMIFS($D$9:$BG$9,$D$7:$BG$7,"5",$D48:$BG48,"&gt;"&amp;-1)</f>
        <v>20</v>
      </c>
      <c r="BW48" s="141">
        <f t="shared" si="4"/>
        <v>45</v>
      </c>
      <c r="BX48" s="142">
        <f>SUMIF($D$7:$BG$7,"6",$D48:$BG48)</f>
        <v>0</v>
      </c>
      <c r="BY48" s="140">
        <f>SUMIFS($D$9:$BG$9,$D$7:$BG$7,"6",$D48:$BG48,"&gt;"&amp;-1)</f>
        <v>0</v>
      </c>
      <c r="BZ48" s="141">
        <f t="shared" si="5"/>
        <v>0</v>
      </c>
    </row>
    <row r="49" ht="15.75" customHeight="1" spans="1:78" x14ac:dyDescent="0.25">
      <c r="A49" s="146" t="s">
        <v>107</v>
      </c>
      <c r="B49" s="146"/>
      <c r="C49" s="117"/>
      <c r="D49" s="132">
        <v>5</v>
      </c>
      <c r="E49" s="133"/>
      <c r="F49" s="134"/>
      <c r="G49" s="134"/>
      <c r="H49" s="135"/>
      <c r="I49" s="135"/>
      <c r="J49" s="136">
        <v>2.5</v>
      </c>
      <c r="K49" s="137">
        <v>2.5</v>
      </c>
      <c r="L49" s="134">
        <v>2</v>
      </c>
      <c r="M49" s="134">
        <v>3</v>
      </c>
      <c r="N49" s="135"/>
      <c r="O49" s="135"/>
      <c r="P49" s="136">
        <v>2</v>
      </c>
      <c r="Q49" s="136">
        <v>3</v>
      </c>
      <c r="R49" s="135"/>
      <c r="S49" s="135"/>
      <c r="T49" s="138"/>
      <c r="U49" s="132">
        <v>5</v>
      </c>
      <c r="V49" s="133"/>
      <c r="W49" s="134">
        <v>3</v>
      </c>
      <c r="X49" s="134">
        <v>2</v>
      </c>
      <c r="Y49" s="135">
        <v>5</v>
      </c>
      <c r="Z49" s="135"/>
      <c r="AA49" s="136">
        <v>4</v>
      </c>
      <c r="AB49" s="137"/>
      <c r="AC49" s="134">
        <v>5</v>
      </c>
      <c r="AD49" s="134"/>
      <c r="AE49" s="135"/>
      <c r="AF49" s="135"/>
      <c r="AG49" s="136"/>
      <c r="AH49" s="136"/>
      <c r="AI49" s="135"/>
      <c r="AJ49" s="135"/>
      <c r="BA49" s="125">
        <v>10</v>
      </c>
      <c r="BB49" s="125">
        <v>10</v>
      </c>
      <c r="BC49" s="125">
        <v>10</v>
      </c>
      <c r="BD49" s="125">
        <v>10</v>
      </c>
      <c r="BE49" s="125">
        <v>10</v>
      </c>
      <c r="BF49" s="126"/>
      <c r="BG49" s="127"/>
      <c r="BH49" s="46"/>
      <c r="BI49" s="139">
        <f>SUMIF($D$7:$BG$7,"1",$D49:$BG49)</f>
        <v>15</v>
      </c>
      <c r="BJ49" s="140">
        <f>SUMIFS($D$9:$BG$9,$D$7:$BG$7,"1",$D49:$BG49,"&gt;"&amp;-1)</f>
        <v>15</v>
      </c>
      <c r="BK49" s="141">
        <f t="shared" si="0"/>
        <v>100</v>
      </c>
      <c r="BL49" s="142">
        <f>SUMIF($D$7:$BG$7,"2",$D49:$BG49)</f>
        <v>25</v>
      </c>
      <c r="BM49" s="140">
        <f>SUMIFS($D$9:$BG$9,$D$7:$BG$7,"2",$D49:$BG49,"&gt;"&amp;-1)</f>
        <v>25</v>
      </c>
      <c r="BN49" s="141">
        <f t="shared" si="1"/>
        <v>100</v>
      </c>
      <c r="BO49" s="142">
        <f>SUMIF($D$7:$BG$7,"3",$D49:$BG49)</f>
        <v>25</v>
      </c>
      <c r="BP49" s="140">
        <f>SUMIFS($D$9:$BG$9,$D$7:$BG$7,"3",$D49:$BG49,"&gt;"&amp;-1)</f>
        <v>25</v>
      </c>
      <c r="BQ49" s="141">
        <f t="shared" si="2"/>
        <v>100</v>
      </c>
      <c r="BR49" s="142">
        <f>SUMIF($D$7:$BG$7,"4",$D49:$BG49)</f>
        <v>14</v>
      </c>
      <c r="BS49" s="140">
        <f>SUMIFS($D$9:$BG$9,$D$7:$BG$7,"4",$D49:$BG49,"&gt;"&amp;-1)</f>
        <v>15</v>
      </c>
      <c r="BT49" s="141">
        <f t="shared" si="3"/>
        <v>93.34</v>
      </c>
      <c r="BU49" s="142">
        <f>SUMIF($D$7:$BG$7,"5",$D49:$BG49)</f>
        <v>15</v>
      </c>
      <c r="BV49" s="140">
        <f>SUMIFS($D$9:$BG$9,$D$7:$BG$7,"5",$D49:$BG49,"&gt;"&amp;-1)</f>
        <v>20</v>
      </c>
      <c r="BW49" s="141">
        <f t="shared" si="4"/>
        <v>75</v>
      </c>
      <c r="BX49" s="142">
        <f>SUMIF($D$7:$BG$7,"6",$D49:$BG49)</f>
        <v>0</v>
      </c>
      <c r="BY49" s="140">
        <f>SUMIFS($D$9:$BG$9,$D$7:$BG$7,"6",$D49:$BG49,"&gt;"&amp;-1)</f>
        <v>0</v>
      </c>
      <c r="BZ49" s="141">
        <f t="shared" si="5"/>
        <v>0</v>
      </c>
    </row>
    <row r="50" ht="15.75" customHeight="1" spans="1:78" x14ac:dyDescent="0.25">
      <c r="A50" s="146" t="s">
        <v>108</v>
      </c>
      <c r="B50" s="146"/>
      <c r="C50" s="117"/>
      <c r="D50" s="132">
        <v>5</v>
      </c>
      <c r="E50" s="133"/>
      <c r="F50" s="134">
        <v>4</v>
      </c>
      <c r="G50" s="134"/>
      <c r="H50" s="135"/>
      <c r="I50" s="135"/>
      <c r="J50" s="136"/>
      <c r="K50" s="137"/>
      <c r="L50" s="134">
        <v>2</v>
      </c>
      <c r="M50" s="134">
        <v>2</v>
      </c>
      <c r="N50" s="135"/>
      <c r="O50" s="135"/>
      <c r="P50" s="136">
        <v>2</v>
      </c>
      <c r="Q50" s="136">
        <v>2</v>
      </c>
      <c r="R50" s="135"/>
      <c r="S50" s="135"/>
      <c r="T50" s="138"/>
      <c r="U50" s="132">
        <v>5</v>
      </c>
      <c r="V50" s="133"/>
      <c r="W50" s="134">
        <v>3</v>
      </c>
      <c r="X50" s="134">
        <v>2</v>
      </c>
      <c r="Y50" s="135">
        <v>5</v>
      </c>
      <c r="Z50" s="135"/>
      <c r="AA50" s="136">
        <v>5</v>
      </c>
      <c r="AB50" s="137"/>
      <c r="AC50" s="134">
        <v>5</v>
      </c>
      <c r="AD50" s="134"/>
      <c r="AE50" s="135"/>
      <c r="AF50" s="135"/>
      <c r="AG50" s="136"/>
      <c r="AH50" s="136"/>
      <c r="AI50" s="135"/>
      <c r="AJ50" s="135"/>
      <c r="BA50" s="125">
        <v>10</v>
      </c>
      <c r="BB50" s="125">
        <v>10</v>
      </c>
      <c r="BC50" s="125">
        <v>10</v>
      </c>
      <c r="BD50" s="125">
        <v>10</v>
      </c>
      <c r="BE50" s="125">
        <v>10</v>
      </c>
      <c r="BF50" s="126"/>
      <c r="BG50" s="127"/>
      <c r="BH50" s="46"/>
      <c r="BI50" s="139">
        <f>SUMIF($D$7:$BG$7,"1",$D50:$BG50)</f>
        <v>10</v>
      </c>
      <c r="BJ50" s="140">
        <f>SUMIFS($D$9:$BG$9,$D$7:$BG$7,"1",$D50:$BG50,"&gt;"&amp;-1)</f>
        <v>10</v>
      </c>
      <c r="BK50" s="141">
        <f t="shared" si="0"/>
        <v>100</v>
      </c>
      <c r="BL50" s="142">
        <f>SUMIF($D$7:$BG$7,"2",$D50:$BG50)</f>
        <v>24</v>
      </c>
      <c r="BM50" s="140">
        <f>SUMIFS($D$9:$BG$9,$D$7:$BG$7,"2",$D50:$BG50,"&gt;"&amp;-1)</f>
        <v>25</v>
      </c>
      <c r="BN50" s="141">
        <f t="shared" si="1"/>
        <v>96</v>
      </c>
      <c r="BO50" s="142">
        <f>SUMIF($D$7:$BG$7,"3",$D50:$BG50)</f>
        <v>29</v>
      </c>
      <c r="BP50" s="140">
        <f>SUMIFS($D$9:$BG$9,$D$7:$BG$7,"3",$D50:$BG50,"&gt;"&amp;-1)</f>
        <v>30</v>
      </c>
      <c r="BQ50" s="141">
        <f t="shared" si="2"/>
        <v>96.67</v>
      </c>
      <c r="BR50" s="142">
        <f>SUMIF($D$7:$BG$7,"4",$D50:$BG50)</f>
        <v>15</v>
      </c>
      <c r="BS50" s="140">
        <f>SUMIFS($D$9:$BG$9,$D$7:$BG$7,"4",$D50:$BG50,"&gt;"&amp;-1)</f>
        <v>15</v>
      </c>
      <c r="BT50" s="141">
        <f t="shared" si="3"/>
        <v>100</v>
      </c>
      <c r="BU50" s="142">
        <f>SUMIF($D$7:$BG$7,"5",$D50:$BG50)</f>
        <v>14</v>
      </c>
      <c r="BV50" s="140">
        <f>SUMIFS($D$9:$BG$9,$D$7:$BG$7,"5",$D50:$BG50,"&gt;"&amp;-1)</f>
        <v>20</v>
      </c>
      <c r="BW50" s="141">
        <f t="shared" si="4"/>
        <v>70</v>
      </c>
      <c r="BX50" s="142">
        <f>SUMIF($D$7:$BG$7,"6",$D50:$BG50)</f>
        <v>0</v>
      </c>
      <c r="BY50" s="140">
        <f>SUMIFS($D$9:$BG$9,$D$7:$BG$7,"6",$D50:$BG50,"&gt;"&amp;-1)</f>
        <v>0</v>
      </c>
      <c r="BZ50" s="141">
        <f t="shared" si="5"/>
        <v>0</v>
      </c>
    </row>
    <row r="51" ht="15.75" customHeight="1" spans="1:78" x14ac:dyDescent="0.25">
      <c r="A51" s="146" t="s">
        <v>109</v>
      </c>
      <c r="B51" s="146"/>
      <c r="C51" s="117"/>
      <c r="D51" s="132">
        <v>5</v>
      </c>
      <c r="E51" s="133"/>
      <c r="F51" s="134">
        <v>5</v>
      </c>
      <c r="G51" s="134"/>
      <c r="H51" s="135"/>
      <c r="I51" s="135"/>
      <c r="J51" s="136">
        <v>2.5</v>
      </c>
      <c r="K51" s="137">
        <v>2.5</v>
      </c>
      <c r="L51" s="134">
        <v>2</v>
      </c>
      <c r="M51" s="134">
        <v>2</v>
      </c>
      <c r="N51" s="135"/>
      <c r="O51" s="135"/>
      <c r="P51" s="136">
        <v>2</v>
      </c>
      <c r="Q51" s="136">
        <v>2</v>
      </c>
      <c r="R51" s="135"/>
      <c r="S51" s="135"/>
      <c r="T51" s="138"/>
      <c r="U51" s="132">
        <v>5</v>
      </c>
      <c r="V51" s="133"/>
      <c r="W51" s="134"/>
      <c r="X51" s="134"/>
      <c r="Y51" s="135">
        <v>5</v>
      </c>
      <c r="Z51" s="135"/>
      <c r="AA51" s="136">
        <v>5</v>
      </c>
      <c r="AB51" s="137"/>
      <c r="AC51" s="134">
        <v>5</v>
      </c>
      <c r="AD51" s="134"/>
      <c r="AE51" s="135"/>
      <c r="AF51" s="135"/>
      <c r="AG51" s="136"/>
      <c r="AH51" s="136"/>
      <c r="AI51" s="135"/>
      <c r="AJ51" s="135"/>
      <c r="BA51" s="125">
        <v>10</v>
      </c>
      <c r="BB51" s="125">
        <v>10</v>
      </c>
      <c r="BC51" s="125">
        <v>10</v>
      </c>
      <c r="BD51" s="125">
        <v>10</v>
      </c>
      <c r="BE51" s="125">
        <v>10</v>
      </c>
      <c r="BF51" s="126"/>
      <c r="BG51" s="127"/>
      <c r="BH51" s="46"/>
      <c r="BI51" s="139">
        <f>SUMIF($D$7:$BG$7,"1",$D51:$BG51)</f>
        <v>15</v>
      </c>
      <c r="BJ51" s="140">
        <f>SUMIFS($D$9:$BG$9,$D$7:$BG$7,"1",$D51:$BG51,"&gt;"&amp;-1)</f>
        <v>15</v>
      </c>
      <c r="BK51" s="141">
        <f t="shared" si="0"/>
        <v>100</v>
      </c>
      <c r="BL51" s="142">
        <f>SUMIF($D$7:$BG$7,"2",$D51:$BG51)</f>
        <v>19</v>
      </c>
      <c r="BM51" s="140">
        <f>SUMIFS($D$9:$BG$9,$D$7:$BG$7,"2",$D51:$BG51,"&gt;"&amp;-1)</f>
        <v>20</v>
      </c>
      <c r="BN51" s="141">
        <f t="shared" si="1"/>
        <v>95</v>
      </c>
      <c r="BO51" s="142">
        <f>SUMIF($D$7:$BG$7,"3",$D51:$BG51)</f>
        <v>30</v>
      </c>
      <c r="BP51" s="140">
        <f>SUMIFS($D$9:$BG$9,$D$7:$BG$7,"3",$D51:$BG51,"&gt;"&amp;-1)</f>
        <v>30</v>
      </c>
      <c r="BQ51" s="141">
        <f t="shared" si="2"/>
        <v>100</v>
      </c>
      <c r="BR51" s="142">
        <f>SUMIF($D$7:$BG$7,"4",$D51:$BG51)</f>
        <v>15</v>
      </c>
      <c r="BS51" s="140">
        <f>SUMIFS($D$9:$BG$9,$D$7:$BG$7,"4",$D51:$BG51,"&gt;"&amp;-1)</f>
        <v>15</v>
      </c>
      <c r="BT51" s="141">
        <f t="shared" si="3"/>
        <v>100</v>
      </c>
      <c r="BU51" s="142">
        <f>SUMIF($D$7:$BG$7,"5",$D51:$BG51)</f>
        <v>14</v>
      </c>
      <c r="BV51" s="140">
        <f>SUMIFS($D$9:$BG$9,$D$7:$BG$7,"5",$D51:$BG51,"&gt;"&amp;-1)</f>
        <v>20</v>
      </c>
      <c r="BW51" s="141">
        <f t="shared" si="4"/>
        <v>70</v>
      </c>
      <c r="BX51" s="142">
        <f>SUMIF($D$7:$BG$7,"6",$D51:$BG51)</f>
        <v>0</v>
      </c>
      <c r="BY51" s="140">
        <f>SUMIFS($D$9:$BG$9,$D$7:$BG$7,"6",$D51:$BG51,"&gt;"&amp;-1)</f>
        <v>0</v>
      </c>
      <c r="BZ51" s="141">
        <f t="shared" si="5"/>
        <v>0</v>
      </c>
    </row>
    <row r="52" ht="15.75" customHeight="1" spans="1:78" x14ac:dyDescent="0.25">
      <c r="A52" s="147" t="s">
        <v>110</v>
      </c>
      <c r="B52" s="146"/>
      <c r="C52" s="117"/>
      <c r="D52" s="132">
        <v>5</v>
      </c>
      <c r="E52" s="133"/>
      <c r="F52" s="134"/>
      <c r="G52" s="134"/>
      <c r="H52" s="135">
        <v>2</v>
      </c>
      <c r="I52" s="135"/>
      <c r="J52" s="136"/>
      <c r="K52" s="137"/>
      <c r="L52" s="134">
        <v>2</v>
      </c>
      <c r="M52" s="134"/>
      <c r="N52" s="135">
        <v>2</v>
      </c>
      <c r="O52" s="135"/>
      <c r="P52" s="136">
        <v>2</v>
      </c>
      <c r="Q52" s="136"/>
      <c r="R52" s="135"/>
      <c r="S52" s="135"/>
      <c r="T52" s="138"/>
      <c r="U52" s="132">
        <v>2</v>
      </c>
      <c r="V52" s="133"/>
      <c r="W52" s="134">
        <v>3</v>
      </c>
      <c r="X52" s="134">
        <v>2</v>
      </c>
      <c r="Y52" s="135"/>
      <c r="Z52" s="135"/>
      <c r="AA52" s="136">
        <v>5</v>
      </c>
      <c r="AB52" s="137"/>
      <c r="AC52" s="134">
        <v>3</v>
      </c>
      <c r="AD52" s="134"/>
      <c r="AE52" s="135"/>
      <c r="AF52" s="135"/>
      <c r="AG52" s="136"/>
      <c r="AH52" s="136"/>
      <c r="AI52" s="135"/>
      <c r="AJ52" s="135"/>
      <c r="BA52" s="125">
        <v>5</v>
      </c>
      <c r="BB52" s="125">
        <v>5</v>
      </c>
      <c r="BC52" s="125">
        <v>5</v>
      </c>
      <c r="BD52" s="125">
        <v>5</v>
      </c>
      <c r="BE52" s="125">
        <v>5</v>
      </c>
      <c r="BF52" s="126"/>
      <c r="BG52" s="127"/>
      <c r="BH52" s="46"/>
      <c r="BI52" s="139">
        <f>SUMIF($D$7:$BG$7,"1",$D52:$BG52)</f>
        <v>5</v>
      </c>
      <c r="BJ52" s="140">
        <f>SUMIFS($D$9:$BG$9,$D$7:$BG$7,"1",$D52:$BG52,"&gt;"&amp;-1)</f>
        <v>10</v>
      </c>
      <c r="BK52" s="141">
        <f t="shared" si="0"/>
        <v>50</v>
      </c>
      <c r="BL52" s="142">
        <f>SUMIF($D$7:$BG$7,"2",$D52:$BG52)</f>
        <v>19</v>
      </c>
      <c r="BM52" s="140">
        <f>SUMIFS($D$9:$BG$9,$D$7:$BG$7,"2",$D52:$BG52,"&gt;"&amp;-1)</f>
        <v>28</v>
      </c>
      <c r="BN52" s="141">
        <f t="shared" si="1"/>
        <v>67.86</v>
      </c>
      <c r="BO52" s="142">
        <f>SUMIF($D$7:$BG$7,"3",$D52:$BG52)</f>
        <v>12</v>
      </c>
      <c r="BP52" s="140">
        <f>SUMIFS($D$9:$BG$9,$D$7:$BG$7,"3",$D52:$BG52,"&gt;"&amp;-1)</f>
        <v>25</v>
      </c>
      <c r="BQ52" s="141">
        <f t="shared" si="2"/>
        <v>48</v>
      </c>
      <c r="BR52" s="142">
        <f>SUMIF($D$7:$BG$7,"4",$D52:$BG52)</f>
        <v>10</v>
      </c>
      <c r="BS52" s="140">
        <f>SUMIFS($D$9:$BG$9,$D$7:$BG$7,"4",$D52:$BG52,"&gt;"&amp;-1)</f>
        <v>15</v>
      </c>
      <c r="BT52" s="141">
        <f t="shared" si="3"/>
        <v>66.67</v>
      </c>
      <c r="BU52" s="142">
        <f>SUMIF($D$7:$BG$7,"5",$D52:$BG52)</f>
        <v>7</v>
      </c>
      <c r="BV52" s="140">
        <f>SUMIFS($D$9:$BG$9,$D$7:$BG$7,"5",$D52:$BG52,"&gt;"&amp;-1)</f>
        <v>15</v>
      </c>
      <c r="BW52" s="141">
        <f t="shared" si="4"/>
        <v>46.669999999999995</v>
      </c>
      <c r="BX52" s="142">
        <f>SUMIF($D$7:$BG$7,"6",$D52:$BG52)</f>
        <v>0</v>
      </c>
      <c r="BY52" s="140">
        <f>SUMIFS($D$9:$BG$9,$D$7:$BG$7,"6",$D52:$BG52,"&gt;"&amp;-1)</f>
        <v>0</v>
      </c>
      <c r="BZ52" s="141">
        <f t="shared" si="5"/>
        <v>0</v>
      </c>
    </row>
    <row r="53" ht="15.75" customHeight="1" spans="1:78" x14ac:dyDescent="0.25">
      <c r="A53" s="147" t="s">
        <v>111</v>
      </c>
      <c r="B53" s="146"/>
      <c r="C53" s="117"/>
      <c r="D53" s="132">
        <v>5</v>
      </c>
      <c r="E53" s="133"/>
      <c r="F53" s="134">
        <v>5</v>
      </c>
      <c r="G53" s="134"/>
      <c r="H53" s="135">
        <v>5</v>
      </c>
      <c r="I53" s="135"/>
      <c r="J53" s="136">
        <v>2.5</v>
      </c>
      <c r="K53" s="137">
        <v>2.5</v>
      </c>
      <c r="L53" s="134">
        <v>1</v>
      </c>
      <c r="M53" s="134">
        <v>3</v>
      </c>
      <c r="N53" s="135"/>
      <c r="O53" s="135"/>
      <c r="P53" s="136">
        <v>1</v>
      </c>
      <c r="Q53" s="136">
        <v>3</v>
      </c>
      <c r="R53" s="135"/>
      <c r="S53" s="135"/>
      <c r="T53" s="138"/>
      <c r="U53" s="132">
        <v>5</v>
      </c>
      <c r="V53" s="133"/>
      <c r="W53" s="134">
        <v>3</v>
      </c>
      <c r="X53" s="134">
        <v>2</v>
      </c>
      <c r="Y53" s="135"/>
      <c r="Z53" s="135"/>
      <c r="AA53" s="136">
        <v>5</v>
      </c>
      <c r="AB53" s="137"/>
      <c r="AC53" s="134">
        <v>4</v>
      </c>
      <c r="AD53" s="134"/>
      <c r="AE53" s="135">
        <v>5</v>
      </c>
      <c r="AF53" s="135"/>
      <c r="AG53" s="136"/>
      <c r="AH53" s="136"/>
      <c r="AI53" s="135"/>
      <c r="AJ53" s="135"/>
      <c r="BA53" s="125">
        <v>10</v>
      </c>
      <c r="BB53" s="125">
        <v>10</v>
      </c>
      <c r="BC53" s="125">
        <v>10</v>
      </c>
      <c r="BD53" s="125">
        <v>10</v>
      </c>
      <c r="BE53" s="125">
        <v>10</v>
      </c>
      <c r="BF53" s="126"/>
      <c r="BG53" s="127"/>
      <c r="BH53" s="46"/>
      <c r="BI53" s="139">
        <f>SUMIF($D$7:$BG$7,"1",$D53:$BG53)</f>
        <v>15</v>
      </c>
      <c r="BJ53" s="140">
        <f>SUMIFS($D$9:$BG$9,$D$7:$BG$7,"1",$D53:$BG53,"&gt;"&amp;-1)</f>
        <v>15</v>
      </c>
      <c r="BK53" s="141">
        <f t="shared" si="0"/>
        <v>100</v>
      </c>
      <c r="BL53" s="142">
        <f>SUMIF($D$7:$BG$7,"2",$D53:$BG53)</f>
        <v>29</v>
      </c>
      <c r="BM53" s="140">
        <f>SUMIFS($D$9:$BG$9,$D$7:$BG$7,"2",$D53:$BG53,"&gt;"&amp;-1)</f>
        <v>30</v>
      </c>
      <c r="BN53" s="141">
        <f t="shared" si="1"/>
        <v>96.67</v>
      </c>
      <c r="BO53" s="142">
        <f>SUMIF($D$7:$BG$7,"3",$D53:$BG53)</f>
        <v>29</v>
      </c>
      <c r="BP53" s="140">
        <f>SUMIFS($D$9:$BG$9,$D$7:$BG$7,"3",$D53:$BG53,"&gt;"&amp;-1)</f>
        <v>30</v>
      </c>
      <c r="BQ53" s="141">
        <f t="shared" si="2"/>
        <v>96.67</v>
      </c>
      <c r="BR53" s="142">
        <f>SUMIF($D$7:$BG$7,"4",$D53:$BG53)</f>
        <v>15</v>
      </c>
      <c r="BS53" s="140">
        <f>SUMIFS($D$9:$BG$9,$D$7:$BG$7,"4",$D53:$BG53,"&gt;"&amp;-1)</f>
        <v>15</v>
      </c>
      <c r="BT53" s="141">
        <f t="shared" si="3"/>
        <v>100</v>
      </c>
      <c r="BU53" s="142">
        <f>SUMIF($D$7:$BG$7,"5",$D53:$BG53)</f>
        <v>14</v>
      </c>
      <c r="BV53" s="140">
        <f>SUMIFS($D$9:$BG$9,$D$7:$BG$7,"5",$D53:$BG53,"&gt;"&amp;-1)</f>
        <v>20</v>
      </c>
      <c r="BW53" s="141">
        <f t="shared" si="4"/>
        <v>70</v>
      </c>
      <c r="BX53" s="142">
        <f>SUMIF($D$7:$BG$7,"6",$D53:$BG53)</f>
        <v>0</v>
      </c>
      <c r="BY53" s="140">
        <f>SUMIFS($D$9:$BG$9,$D$7:$BG$7,"6",$D53:$BG53,"&gt;"&amp;-1)</f>
        <v>0</v>
      </c>
      <c r="BZ53" s="141">
        <f t="shared" si="5"/>
        <v>0</v>
      </c>
    </row>
    <row r="54" ht="15.75" customHeight="1" spans="1:78" x14ac:dyDescent="0.25">
      <c r="A54" s="147" t="s">
        <v>112</v>
      </c>
      <c r="B54" s="146"/>
      <c r="C54" s="117"/>
      <c r="D54" s="132">
        <v>5</v>
      </c>
      <c r="E54" s="133"/>
      <c r="F54" s="134"/>
      <c r="G54" s="134"/>
      <c r="H54" s="135"/>
      <c r="I54" s="135"/>
      <c r="J54" s="136">
        <v>1</v>
      </c>
      <c r="K54" s="137">
        <v>0</v>
      </c>
      <c r="L54" s="134"/>
      <c r="M54" s="134">
        <v>2</v>
      </c>
      <c r="N54" s="135"/>
      <c r="O54" s="135"/>
      <c r="P54" s="136"/>
      <c r="Q54" s="136">
        <v>2</v>
      </c>
      <c r="R54" s="135"/>
      <c r="S54" s="135"/>
      <c r="T54" s="138"/>
      <c r="U54" s="132">
        <v>5</v>
      </c>
      <c r="V54" s="133"/>
      <c r="W54" s="134">
        <v>3</v>
      </c>
      <c r="X54" s="134">
        <v>2</v>
      </c>
      <c r="Y54" s="135">
        <v>1</v>
      </c>
      <c r="Z54" s="135"/>
      <c r="AA54" s="136">
        <v>2</v>
      </c>
      <c r="AB54" s="137"/>
      <c r="AC54" s="134"/>
      <c r="AD54" s="134"/>
      <c r="AE54" s="135"/>
      <c r="AF54" s="135"/>
      <c r="AG54" s="136"/>
      <c r="AH54" s="136"/>
      <c r="AI54" s="135"/>
      <c r="AJ54" s="135"/>
      <c r="BA54" s="125">
        <v>5</v>
      </c>
      <c r="BB54" s="125">
        <v>5</v>
      </c>
      <c r="BC54" s="125">
        <v>5</v>
      </c>
      <c r="BD54" s="125">
        <v>5</v>
      </c>
      <c r="BE54" s="125">
        <v>5</v>
      </c>
      <c r="BF54" s="126"/>
      <c r="BG54" s="127"/>
      <c r="BH54" s="46"/>
      <c r="BI54" s="139">
        <f>SUMIF($D$7:$BG$7,"1",$D54:$BG54)</f>
        <v>6</v>
      </c>
      <c r="BJ54" s="140">
        <f>SUMIFS($D$9:$BG$9,$D$7:$BG$7,"1",$D54:$BG54,"&gt;"&amp;-1)</f>
        <v>15</v>
      </c>
      <c r="BK54" s="141">
        <f t="shared" si="0"/>
        <v>40</v>
      </c>
      <c r="BL54" s="142">
        <f>SUMIF($D$7:$BG$7,"2",$D54:$BG54)</f>
        <v>17</v>
      </c>
      <c r="BM54" s="140">
        <f>SUMIFS($D$9:$BG$9,$D$7:$BG$7,"2",$D54:$BG54,"&gt;"&amp;-1)</f>
        <v>22</v>
      </c>
      <c r="BN54" s="141">
        <f t="shared" si="1"/>
        <v>77.28</v>
      </c>
      <c r="BO54" s="142">
        <f>SUMIF($D$7:$BG$7,"3",$D54:$BG54)</f>
        <v>11</v>
      </c>
      <c r="BP54" s="140">
        <f>SUMIFS($D$9:$BG$9,$D$7:$BG$7,"3",$D54:$BG54,"&gt;"&amp;-1)</f>
        <v>20</v>
      </c>
      <c r="BQ54" s="141">
        <f t="shared" si="2"/>
        <v>55</v>
      </c>
      <c r="BR54" s="142">
        <f>SUMIF($D$7:$BG$7,"4",$D54:$BG54)</f>
        <v>7</v>
      </c>
      <c r="BS54" s="140">
        <f>SUMIFS($D$9:$BG$9,$D$7:$BG$7,"4",$D54:$BG54,"&gt;"&amp;-1)</f>
        <v>15</v>
      </c>
      <c r="BT54" s="141">
        <f t="shared" si="3"/>
        <v>46.669999999999995</v>
      </c>
      <c r="BU54" s="142">
        <f>SUMIF($D$7:$BG$7,"5",$D54:$BG54)</f>
        <v>7</v>
      </c>
      <c r="BV54" s="140">
        <f>SUMIFS($D$9:$BG$9,$D$7:$BG$7,"5",$D54:$BG54,"&gt;"&amp;-1)</f>
        <v>15</v>
      </c>
      <c r="BW54" s="141">
        <f t="shared" si="4"/>
        <v>46.669999999999995</v>
      </c>
      <c r="BX54" s="142">
        <f>SUMIF($D$7:$BG$7,"6",$D54:$BG54)</f>
        <v>0</v>
      </c>
      <c r="BY54" s="140">
        <f>SUMIFS($D$9:$BG$9,$D$7:$BG$7,"6",$D54:$BG54,"&gt;"&amp;-1)</f>
        <v>0</v>
      </c>
      <c r="BZ54" s="141">
        <f t="shared" si="5"/>
        <v>0</v>
      </c>
    </row>
    <row r="55" ht="15.75" customHeight="1" spans="1:78" x14ac:dyDescent="0.25">
      <c r="A55" s="147" t="s">
        <v>113</v>
      </c>
      <c r="B55" s="146"/>
      <c r="C55" s="117"/>
      <c r="D55" s="132">
        <v>1</v>
      </c>
      <c r="E55" s="133"/>
      <c r="F55" s="134"/>
      <c r="G55" s="134"/>
      <c r="H55" s="135"/>
      <c r="I55" s="135"/>
      <c r="J55" s="136"/>
      <c r="K55" s="137"/>
      <c r="L55" s="134"/>
      <c r="M55" s="134"/>
      <c r="N55" s="135"/>
      <c r="O55" s="135"/>
      <c r="P55" s="136"/>
      <c r="Q55" s="136"/>
      <c r="R55" s="135"/>
      <c r="S55" s="135"/>
      <c r="T55" s="138"/>
      <c r="U55" s="132">
        <v>4</v>
      </c>
      <c r="V55" s="133"/>
      <c r="W55" s="134">
        <v>3</v>
      </c>
      <c r="X55" s="134">
        <v>2</v>
      </c>
      <c r="Y55" s="135">
        <v>2</v>
      </c>
      <c r="Z55" s="135"/>
      <c r="AA55" s="136">
        <v>3</v>
      </c>
      <c r="AB55" s="137"/>
      <c r="AC55" s="134"/>
      <c r="AD55" s="134"/>
      <c r="AE55" s="135"/>
      <c r="AF55" s="135"/>
      <c r="AG55" s="136"/>
      <c r="AH55" s="136"/>
      <c r="AI55" s="135"/>
      <c r="AJ55" s="135"/>
      <c r="BA55" s="125">
        <v>10</v>
      </c>
      <c r="BB55" s="125">
        <v>10</v>
      </c>
      <c r="BC55" s="125">
        <v>10</v>
      </c>
      <c r="BD55" s="125">
        <v>10</v>
      </c>
      <c r="BE55" s="125">
        <v>10</v>
      </c>
      <c r="BF55" s="126"/>
      <c r="BG55" s="127"/>
      <c r="BH55" s="46"/>
      <c r="BI55" s="139">
        <f>SUMIF($D$7:$BG$7,"1",$D55:$BG55)</f>
        <v>10</v>
      </c>
      <c r="BJ55" s="140">
        <f>SUMIFS($D$9:$BG$9,$D$7:$BG$7,"1",$D55:$BG55,"&gt;"&amp;-1)</f>
        <v>10</v>
      </c>
      <c r="BK55" s="141">
        <f t="shared" si="0"/>
        <v>100</v>
      </c>
      <c r="BL55" s="142">
        <f>SUMIF($D$7:$BG$7,"2",$D55:$BG55)</f>
        <v>16</v>
      </c>
      <c r="BM55" s="140">
        <f>SUMIFS($D$9:$BG$9,$D$7:$BG$7,"2",$D55:$BG55,"&gt;"&amp;-1)</f>
        <v>20</v>
      </c>
      <c r="BN55" s="141">
        <f t="shared" si="1"/>
        <v>80</v>
      </c>
      <c r="BO55" s="142">
        <f>SUMIF($D$7:$BG$7,"3",$D55:$BG55)</f>
        <v>16</v>
      </c>
      <c r="BP55" s="140">
        <f>SUMIFS($D$9:$BG$9,$D$7:$BG$7,"3",$D55:$BG55,"&gt;"&amp;-1)</f>
        <v>20</v>
      </c>
      <c r="BQ55" s="141">
        <f t="shared" si="2"/>
        <v>80</v>
      </c>
      <c r="BR55" s="142">
        <f>SUMIF($D$7:$BG$7,"4",$D55:$BG55)</f>
        <v>13</v>
      </c>
      <c r="BS55" s="140">
        <f>SUMIFS($D$9:$BG$9,$D$7:$BG$7,"4",$D55:$BG55,"&gt;"&amp;-1)</f>
        <v>15</v>
      </c>
      <c r="BT55" s="141">
        <f t="shared" si="3"/>
        <v>86.67</v>
      </c>
      <c r="BU55" s="142">
        <f>SUMIF($D$7:$BG$7,"5",$D55:$BG55)</f>
        <v>10</v>
      </c>
      <c r="BV55" s="140">
        <f>SUMIFS($D$9:$BG$9,$D$7:$BG$7,"5",$D55:$BG55,"&gt;"&amp;-1)</f>
        <v>10</v>
      </c>
      <c r="BW55" s="141">
        <f t="shared" si="4"/>
        <v>100</v>
      </c>
      <c r="BX55" s="142">
        <f>SUMIF($D$7:$BG$7,"6",$D55:$BG55)</f>
        <v>0</v>
      </c>
      <c r="BY55" s="140">
        <f>SUMIFS($D$9:$BG$9,$D$7:$BG$7,"6",$D55:$BG55,"&gt;"&amp;-1)</f>
        <v>0</v>
      </c>
      <c r="BZ55" s="141">
        <f t="shared" si="5"/>
        <v>0</v>
      </c>
    </row>
    <row r="56" ht="15.75" customHeight="1" spans="1:78" x14ac:dyDescent="0.25">
      <c r="A56" s="147" t="s">
        <v>114</v>
      </c>
      <c r="B56" s="146"/>
      <c r="C56" s="117"/>
      <c r="D56" s="132">
        <v>1</v>
      </c>
      <c r="E56" s="133"/>
      <c r="F56" s="134"/>
      <c r="G56" s="134"/>
      <c r="H56" s="135"/>
      <c r="I56" s="135"/>
      <c r="J56" s="136"/>
      <c r="K56" s="137"/>
      <c r="L56" s="134"/>
      <c r="M56" s="134"/>
      <c r="N56" s="135"/>
      <c r="O56" s="135"/>
      <c r="P56" s="136"/>
      <c r="Q56" s="136"/>
      <c r="R56" s="135"/>
      <c r="S56" s="135"/>
      <c r="T56" s="138"/>
      <c r="U56" s="132">
        <v>3</v>
      </c>
      <c r="V56" s="133"/>
      <c r="W56" s="134">
        <v>3</v>
      </c>
      <c r="X56" s="134"/>
      <c r="Y56" s="135"/>
      <c r="Z56" s="135"/>
      <c r="AA56" s="136">
        <v>3</v>
      </c>
      <c r="AB56" s="137"/>
      <c r="AC56" s="134">
        <v>2</v>
      </c>
      <c r="AD56" s="134"/>
      <c r="AE56" s="135"/>
      <c r="AF56" s="135"/>
      <c r="AG56" s="136"/>
      <c r="AH56" s="136"/>
      <c r="AI56" s="135"/>
      <c r="AJ56" s="135"/>
      <c r="BA56" s="125">
        <v>5</v>
      </c>
      <c r="BB56" s="125">
        <v>5</v>
      </c>
      <c r="BC56" s="125">
        <v>5</v>
      </c>
      <c r="BD56" s="125">
        <v>5</v>
      </c>
      <c r="BE56" s="125">
        <v>5</v>
      </c>
      <c r="BF56" s="126"/>
      <c r="BG56" s="127"/>
      <c r="BH56" s="46"/>
      <c r="BI56" s="139">
        <f>SUMIF($D$7:$BG$7,"1",$D56:$BG56)</f>
        <v>5</v>
      </c>
      <c r="BJ56" s="140">
        <f>SUMIFS($D$9:$BG$9,$D$7:$BG$7,"1",$D56:$BG56,"&gt;"&amp;-1)</f>
        <v>10</v>
      </c>
      <c r="BK56" s="141">
        <f t="shared" si="0"/>
        <v>50</v>
      </c>
      <c r="BL56" s="142">
        <f>SUMIF($D$7:$BG$7,"2",$D56:$BG56)</f>
        <v>9</v>
      </c>
      <c r="BM56" s="140">
        <f>SUMIFS($D$9:$BG$9,$D$7:$BG$7,"2",$D56:$BG56,"&gt;"&amp;-1)</f>
        <v>18</v>
      </c>
      <c r="BN56" s="141">
        <f t="shared" si="1"/>
        <v>50</v>
      </c>
      <c r="BO56" s="142">
        <f>SUMIF($D$7:$BG$7,"3",$D56:$BG56)</f>
        <v>10</v>
      </c>
      <c r="BP56" s="140">
        <f>SUMIFS($D$9:$BG$9,$D$7:$BG$7,"3",$D56:$BG56,"&gt;"&amp;-1)</f>
        <v>20</v>
      </c>
      <c r="BQ56" s="141">
        <f t="shared" si="2"/>
        <v>50</v>
      </c>
      <c r="BR56" s="142">
        <f>SUMIF($D$7:$BG$7,"4",$D56:$BG56)</f>
        <v>8</v>
      </c>
      <c r="BS56" s="140">
        <f>SUMIFS($D$9:$BG$9,$D$7:$BG$7,"4",$D56:$BG56,"&gt;"&amp;-1)</f>
        <v>15</v>
      </c>
      <c r="BT56" s="141">
        <f t="shared" si="3"/>
        <v>53.339999999999996</v>
      </c>
      <c r="BU56" s="142">
        <f>SUMIF($D$7:$BG$7,"5",$D56:$BG56)</f>
        <v>5</v>
      </c>
      <c r="BV56" s="140">
        <f>SUMIFS($D$9:$BG$9,$D$7:$BG$7,"5",$D56:$BG56,"&gt;"&amp;-1)</f>
        <v>10</v>
      </c>
      <c r="BW56" s="141">
        <f t="shared" si="4"/>
        <v>50</v>
      </c>
      <c r="BX56" s="142">
        <f>SUMIF($D$7:$BG$7,"6",$D56:$BG56)</f>
        <v>0</v>
      </c>
      <c r="BY56" s="140">
        <f>SUMIFS($D$9:$BG$9,$D$7:$BG$7,"6",$D56:$BG56,"&gt;"&amp;-1)</f>
        <v>0</v>
      </c>
      <c r="BZ56" s="141">
        <f t="shared" si="5"/>
        <v>0</v>
      </c>
    </row>
    <row r="57" ht="15.75" customHeight="1" spans="1:78" x14ac:dyDescent="0.25">
      <c r="A57" s="148" t="s">
        <v>115</v>
      </c>
      <c r="B57" s="148"/>
      <c r="C57" s="117"/>
      <c r="D57" s="132">
        <v>4</v>
      </c>
      <c r="E57" s="133"/>
      <c r="F57" s="134"/>
      <c r="G57" s="134"/>
      <c r="H57" s="135"/>
      <c r="I57" s="135"/>
      <c r="J57" s="136"/>
      <c r="K57" s="137"/>
      <c r="L57" s="134"/>
      <c r="M57" s="134">
        <v>2</v>
      </c>
      <c r="N57" s="135">
        <v>1</v>
      </c>
      <c r="O57" s="135"/>
      <c r="P57" s="136"/>
      <c r="Q57" s="136">
        <v>2</v>
      </c>
      <c r="R57" s="135"/>
      <c r="S57" s="135"/>
      <c r="T57" s="138"/>
      <c r="U57" s="132">
        <v>5</v>
      </c>
      <c r="V57" s="133"/>
      <c r="W57" s="134">
        <v>2</v>
      </c>
      <c r="X57" s="134">
        <v>2</v>
      </c>
      <c r="Y57" s="135">
        <v>2</v>
      </c>
      <c r="Z57" s="135"/>
      <c r="AA57" s="136"/>
      <c r="AB57" s="137"/>
      <c r="AC57" s="134"/>
      <c r="AD57" s="134"/>
      <c r="AE57" s="135"/>
      <c r="AF57" s="135"/>
      <c r="AG57" s="136"/>
      <c r="AH57" s="136"/>
      <c r="AI57" s="135"/>
      <c r="AJ57" s="135"/>
      <c r="BA57" s="125">
        <v>10</v>
      </c>
      <c r="BB57" s="125">
        <v>10</v>
      </c>
      <c r="BC57" s="125">
        <v>10</v>
      </c>
      <c r="BD57" s="125">
        <v>10</v>
      </c>
      <c r="BE57" s="125">
        <v>10</v>
      </c>
      <c r="BF57" s="126"/>
      <c r="BG57" s="127"/>
      <c r="BH57" s="46"/>
      <c r="BI57" s="139">
        <f>SUMIF($D$7:$BG$7,"1",$D57:$BG57)</f>
        <v>10</v>
      </c>
      <c r="BJ57" s="140">
        <f>SUMIFS($D$9:$BG$9,$D$7:$BG$7,"1",$D57:$BG57,"&gt;"&amp;-1)</f>
        <v>10</v>
      </c>
      <c r="BK57" s="141">
        <f t="shared" si="0"/>
        <v>100</v>
      </c>
      <c r="BL57" s="142">
        <f>SUMIF($D$7:$BG$7,"2",$D57:$BG57)</f>
        <v>20</v>
      </c>
      <c r="BM57" s="140">
        <f>SUMIFS($D$9:$BG$9,$D$7:$BG$7,"2",$D57:$BG57,"&gt;"&amp;-1)</f>
        <v>22</v>
      </c>
      <c r="BN57" s="141">
        <f t="shared" si="1"/>
        <v>90.91000000000001</v>
      </c>
      <c r="BO57" s="142">
        <f>SUMIF($D$7:$BG$7,"3",$D57:$BG57)</f>
        <v>18</v>
      </c>
      <c r="BP57" s="140">
        <f>SUMIFS($D$9:$BG$9,$D$7:$BG$7,"3",$D57:$BG57,"&gt;"&amp;-1)</f>
        <v>25</v>
      </c>
      <c r="BQ57" s="141">
        <f t="shared" si="2"/>
        <v>72</v>
      </c>
      <c r="BR57" s="142">
        <f>SUMIF($D$7:$BG$7,"4",$D57:$BG57)</f>
        <v>10</v>
      </c>
      <c r="BS57" s="140">
        <f>SUMIFS($D$9:$BG$9,$D$7:$BG$7,"4",$D57:$BG57,"&gt;"&amp;-1)</f>
        <v>10</v>
      </c>
      <c r="BT57" s="141">
        <f t="shared" si="3"/>
        <v>100</v>
      </c>
      <c r="BU57" s="142">
        <f>SUMIF($D$7:$BG$7,"5",$D57:$BG57)</f>
        <v>12</v>
      </c>
      <c r="BV57" s="140">
        <f>SUMIFS($D$9:$BG$9,$D$7:$BG$7,"5",$D57:$BG57,"&gt;"&amp;-1)</f>
        <v>15</v>
      </c>
      <c r="BW57" s="141">
        <f t="shared" si="4"/>
        <v>80</v>
      </c>
      <c r="BX57" s="142">
        <f>SUMIF($D$7:$BG$7,"6",$D57:$BG57)</f>
        <v>0</v>
      </c>
      <c r="BY57" s="140">
        <f>SUMIFS($D$9:$BG$9,$D$7:$BG$7,"6",$D57:$BG57,"&gt;"&amp;-1)</f>
        <v>0</v>
      </c>
      <c r="BZ57" s="141">
        <f t="shared" si="5"/>
        <v>0</v>
      </c>
    </row>
    <row r="58" ht="15.75" customHeight="1" spans="1:78" x14ac:dyDescent="0.25">
      <c r="A58" s="149" t="s">
        <v>116</v>
      </c>
      <c r="B58" s="147"/>
      <c r="C58" s="117"/>
      <c r="D58" s="132">
        <v>1</v>
      </c>
      <c r="E58" s="133"/>
      <c r="F58" s="134"/>
      <c r="G58" s="134"/>
      <c r="H58" s="135"/>
      <c r="I58" s="135"/>
      <c r="J58" s="136"/>
      <c r="K58" s="137"/>
      <c r="L58" s="134"/>
      <c r="M58" s="134"/>
      <c r="N58" s="135">
        <v>1</v>
      </c>
      <c r="O58" s="135"/>
      <c r="P58" s="136"/>
      <c r="Q58" s="136"/>
      <c r="R58" s="135"/>
      <c r="S58" s="135"/>
      <c r="T58" s="138"/>
      <c r="U58" s="132">
        <v>4</v>
      </c>
      <c r="V58" s="133"/>
      <c r="W58" s="134">
        <v>3</v>
      </c>
      <c r="X58" s="134"/>
      <c r="Y58" s="135"/>
      <c r="Z58" s="135"/>
      <c r="AA58" s="136"/>
      <c r="AB58" s="137"/>
      <c r="AC58" s="134">
        <v>1</v>
      </c>
      <c r="AD58" s="134"/>
      <c r="AE58" s="135"/>
      <c r="AF58" s="135"/>
      <c r="AG58" s="136"/>
      <c r="AH58" s="136"/>
      <c r="AI58" s="135"/>
      <c r="AJ58" s="135"/>
      <c r="BA58" s="125">
        <v>2.5</v>
      </c>
      <c r="BB58" s="125">
        <v>2.5</v>
      </c>
      <c r="BC58" s="125">
        <v>2.5</v>
      </c>
      <c r="BD58" s="125">
        <v>2.5</v>
      </c>
      <c r="BE58" s="125">
        <v>2.5</v>
      </c>
      <c r="BF58" s="126"/>
      <c r="BG58" s="127"/>
      <c r="BH58" s="46"/>
      <c r="BI58" s="139">
        <f>SUMIF($D$7:$BG$7,"1",$D58:$BG58)</f>
        <v>2.5</v>
      </c>
      <c r="BJ58" s="140">
        <f>SUMIFS($D$9:$BG$9,$D$7:$BG$7,"1",$D58:$BG58,"&gt;"&amp;-1)</f>
        <v>10</v>
      </c>
      <c r="BK58" s="141">
        <f t="shared" si="0"/>
        <v>25</v>
      </c>
      <c r="BL58" s="142">
        <f>SUMIF($D$7:$BG$7,"2",$D58:$BG58)</f>
        <v>6.5</v>
      </c>
      <c r="BM58" s="140">
        <f>SUMIFS($D$9:$BG$9,$D$7:$BG$7,"2",$D58:$BG58,"&gt;"&amp;-1)</f>
        <v>18</v>
      </c>
      <c r="BN58" s="141">
        <f t="shared" si="1"/>
        <v>36.12</v>
      </c>
      <c r="BO58" s="142">
        <f>SUMIF($D$7:$BG$7,"3",$D58:$BG58)</f>
        <v>8.5</v>
      </c>
      <c r="BP58" s="140">
        <f>SUMIFS($D$9:$BG$9,$D$7:$BG$7,"3",$D58:$BG58,"&gt;"&amp;-1)</f>
        <v>25</v>
      </c>
      <c r="BQ58" s="141">
        <f t="shared" si="2"/>
        <v>34</v>
      </c>
      <c r="BR58" s="142">
        <f>SUMIF($D$7:$BG$7,"4",$D58:$BG58)</f>
        <v>2.5</v>
      </c>
      <c r="BS58" s="140">
        <f>SUMIFS($D$9:$BG$9,$D$7:$BG$7,"4",$D58:$BG58,"&gt;"&amp;-1)</f>
        <v>10</v>
      </c>
      <c r="BT58" s="141">
        <f t="shared" si="3"/>
        <v>25</v>
      </c>
      <c r="BU58" s="142">
        <f>SUMIF($D$7:$BG$7,"5",$D58:$BG58)</f>
        <v>2.5</v>
      </c>
      <c r="BV58" s="140">
        <f>SUMIFS($D$9:$BG$9,$D$7:$BG$7,"5",$D58:$BG58,"&gt;"&amp;-1)</f>
        <v>10</v>
      </c>
      <c r="BW58" s="141">
        <f t="shared" si="4"/>
        <v>25</v>
      </c>
      <c r="BX58" s="142">
        <f>SUMIF($D$7:$BG$7,"6",$D58:$BG58)</f>
        <v>0</v>
      </c>
      <c r="BY58" s="140">
        <f>SUMIFS($D$9:$BG$9,$D$7:$BG$7,"6",$D58:$BG58,"&gt;"&amp;-1)</f>
        <v>0</v>
      </c>
      <c r="BZ58" s="141">
        <f t="shared" si="5"/>
        <v>0</v>
      </c>
    </row>
    <row r="59" ht="15.75" customHeight="1" spans="1:78" x14ac:dyDescent="0.25">
      <c r="A59" s="149" t="s">
        <v>117</v>
      </c>
      <c r="B59" s="147"/>
      <c r="C59" s="117"/>
      <c r="D59" s="132">
        <v>0</v>
      </c>
      <c r="E59" s="133"/>
      <c r="F59" s="134"/>
      <c r="G59" s="134"/>
      <c r="H59" s="135"/>
      <c r="I59" s="135"/>
      <c r="J59" s="136"/>
      <c r="K59" s="137"/>
      <c r="L59" s="134"/>
      <c r="M59" s="134"/>
      <c r="N59" s="135"/>
      <c r="O59" s="135"/>
      <c r="P59" s="136"/>
      <c r="Q59" s="136"/>
      <c r="R59" s="135"/>
      <c r="S59" s="135"/>
      <c r="T59" s="138"/>
      <c r="U59" s="132">
        <v>5</v>
      </c>
      <c r="V59" s="133"/>
      <c r="W59" s="134">
        <v>3</v>
      </c>
      <c r="X59" s="134">
        <v>2</v>
      </c>
      <c r="Y59" s="135">
        <v>2</v>
      </c>
      <c r="Z59" s="135"/>
      <c r="AA59" s="136"/>
      <c r="AB59" s="137"/>
      <c r="AC59" s="134">
        <v>3</v>
      </c>
      <c r="AD59" s="134"/>
      <c r="AE59" s="135"/>
      <c r="AF59" s="135"/>
      <c r="AG59" s="136"/>
      <c r="AH59" s="136"/>
      <c r="AI59" s="135"/>
      <c r="AJ59" s="135"/>
      <c r="BA59" s="125">
        <v>5</v>
      </c>
      <c r="BB59" s="125">
        <v>5</v>
      </c>
      <c r="BC59" s="125">
        <v>5</v>
      </c>
      <c r="BD59" s="125">
        <v>5</v>
      </c>
      <c r="BE59" s="125">
        <v>5</v>
      </c>
      <c r="BF59" s="126"/>
      <c r="BG59" s="127"/>
      <c r="BH59" s="46"/>
      <c r="BI59" s="139">
        <f>SUMIF($D$7:$BG$7,"1",$D59:$BG59)</f>
        <v>5</v>
      </c>
      <c r="BJ59" s="140">
        <f>SUMIFS($D$9:$BG$9,$D$7:$BG$7,"1",$D59:$BG59,"&gt;"&amp;-1)</f>
        <v>10</v>
      </c>
      <c r="BK59" s="141">
        <f t="shared" si="0"/>
        <v>50</v>
      </c>
      <c r="BL59" s="142">
        <f>SUMIF($D$7:$BG$7,"2",$D59:$BG59)</f>
        <v>10</v>
      </c>
      <c r="BM59" s="140">
        <f>SUMIFS($D$9:$BG$9,$D$7:$BG$7,"2",$D59:$BG59,"&gt;"&amp;-1)</f>
        <v>20</v>
      </c>
      <c r="BN59" s="141">
        <f t="shared" si="1"/>
        <v>50</v>
      </c>
      <c r="BO59" s="142">
        <f>SUMIF($D$7:$BG$7,"3",$D59:$BG59)</f>
        <v>15</v>
      </c>
      <c r="BP59" s="140">
        <f>SUMIFS($D$9:$BG$9,$D$7:$BG$7,"3",$D59:$BG59,"&gt;"&amp;-1)</f>
        <v>25</v>
      </c>
      <c r="BQ59" s="141">
        <f t="shared" si="2"/>
        <v>60</v>
      </c>
      <c r="BR59" s="142">
        <f>SUMIF($D$7:$BG$7,"4",$D59:$BG59)</f>
        <v>5</v>
      </c>
      <c r="BS59" s="140">
        <f>SUMIFS($D$9:$BG$9,$D$7:$BG$7,"4",$D59:$BG59,"&gt;"&amp;-1)</f>
        <v>10</v>
      </c>
      <c r="BT59" s="141">
        <f t="shared" si="3"/>
        <v>50</v>
      </c>
      <c r="BU59" s="142">
        <f>SUMIF($D$7:$BG$7,"5",$D59:$BG59)</f>
        <v>5</v>
      </c>
      <c r="BV59" s="140">
        <f>SUMIFS($D$9:$BG$9,$D$7:$BG$7,"5",$D59:$BG59,"&gt;"&amp;-1)</f>
        <v>10</v>
      </c>
      <c r="BW59" s="141">
        <f t="shared" si="4"/>
        <v>50</v>
      </c>
      <c r="BX59" s="142">
        <f>SUMIF($D$7:$BG$7,"6",$D59:$BG59)</f>
        <v>0</v>
      </c>
      <c r="BY59" s="140">
        <f>SUMIFS($D$9:$BG$9,$D$7:$BG$7,"6",$D59:$BG59,"&gt;"&amp;-1)</f>
        <v>0</v>
      </c>
      <c r="BZ59" s="141">
        <f t="shared" si="5"/>
        <v>0</v>
      </c>
    </row>
    <row r="60" ht="15.75" customHeight="1" spans="1:78" x14ac:dyDescent="0.25">
      <c r="A60" s="149" t="s">
        <v>118</v>
      </c>
      <c r="B60" s="147"/>
      <c r="C60" s="117"/>
      <c r="D60" s="132">
        <v>5</v>
      </c>
      <c r="E60" s="133"/>
      <c r="F60" s="134">
        <v>5</v>
      </c>
      <c r="G60" s="134"/>
      <c r="H60" s="135"/>
      <c r="I60" s="135"/>
      <c r="J60" s="136"/>
      <c r="K60" s="137"/>
      <c r="L60" s="134"/>
      <c r="M60" s="134"/>
      <c r="N60" s="135"/>
      <c r="O60" s="135"/>
      <c r="P60" s="136"/>
      <c r="Q60" s="136"/>
      <c r="R60" s="135"/>
      <c r="S60" s="135"/>
      <c r="T60" s="138"/>
      <c r="U60" s="132">
        <v>2</v>
      </c>
      <c r="V60" s="133"/>
      <c r="W60" s="134">
        <v>3</v>
      </c>
      <c r="X60" s="134">
        <v>2</v>
      </c>
      <c r="Y60" s="135">
        <v>2</v>
      </c>
      <c r="Z60" s="135"/>
      <c r="AA60" s="136"/>
      <c r="AB60" s="137"/>
      <c r="AC60" s="134"/>
      <c r="AD60" s="134"/>
      <c r="AE60" s="135"/>
      <c r="AF60" s="135"/>
      <c r="AG60" s="136"/>
      <c r="AH60" s="136"/>
      <c r="AI60" s="135"/>
      <c r="AJ60" s="135"/>
      <c r="BA60" s="125">
        <v>9</v>
      </c>
      <c r="BB60" s="125">
        <v>9</v>
      </c>
      <c r="BC60" s="125">
        <v>9</v>
      </c>
      <c r="BD60" s="125">
        <v>9</v>
      </c>
      <c r="BE60" s="125">
        <v>9</v>
      </c>
      <c r="BF60" s="126"/>
      <c r="BG60" s="127"/>
      <c r="BH60" s="46"/>
      <c r="BI60" s="139">
        <f>SUMIF($D$7:$BG$7,"1",$D60:$BG60)</f>
        <v>9</v>
      </c>
      <c r="BJ60" s="140">
        <f>SUMIFS($D$9:$BG$9,$D$7:$BG$7,"1",$D60:$BG60,"&gt;"&amp;-1)</f>
        <v>10</v>
      </c>
      <c r="BK60" s="141">
        <f t="shared" si="0"/>
        <v>90</v>
      </c>
      <c r="BL60" s="142">
        <f>SUMIF($D$7:$BG$7,"2",$D60:$BG60)</f>
        <v>19</v>
      </c>
      <c r="BM60" s="140">
        <f>SUMIFS($D$9:$BG$9,$D$7:$BG$7,"2",$D60:$BG60,"&gt;"&amp;-1)</f>
        <v>20</v>
      </c>
      <c r="BN60" s="141">
        <f t="shared" si="1"/>
        <v>95</v>
      </c>
      <c r="BO60" s="142">
        <f>SUMIF($D$7:$BG$7,"3",$D60:$BG60)</f>
        <v>18</v>
      </c>
      <c r="BP60" s="140">
        <f>SUMIFS($D$9:$BG$9,$D$7:$BG$7,"3",$D60:$BG60,"&gt;"&amp;-1)</f>
        <v>25</v>
      </c>
      <c r="BQ60" s="141">
        <f t="shared" si="2"/>
        <v>72</v>
      </c>
      <c r="BR60" s="142">
        <f>SUMIF($D$7:$BG$7,"4",$D60:$BG60)</f>
        <v>9</v>
      </c>
      <c r="BS60" s="140">
        <f>SUMIFS($D$9:$BG$9,$D$7:$BG$7,"4",$D60:$BG60,"&gt;"&amp;-1)</f>
        <v>10</v>
      </c>
      <c r="BT60" s="141">
        <f t="shared" si="3"/>
        <v>90</v>
      </c>
      <c r="BU60" s="142">
        <f>SUMIF($D$7:$BG$7,"5",$D60:$BG60)</f>
        <v>9</v>
      </c>
      <c r="BV60" s="140">
        <f>SUMIFS($D$9:$BG$9,$D$7:$BG$7,"5",$D60:$BG60,"&gt;"&amp;-1)</f>
        <v>10</v>
      </c>
      <c r="BW60" s="141">
        <f t="shared" si="4"/>
        <v>90</v>
      </c>
      <c r="BX60" s="142">
        <f>SUMIF($D$7:$BG$7,"6",$D60:$BG60)</f>
        <v>0</v>
      </c>
      <c r="BY60" s="140">
        <f>SUMIFS($D$9:$BG$9,$D$7:$BG$7,"6",$D60:$BG60,"&gt;"&amp;-1)</f>
        <v>0</v>
      </c>
      <c r="BZ60" s="141">
        <f t="shared" si="5"/>
        <v>0</v>
      </c>
    </row>
    <row r="61" ht="15.75" customHeight="1" spans="1:78" x14ac:dyDescent="0.25">
      <c r="A61" s="149" t="s">
        <v>119</v>
      </c>
      <c r="B61" s="147"/>
      <c r="C61" s="117"/>
      <c r="D61" s="132"/>
      <c r="E61" s="133"/>
      <c r="F61" s="134"/>
      <c r="G61" s="134"/>
      <c r="H61" s="135"/>
      <c r="I61" s="135"/>
      <c r="J61" s="136"/>
      <c r="K61" s="137"/>
      <c r="L61" s="134">
        <v>2</v>
      </c>
      <c r="M61" s="134">
        <v>1</v>
      </c>
      <c r="N61" s="135"/>
      <c r="O61" s="135"/>
      <c r="P61" s="136">
        <v>2</v>
      </c>
      <c r="Q61" s="136">
        <v>1</v>
      </c>
      <c r="R61" s="135"/>
      <c r="S61" s="135"/>
      <c r="T61" s="138"/>
      <c r="U61" s="132"/>
      <c r="V61" s="133"/>
      <c r="W61" s="134">
        <v>1</v>
      </c>
      <c r="X61" s="134">
        <v>2</v>
      </c>
      <c r="Y61" s="135"/>
      <c r="Z61" s="135"/>
      <c r="AA61" s="136"/>
      <c r="AB61" s="137"/>
      <c r="AC61" s="134"/>
      <c r="AD61" s="134"/>
      <c r="AE61" s="135"/>
      <c r="AF61" s="135"/>
      <c r="AG61" s="136"/>
      <c r="AH61" s="136"/>
      <c r="AI61" s="135"/>
      <c r="AJ61" s="135"/>
      <c r="BA61" s="125">
        <v>6.5</v>
      </c>
      <c r="BB61" s="125">
        <v>6.5</v>
      </c>
      <c r="BC61" s="125">
        <v>6.5</v>
      </c>
      <c r="BD61" s="125">
        <v>6.5</v>
      </c>
      <c r="BE61" s="125">
        <v>6.5</v>
      </c>
      <c r="BF61" s="126"/>
      <c r="BG61" s="127"/>
      <c r="BH61" s="46"/>
      <c r="BI61" s="139">
        <f>SUMIF($D$7:$BG$7,"1",$D61:$BG61)</f>
        <v>6.5</v>
      </c>
      <c r="BJ61" s="140">
        <f>SUMIFS($D$9:$BG$9,$D$7:$BG$7,"1",$D61:$BG61,"&gt;"&amp;-1)</f>
        <v>10</v>
      </c>
      <c r="BK61" s="141">
        <f t="shared" si="0"/>
        <v>65</v>
      </c>
      <c r="BL61" s="142">
        <f>SUMIF($D$7:$BG$7,"2",$D61:$BG61)</f>
        <v>12.5</v>
      </c>
      <c r="BM61" s="140">
        <f>SUMIFS($D$9:$BG$9,$D$7:$BG$7,"2",$D61:$BG61,"&gt;"&amp;-1)</f>
        <v>20</v>
      </c>
      <c r="BN61" s="141">
        <f t="shared" si="1"/>
        <v>62.5</v>
      </c>
      <c r="BO61" s="142">
        <f>SUMIF($D$7:$BG$7,"3",$D61:$BG61)</f>
        <v>6.5</v>
      </c>
      <c r="BP61" s="140">
        <f>SUMIFS($D$9:$BG$9,$D$7:$BG$7,"3",$D61:$BG61,"&gt;"&amp;-1)</f>
        <v>10</v>
      </c>
      <c r="BQ61" s="141">
        <f t="shared" si="2"/>
        <v>65</v>
      </c>
      <c r="BR61" s="142">
        <f>SUMIF($D$7:$BG$7,"4",$D61:$BG61)</f>
        <v>6.5</v>
      </c>
      <c r="BS61" s="140">
        <f>SUMIFS($D$9:$BG$9,$D$7:$BG$7,"4",$D61:$BG61,"&gt;"&amp;-1)</f>
        <v>10</v>
      </c>
      <c r="BT61" s="141">
        <f t="shared" si="3"/>
        <v>65</v>
      </c>
      <c r="BU61" s="142">
        <f>SUMIF($D$7:$BG$7,"5",$D61:$BG61)</f>
        <v>9.5</v>
      </c>
      <c r="BV61" s="140">
        <f>SUMIFS($D$9:$BG$9,$D$7:$BG$7,"5",$D61:$BG61,"&gt;"&amp;-1)</f>
        <v>20</v>
      </c>
      <c r="BW61" s="141">
        <f t="shared" si="4"/>
        <v>47.5</v>
      </c>
      <c r="BX61" s="142">
        <f>SUMIF($D$7:$BG$7,"6",$D61:$BG61)</f>
        <v>0</v>
      </c>
      <c r="BY61" s="140">
        <f>SUMIFS($D$9:$BG$9,$D$7:$BG$7,"6",$D61:$BG61,"&gt;"&amp;-1)</f>
        <v>0</v>
      </c>
      <c r="BZ61" s="141">
        <f t="shared" si="5"/>
        <v>0</v>
      </c>
    </row>
    <row r="62" ht="15.75" customHeight="1" spans="1:78" x14ac:dyDescent="0.25">
      <c r="A62" s="149" t="s">
        <v>120</v>
      </c>
      <c r="B62" s="147"/>
      <c r="C62" s="117"/>
      <c r="D62" s="132">
        <v>5</v>
      </c>
      <c r="E62" s="133"/>
      <c r="F62" s="134">
        <v>3</v>
      </c>
      <c r="G62" s="134"/>
      <c r="H62" s="135"/>
      <c r="I62" s="135"/>
      <c r="J62" s="136">
        <v>1</v>
      </c>
      <c r="K62" s="137"/>
      <c r="L62" s="134">
        <v>1</v>
      </c>
      <c r="M62" s="134">
        <v>3</v>
      </c>
      <c r="N62" s="135"/>
      <c r="O62" s="135"/>
      <c r="P62" s="136">
        <v>1</v>
      </c>
      <c r="Q62" s="136">
        <v>3</v>
      </c>
      <c r="R62" s="135"/>
      <c r="S62" s="135"/>
      <c r="T62" s="138"/>
      <c r="U62" s="132">
        <v>5</v>
      </c>
      <c r="V62" s="133"/>
      <c r="W62" s="134">
        <v>3</v>
      </c>
      <c r="X62" s="134">
        <v>2</v>
      </c>
      <c r="Y62" s="135"/>
      <c r="Z62" s="135"/>
      <c r="AA62" s="136"/>
      <c r="AB62" s="137"/>
      <c r="AC62" s="134">
        <v>3</v>
      </c>
      <c r="AD62" s="134"/>
      <c r="AE62" s="135"/>
      <c r="AF62" s="135"/>
      <c r="AG62" s="136"/>
      <c r="AH62" s="136"/>
      <c r="AI62" s="135"/>
      <c r="AJ62" s="135"/>
      <c r="BA62" s="125">
        <v>10</v>
      </c>
      <c r="BB62" s="125">
        <v>10</v>
      </c>
      <c r="BC62" s="125">
        <v>10</v>
      </c>
      <c r="BD62" s="125">
        <v>10</v>
      </c>
      <c r="BE62" s="125">
        <v>10</v>
      </c>
      <c r="BF62" s="126"/>
      <c r="BG62" s="127"/>
      <c r="BH62" s="46"/>
      <c r="BI62" s="139">
        <f>SUMIF($D$7:$BG$7,"1",$D62:$BG62)</f>
        <v>11</v>
      </c>
      <c r="BJ62" s="140">
        <f>SUMIFS($D$9:$BG$9,$D$7:$BG$7,"1",$D62:$BG62,"&gt;"&amp;-1)</f>
        <v>12.5</v>
      </c>
      <c r="BK62" s="141">
        <f t="shared" si="0"/>
        <v>88</v>
      </c>
      <c r="BL62" s="142">
        <f>SUMIF($D$7:$BG$7,"2",$D62:$BG62)</f>
        <v>24</v>
      </c>
      <c r="BM62" s="140">
        <f>SUMIFS($D$9:$BG$9,$D$7:$BG$7,"2",$D62:$BG62,"&gt;"&amp;-1)</f>
        <v>25</v>
      </c>
      <c r="BN62" s="141">
        <f t="shared" si="1"/>
        <v>96</v>
      </c>
      <c r="BO62" s="142">
        <f>SUMIF($D$7:$BG$7,"3",$D62:$BG62)</f>
        <v>21</v>
      </c>
      <c r="BP62" s="140">
        <f>SUMIFS($D$9:$BG$9,$D$7:$BG$7,"3",$D62:$BG62,"&gt;"&amp;-1)</f>
        <v>25</v>
      </c>
      <c r="BQ62" s="141">
        <f t="shared" si="2"/>
        <v>84</v>
      </c>
      <c r="BR62" s="142">
        <f>SUMIF($D$7:$BG$7,"4",$D62:$BG62)</f>
        <v>10</v>
      </c>
      <c r="BS62" s="140">
        <f>SUMIFS($D$9:$BG$9,$D$7:$BG$7,"4",$D62:$BG62,"&gt;"&amp;-1)</f>
        <v>10</v>
      </c>
      <c r="BT62" s="141">
        <f t="shared" si="3"/>
        <v>100</v>
      </c>
      <c r="BU62" s="142">
        <f>SUMIF($D$7:$BG$7,"5",$D62:$BG62)</f>
        <v>14</v>
      </c>
      <c r="BV62" s="140">
        <f>SUMIFS($D$9:$BG$9,$D$7:$BG$7,"5",$D62:$BG62,"&gt;"&amp;-1)</f>
        <v>20</v>
      </c>
      <c r="BW62" s="141">
        <f t="shared" si="4"/>
        <v>70</v>
      </c>
      <c r="BX62" s="142">
        <f>SUMIF($D$7:$BG$7,"6",$D62:$BG62)</f>
        <v>0</v>
      </c>
      <c r="BY62" s="140">
        <f>SUMIFS($D$9:$BG$9,$D$7:$BG$7,"6",$D62:$BG62,"&gt;"&amp;-1)</f>
        <v>0</v>
      </c>
      <c r="BZ62" s="141">
        <f t="shared" si="5"/>
        <v>0</v>
      </c>
    </row>
    <row r="63" ht="15.75" customHeight="1" spans="1:78" x14ac:dyDescent="0.25">
      <c r="A63" s="149" t="s">
        <v>121</v>
      </c>
      <c r="B63" s="147"/>
      <c r="C63" s="117"/>
      <c r="D63" s="132">
        <v>5</v>
      </c>
      <c r="E63" s="133"/>
      <c r="F63" s="134">
        <v>5</v>
      </c>
      <c r="G63" s="134"/>
      <c r="H63" s="135"/>
      <c r="I63" s="135"/>
      <c r="J63" s="136">
        <v>2.5</v>
      </c>
      <c r="K63" s="137">
        <v>2.5</v>
      </c>
      <c r="L63" s="134"/>
      <c r="M63" s="134">
        <v>2</v>
      </c>
      <c r="N63" s="135"/>
      <c r="O63" s="135"/>
      <c r="P63" s="136"/>
      <c r="Q63" s="136">
        <v>2</v>
      </c>
      <c r="R63" s="135"/>
      <c r="S63" s="135"/>
      <c r="T63" s="138"/>
      <c r="U63" s="132">
        <v>5</v>
      </c>
      <c r="V63" s="133"/>
      <c r="W63" s="134">
        <v>3</v>
      </c>
      <c r="X63" s="134">
        <v>2</v>
      </c>
      <c r="Y63" s="135">
        <v>4</v>
      </c>
      <c r="Z63" s="135"/>
      <c r="AA63" s="136">
        <v>3</v>
      </c>
      <c r="AB63" s="137"/>
      <c r="AC63" s="134"/>
      <c r="AD63" s="134"/>
      <c r="AE63" s="135"/>
      <c r="AF63" s="135"/>
      <c r="AG63" s="136"/>
      <c r="AH63" s="136"/>
      <c r="AI63" s="135"/>
      <c r="AJ63" s="135"/>
      <c r="BA63" s="125">
        <v>10</v>
      </c>
      <c r="BB63" s="125">
        <v>10</v>
      </c>
      <c r="BC63" s="125">
        <v>10</v>
      </c>
      <c r="BD63" s="125">
        <v>10</v>
      </c>
      <c r="BE63" s="125">
        <v>10</v>
      </c>
      <c r="BF63" s="126"/>
      <c r="BG63" s="127"/>
      <c r="BH63" s="46"/>
      <c r="BI63" s="139">
        <f>SUMIF($D$7:$BG$7,"1",$D63:$BG63)</f>
        <v>15</v>
      </c>
      <c r="BJ63" s="140">
        <f>SUMIFS($D$9:$BG$9,$D$7:$BG$7,"1",$D63:$BG63,"&gt;"&amp;-1)</f>
        <v>15</v>
      </c>
      <c r="BK63" s="141">
        <f t="shared" si="0"/>
        <v>100</v>
      </c>
      <c r="BL63" s="142">
        <f>SUMIF($D$7:$BG$7,"2",$D63:$BG63)</f>
        <v>22</v>
      </c>
      <c r="BM63" s="140">
        <f>SUMIFS($D$9:$BG$9,$D$7:$BG$7,"2",$D63:$BG63,"&gt;"&amp;-1)</f>
        <v>22</v>
      </c>
      <c r="BN63" s="141">
        <f t="shared" si="1"/>
        <v>100</v>
      </c>
      <c r="BO63" s="142">
        <f>SUMIF($D$7:$BG$7,"3",$D63:$BG63)</f>
        <v>24</v>
      </c>
      <c r="BP63" s="140">
        <f>SUMIFS($D$9:$BG$9,$D$7:$BG$7,"3",$D63:$BG63,"&gt;"&amp;-1)</f>
        <v>25</v>
      </c>
      <c r="BQ63" s="141">
        <f t="shared" si="2"/>
        <v>96</v>
      </c>
      <c r="BR63" s="142">
        <f>SUMIF($D$7:$BG$7,"4",$D63:$BG63)</f>
        <v>13</v>
      </c>
      <c r="BS63" s="140">
        <f>SUMIFS($D$9:$BG$9,$D$7:$BG$7,"4",$D63:$BG63,"&gt;"&amp;-1)</f>
        <v>15</v>
      </c>
      <c r="BT63" s="141">
        <f t="shared" si="3"/>
        <v>86.67</v>
      </c>
      <c r="BU63" s="142">
        <f>SUMIF($D$7:$BG$7,"5",$D63:$BG63)</f>
        <v>12</v>
      </c>
      <c r="BV63" s="140">
        <f>SUMIFS($D$9:$BG$9,$D$7:$BG$7,"5",$D63:$BG63,"&gt;"&amp;-1)</f>
        <v>15</v>
      </c>
      <c r="BW63" s="141">
        <f t="shared" si="4"/>
        <v>80</v>
      </c>
      <c r="BX63" s="142">
        <f>SUMIF($D$7:$BG$7,"6",$D63:$BG63)</f>
        <v>0</v>
      </c>
      <c r="BY63" s="140">
        <f>SUMIFS($D$9:$BG$9,$D$7:$BG$7,"6",$D63:$BG63,"&gt;"&amp;-1)</f>
        <v>0</v>
      </c>
      <c r="BZ63" s="141">
        <f t="shared" si="5"/>
        <v>0</v>
      </c>
    </row>
    <row r="64" ht="15.75" customHeight="1" spans="1:78" x14ac:dyDescent="0.25">
      <c r="A64" s="149" t="s">
        <v>122</v>
      </c>
      <c r="B64" s="147"/>
      <c r="C64" s="117"/>
      <c r="D64" s="132">
        <v>5</v>
      </c>
      <c r="E64" s="133"/>
      <c r="F64" s="134">
        <v>5</v>
      </c>
      <c r="G64" s="134"/>
      <c r="H64" s="135"/>
      <c r="I64" s="135"/>
      <c r="J64" s="136">
        <v>2.5</v>
      </c>
      <c r="K64" s="137">
        <v>2.5</v>
      </c>
      <c r="L64" s="134"/>
      <c r="M64" s="134"/>
      <c r="N64" s="135">
        <v>5</v>
      </c>
      <c r="O64" s="135"/>
      <c r="P64" s="136"/>
      <c r="Q64" s="136"/>
      <c r="R64" s="135"/>
      <c r="S64" s="135"/>
      <c r="T64" s="138"/>
      <c r="U64" s="132">
        <v>5</v>
      </c>
      <c r="V64" s="133"/>
      <c r="W64" s="134">
        <v>3</v>
      </c>
      <c r="X64" s="134">
        <v>2</v>
      </c>
      <c r="Y64" s="135">
        <v>5</v>
      </c>
      <c r="Z64" s="135"/>
      <c r="AA64" s="136">
        <v>5</v>
      </c>
      <c r="AB64" s="137"/>
      <c r="AC64" s="134">
        <v>5</v>
      </c>
      <c r="AD64" s="134"/>
      <c r="AE64" s="135">
        <v>5</v>
      </c>
      <c r="AF64" s="135"/>
      <c r="AG64" s="136"/>
      <c r="AH64" s="136"/>
      <c r="AI64" s="135"/>
      <c r="AJ64" s="135"/>
      <c r="BA64" s="125">
        <v>10</v>
      </c>
      <c r="BB64" s="125">
        <v>10</v>
      </c>
      <c r="BC64" s="125">
        <v>10</v>
      </c>
      <c r="BD64" s="125">
        <v>10</v>
      </c>
      <c r="BE64" s="125">
        <v>10</v>
      </c>
      <c r="BF64" s="126"/>
      <c r="BG64" s="127"/>
      <c r="BH64" s="46"/>
      <c r="BI64" s="139">
        <f>SUMIF($D$7:$BG$7,"1",$D64:$BG64)</f>
        <v>15</v>
      </c>
      <c r="BJ64" s="140">
        <f>SUMIFS($D$9:$BG$9,$D$7:$BG$7,"1",$D64:$BG64,"&gt;"&amp;-1)</f>
        <v>15</v>
      </c>
      <c r="BK64" s="141">
        <f t="shared" si="0"/>
        <v>100</v>
      </c>
      <c r="BL64" s="142">
        <f>SUMIF($D$7:$BG$7,"2",$D64:$BG64)</f>
        <v>20</v>
      </c>
      <c r="BM64" s="140">
        <f>SUMIFS($D$9:$BG$9,$D$7:$BG$7,"2",$D64:$BG64,"&gt;"&amp;-1)</f>
        <v>20</v>
      </c>
      <c r="BN64" s="141">
        <f t="shared" si="1"/>
        <v>100</v>
      </c>
      <c r="BO64" s="142">
        <f>SUMIF($D$7:$BG$7,"3",$D64:$BG64)</f>
        <v>40</v>
      </c>
      <c r="BP64" s="140">
        <f>SUMIFS($D$9:$BG$9,$D$7:$BG$7,"3",$D64:$BG64,"&gt;"&amp;-1)</f>
        <v>40</v>
      </c>
      <c r="BQ64" s="141">
        <f t="shared" si="2"/>
        <v>100</v>
      </c>
      <c r="BR64" s="142">
        <f>SUMIF($D$7:$BG$7,"4",$D64:$BG64)</f>
        <v>15</v>
      </c>
      <c r="BS64" s="140">
        <f>SUMIFS($D$9:$BG$9,$D$7:$BG$7,"4",$D64:$BG64,"&gt;"&amp;-1)</f>
        <v>15</v>
      </c>
      <c r="BT64" s="141">
        <f t="shared" si="3"/>
        <v>100</v>
      </c>
      <c r="BU64" s="142">
        <f>SUMIF($D$7:$BG$7,"5",$D64:$BG64)</f>
        <v>10</v>
      </c>
      <c r="BV64" s="140">
        <f>SUMIFS($D$9:$BG$9,$D$7:$BG$7,"5",$D64:$BG64,"&gt;"&amp;-1)</f>
        <v>10</v>
      </c>
      <c r="BW64" s="141">
        <f t="shared" si="4"/>
        <v>100</v>
      </c>
      <c r="BX64" s="142">
        <f>SUMIF($D$7:$BG$7,"6",$D64:$BG64)</f>
        <v>0</v>
      </c>
      <c r="BY64" s="140">
        <f>SUMIFS($D$9:$BG$9,$D$7:$BG$7,"6",$D64:$BG64,"&gt;"&amp;-1)</f>
        <v>0</v>
      </c>
      <c r="BZ64" s="141">
        <f t="shared" si="5"/>
        <v>0</v>
      </c>
    </row>
    <row r="65" ht="15.75" customHeight="1" spans="1:78" x14ac:dyDescent="0.25">
      <c r="A65" s="149" t="s">
        <v>123</v>
      </c>
      <c r="B65" s="147"/>
      <c r="C65" s="117"/>
      <c r="D65" s="132">
        <v>5</v>
      </c>
      <c r="E65" s="133"/>
      <c r="F65" s="134">
        <v>5</v>
      </c>
      <c r="G65" s="134"/>
      <c r="H65" s="135"/>
      <c r="I65" s="135"/>
      <c r="J65" s="136">
        <v>0</v>
      </c>
      <c r="K65" s="137">
        <v>2</v>
      </c>
      <c r="L65" s="134">
        <v>1</v>
      </c>
      <c r="M65" s="134">
        <v>3</v>
      </c>
      <c r="N65" s="135"/>
      <c r="O65" s="135"/>
      <c r="P65" s="136">
        <v>1</v>
      </c>
      <c r="Q65" s="136">
        <v>3</v>
      </c>
      <c r="R65" s="135"/>
      <c r="S65" s="135"/>
      <c r="T65" s="138"/>
      <c r="U65" s="132">
        <v>4</v>
      </c>
      <c r="V65" s="133"/>
      <c r="W65" s="134">
        <v>3</v>
      </c>
      <c r="X65" s="134">
        <v>2</v>
      </c>
      <c r="Y65" s="135"/>
      <c r="Z65" s="135"/>
      <c r="AA65" s="136">
        <v>4</v>
      </c>
      <c r="AB65" s="137"/>
      <c r="AC65" s="134">
        <v>4</v>
      </c>
      <c r="AD65" s="134"/>
      <c r="AE65" s="135"/>
      <c r="AF65" s="135"/>
      <c r="AG65" s="136"/>
      <c r="AH65" s="136"/>
      <c r="AI65" s="135"/>
      <c r="AJ65" s="135"/>
      <c r="BA65" s="125">
        <v>7</v>
      </c>
      <c r="BB65" s="125">
        <v>7</v>
      </c>
      <c r="BC65" s="125">
        <v>7</v>
      </c>
      <c r="BD65" s="125">
        <v>7</v>
      </c>
      <c r="BE65" s="125">
        <v>7</v>
      </c>
      <c r="BF65" s="126"/>
      <c r="BG65" s="127"/>
      <c r="BH65" s="46"/>
      <c r="BI65" s="139">
        <f>SUMIF($D$7:$BG$7,"1",$D65:$BG65)</f>
        <v>9</v>
      </c>
      <c r="BJ65" s="140">
        <f>SUMIFS($D$9:$BG$9,$D$7:$BG$7,"1",$D65:$BG65,"&gt;"&amp;-1)</f>
        <v>15</v>
      </c>
      <c r="BK65" s="141">
        <f t="shared" si="0"/>
        <v>60</v>
      </c>
      <c r="BL65" s="142">
        <f>SUMIF($D$7:$BG$7,"2",$D65:$BG65)</f>
        <v>21</v>
      </c>
      <c r="BM65" s="140">
        <f>SUMIFS($D$9:$BG$9,$D$7:$BG$7,"2",$D65:$BG65,"&gt;"&amp;-1)</f>
        <v>25</v>
      </c>
      <c r="BN65" s="141">
        <f t="shared" si="1"/>
        <v>84</v>
      </c>
      <c r="BO65" s="142">
        <f>SUMIF($D$7:$BG$7,"3",$D65:$BG65)</f>
        <v>20</v>
      </c>
      <c r="BP65" s="140">
        <f>SUMIFS($D$9:$BG$9,$D$7:$BG$7,"3",$D65:$BG65,"&gt;"&amp;-1)</f>
        <v>25</v>
      </c>
      <c r="BQ65" s="141">
        <f t="shared" si="2"/>
        <v>80</v>
      </c>
      <c r="BR65" s="142">
        <f>SUMIF($D$7:$BG$7,"4",$D65:$BG65)</f>
        <v>11</v>
      </c>
      <c r="BS65" s="140">
        <f>SUMIFS($D$9:$BG$9,$D$7:$BG$7,"4",$D65:$BG65,"&gt;"&amp;-1)</f>
        <v>15</v>
      </c>
      <c r="BT65" s="141">
        <f t="shared" si="3"/>
        <v>73.34</v>
      </c>
      <c r="BU65" s="142">
        <f>SUMIF($D$7:$BG$7,"5",$D65:$BG65)</f>
        <v>11</v>
      </c>
      <c r="BV65" s="140">
        <f>SUMIFS($D$9:$BG$9,$D$7:$BG$7,"5",$D65:$BG65,"&gt;"&amp;-1)</f>
        <v>20</v>
      </c>
      <c r="BW65" s="141">
        <f t="shared" si="4"/>
        <v>55</v>
      </c>
      <c r="BX65" s="142">
        <f>SUMIF($D$7:$BG$7,"6",$D65:$BG65)</f>
        <v>0</v>
      </c>
      <c r="BY65" s="140">
        <f>SUMIFS($D$9:$BG$9,$D$7:$BG$7,"6",$D65:$BG65,"&gt;"&amp;-1)</f>
        <v>0</v>
      </c>
      <c r="BZ65" s="141">
        <f t="shared" si="5"/>
        <v>0</v>
      </c>
    </row>
    <row r="66" ht="15.75" customHeight="1" spans="1:78" x14ac:dyDescent="0.25">
      <c r="A66" s="149" t="s">
        <v>124</v>
      </c>
      <c r="B66" s="147"/>
      <c r="C66" s="117"/>
      <c r="D66" s="132">
        <v>5</v>
      </c>
      <c r="E66" s="133"/>
      <c r="F66" s="134">
        <v>1</v>
      </c>
      <c r="G66" s="134"/>
      <c r="H66" s="135">
        <v>4</v>
      </c>
      <c r="I66" s="135"/>
      <c r="J66" s="136">
        <v>2.5</v>
      </c>
      <c r="K66" s="137">
        <v>2.5</v>
      </c>
      <c r="L66" s="134">
        <v>2</v>
      </c>
      <c r="M66" s="134">
        <v>2</v>
      </c>
      <c r="N66" s="135"/>
      <c r="O66" s="135"/>
      <c r="P66" s="136">
        <v>2</v>
      </c>
      <c r="Q66" s="136">
        <v>2</v>
      </c>
      <c r="R66" s="135"/>
      <c r="S66" s="135"/>
      <c r="T66" s="138"/>
      <c r="U66" s="132">
        <v>4</v>
      </c>
      <c r="V66" s="133"/>
      <c r="W66" s="134">
        <v>3</v>
      </c>
      <c r="X66" s="134">
        <v>2</v>
      </c>
      <c r="Y66" s="135">
        <v>2</v>
      </c>
      <c r="Z66" s="135"/>
      <c r="AA66" s="136">
        <v>3</v>
      </c>
      <c r="AB66" s="137"/>
      <c r="AC66" s="134">
        <v>5</v>
      </c>
      <c r="AD66" s="134"/>
      <c r="AE66" s="135">
        <v>3</v>
      </c>
      <c r="AF66" s="135"/>
      <c r="AG66" s="136"/>
      <c r="AH66" s="136"/>
      <c r="AI66" s="135"/>
      <c r="AJ66" s="135"/>
      <c r="BA66" s="125">
        <v>5</v>
      </c>
      <c r="BB66" s="125">
        <v>5</v>
      </c>
      <c r="BC66" s="125">
        <v>5</v>
      </c>
      <c r="BD66" s="125">
        <v>5</v>
      </c>
      <c r="BE66" s="125">
        <v>5</v>
      </c>
      <c r="BF66" s="126"/>
      <c r="BG66" s="127"/>
      <c r="BH66" s="46"/>
      <c r="BI66" s="139">
        <f>SUMIF($D$7:$BG$7,"1",$D66:$BG66)</f>
        <v>10</v>
      </c>
      <c r="BJ66" s="140">
        <f>SUMIFS($D$9:$BG$9,$D$7:$BG$7,"1",$D66:$BG66,"&gt;"&amp;-1)</f>
        <v>15</v>
      </c>
      <c r="BK66" s="141">
        <f t="shared" si="0"/>
        <v>66.67</v>
      </c>
      <c r="BL66" s="142">
        <f>SUMIF($D$7:$BG$7,"2",$D66:$BG66)</f>
        <v>23</v>
      </c>
      <c r="BM66" s="140">
        <f>SUMIFS($D$9:$BG$9,$D$7:$BG$7,"2",$D66:$BG66,"&gt;"&amp;-1)</f>
        <v>30</v>
      </c>
      <c r="BN66" s="141">
        <f t="shared" si="1"/>
        <v>76.67</v>
      </c>
      <c r="BO66" s="142">
        <f>SUMIF($D$7:$BG$7,"3",$D66:$BG66)</f>
        <v>20</v>
      </c>
      <c r="BP66" s="140">
        <f>SUMIFS($D$9:$BG$9,$D$7:$BG$7,"3",$D66:$BG66,"&gt;"&amp;-1)</f>
        <v>35</v>
      </c>
      <c r="BQ66" s="141">
        <f t="shared" si="2"/>
        <v>57.15</v>
      </c>
      <c r="BR66" s="142">
        <f>SUMIF($D$7:$BG$7,"4",$D66:$BG66)</f>
        <v>8</v>
      </c>
      <c r="BS66" s="140">
        <f>SUMIFS($D$9:$BG$9,$D$7:$BG$7,"4",$D66:$BG66,"&gt;"&amp;-1)</f>
        <v>15</v>
      </c>
      <c r="BT66" s="141">
        <f t="shared" si="3"/>
        <v>53.339999999999996</v>
      </c>
      <c r="BU66" s="142">
        <f>SUMIF($D$7:$BG$7,"5",$D66:$BG66)</f>
        <v>9</v>
      </c>
      <c r="BV66" s="140">
        <f>SUMIFS($D$9:$BG$9,$D$7:$BG$7,"5",$D66:$BG66,"&gt;"&amp;-1)</f>
        <v>20</v>
      </c>
      <c r="BW66" s="141">
        <f t="shared" si="4"/>
        <v>45</v>
      </c>
      <c r="BX66" s="142">
        <f>SUMIF($D$7:$BG$7,"6",$D66:$BG66)</f>
        <v>0</v>
      </c>
      <c r="BY66" s="140">
        <f>SUMIFS($D$9:$BG$9,$D$7:$BG$7,"6",$D66:$BG66,"&gt;"&amp;-1)</f>
        <v>0</v>
      </c>
      <c r="BZ66" s="141">
        <f t="shared" si="5"/>
        <v>0</v>
      </c>
    </row>
    <row r="67" ht="15.75" customHeight="1" spans="1:78" x14ac:dyDescent="0.25">
      <c r="A67" s="149" t="s">
        <v>125</v>
      </c>
      <c r="B67" s="147"/>
      <c r="C67" s="117"/>
      <c r="D67" s="132">
        <v>5</v>
      </c>
      <c r="E67" s="133"/>
      <c r="F67" s="134"/>
      <c r="G67" s="134"/>
      <c r="H67" s="135"/>
      <c r="I67" s="135"/>
      <c r="J67" s="136">
        <v>2.5</v>
      </c>
      <c r="K67" s="137">
        <v>2.5</v>
      </c>
      <c r="L67" s="134"/>
      <c r="M67" s="134"/>
      <c r="N67" s="135">
        <v>5</v>
      </c>
      <c r="O67" s="135"/>
      <c r="P67" s="136"/>
      <c r="Q67" s="136"/>
      <c r="R67" s="135"/>
      <c r="S67" s="135"/>
      <c r="T67" s="138"/>
      <c r="U67" s="132">
        <v>5</v>
      </c>
      <c r="V67" s="133"/>
      <c r="W67" s="134">
        <v>3</v>
      </c>
      <c r="X67" s="134">
        <v>2</v>
      </c>
      <c r="Y67" s="135">
        <v>3</v>
      </c>
      <c r="Z67" s="135"/>
      <c r="AA67" s="136">
        <v>5</v>
      </c>
      <c r="AB67" s="137"/>
      <c r="AC67" s="134">
        <v>3</v>
      </c>
      <c r="AD67" s="134"/>
      <c r="AE67" s="135"/>
      <c r="AF67" s="135"/>
      <c r="AG67" s="136"/>
      <c r="AH67" s="136"/>
      <c r="AI67" s="135"/>
      <c r="AJ67" s="135"/>
      <c r="BA67" s="125">
        <v>7</v>
      </c>
      <c r="BB67" s="125">
        <v>7</v>
      </c>
      <c r="BC67" s="125">
        <v>7</v>
      </c>
      <c r="BD67" s="125">
        <v>7</v>
      </c>
      <c r="BE67" s="125">
        <v>7</v>
      </c>
      <c r="BF67" s="126"/>
      <c r="BG67" s="127"/>
      <c r="BH67" s="46"/>
      <c r="BI67" s="139">
        <f>SUMIF($D$7:$BG$7,"1",$D67:$BG67)</f>
        <v>12</v>
      </c>
      <c r="BJ67" s="140">
        <f>SUMIFS($D$9:$BG$9,$D$7:$BG$7,"1",$D67:$BG67,"&gt;"&amp;-1)</f>
        <v>15</v>
      </c>
      <c r="BK67" s="141">
        <f t="shared" si="0"/>
        <v>80</v>
      </c>
      <c r="BL67" s="142">
        <f>SUMIF($D$7:$BG$7,"2",$D67:$BG67)</f>
        <v>17</v>
      </c>
      <c r="BM67" s="140">
        <f>SUMIFS($D$9:$BG$9,$D$7:$BG$7,"2",$D67:$BG67,"&gt;"&amp;-1)</f>
        <v>20</v>
      </c>
      <c r="BN67" s="141">
        <f t="shared" si="1"/>
        <v>85</v>
      </c>
      <c r="BO67" s="142">
        <f>SUMIF($D$7:$BG$7,"3",$D67:$BG67)</f>
        <v>23</v>
      </c>
      <c r="BP67" s="140">
        <f>SUMIFS($D$9:$BG$9,$D$7:$BG$7,"3",$D67:$BG67,"&gt;"&amp;-1)</f>
        <v>30</v>
      </c>
      <c r="BQ67" s="141">
        <f t="shared" si="2"/>
        <v>76.67</v>
      </c>
      <c r="BR67" s="142">
        <f>SUMIF($D$7:$BG$7,"4",$D67:$BG67)</f>
        <v>12</v>
      </c>
      <c r="BS67" s="140">
        <f>SUMIFS($D$9:$BG$9,$D$7:$BG$7,"4",$D67:$BG67,"&gt;"&amp;-1)</f>
        <v>15</v>
      </c>
      <c r="BT67" s="141">
        <f t="shared" si="3"/>
        <v>80</v>
      </c>
      <c r="BU67" s="142">
        <f>SUMIF($D$7:$BG$7,"5",$D67:$BG67)</f>
        <v>7</v>
      </c>
      <c r="BV67" s="140">
        <f>SUMIFS($D$9:$BG$9,$D$7:$BG$7,"5",$D67:$BG67,"&gt;"&amp;-1)</f>
        <v>10</v>
      </c>
      <c r="BW67" s="141">
        <f t="shared" si="4"/>
        <v>70</v>
      </c>
      <c r="BX67" s="142">
        <f>SUMIF($D$7:$BG$7,"6",$D67:$BG67)</f>
        <v>0</v>
      </c>
      <c r="BY67" s="140">
        <f>SUMIFS($D$9:$BG$9,$D$7:$BG$7,"6",$D67:$BG67,"&gt;"&amp;-1)</f>
        <v>0</v>
      </c>
      <c r="BZ67" s="141">
        <f t="shared" si="5"/>
        <v>0</v>
      </c>
    </row>
    <row r="68" ht="15.75" customHeight="1" spans="1:78" x14ac:dyDescent="0.25">
      <c r="A68" s="149" t="s">
        <v>126</v>
      </c>
      <c r="B68" s="147"/>
      <c r="C68" s="117"/>
      <c r="D68" s="132">
        <v>5</v>
      </c>
      <c r="E68" s="133"/>
      <c r="F68" s="134"/>
      <c r="G68" s="134"/>
      <c r="H68" s="135"/>
      <c r="I68" s="135"/>
      <c r="J68" s="136"/>
      <c r="K68" s="137"/>
      <c r="L68" s="134"/>
      <c r="M68" s="134"/>
      <c r="N68" s="135">
        <v>5</v>
      </c>
      <c r="O68" s="135"/>
      <c r="P68" s="136"/>
      <c r="Q68" s="136"/>
      <c r="R68" s="135"/>
      <c r="S68" s="135"/>
      <c r="T68" s="138"/>
      <c r="U68" s="132">
        <v>5</v>
      </c>
      <c r="V68" s="133"/>
      <c r="W68" s="134">
        <v>3</v>
      </c>
      <c r="X68" s="134">
        <v>2</v>
      </c>
      <c r="Y68" s="135"/>
      <c r="Z68" s="135"/>
      <c r="AA68" s="136">
        <v>2</v>
      </c>
      <c r="AB68" s="137"/>
      <c r="AC68" s="134"/>
      <c r="AD68" s="134"/>
      <c r="AE68" s="135"/>
      <c r="AF68" s="135"/>
      <c r="AG68" s="136"/>
      <c r="AH68" s="136"/>
      <c r="AI68" s="135"/>
      <c r="AJ68" s="135"/>
      <c r="BA68" s="125">
        <v>5</v>
      </c>
      <c r="BB68" s="125">
        <v>5</v>
      </c>
      <c r="BC68" s="125">
        <v>5</v>
      </c>
      <c r="BD68" s="125">
        <v>5</v>
      </c>
      <c r="BE68" s="125">
        <v>5</v>
      </c>
      <c r="BF68" s="126"/>
      <c r="BG68" s="127"/>
      <c r="BH68" s="46"/>
      <c r="BI68" s="139">
        <f>SUMIF($D$7:$BG$7,"1",$D68:$BG68)</f>
        <v>5</v>
      </c>
      <c r="BJ68" s="140">
        <f>SUMIFS($D$9:$BG$9,$D$7:$BG$7,"1",$D68:$BG68,"&gt;"&amp;-1)</f>
        <v>10</v>
      </c>
      <c r="BK68" s="141">
        <f t="shared" si="0"/>
        <v>50</v>
      </c>
      <c r="BL68" s="142">
        <f>SUMIF($D$7:$BG$7,"2",$D68:$BG68)</f>
        <v>15</v>
      </c>
      <c r="BM68" s="140">
        <f>SUMIFS($D$9:$BG$9,$D$7:$BG$7,"2",$D68:$BG68,"&gt;"&amp;-1)</f>
        <v>20</v>
      </c>
      <c r="BN68" s="141">
        <f t="shared" si="1"/>
        <v>75</v>
      </c>
      <c r="BO68" s="142">
        <f>SUMIF($D$7:$BG$7,"3",$D68:$BG68)</f>
        <v>15</v>
      </c>
      <c r="BP68" s="140">
        <f>SUMIFS($D$9:$BG$9,$D$7:$BG$7,"3",$D68:$BG68,"&gt;"&amp;-1)</f>
        <v>20</v>
      </c>
      <c r="BQ68" s="141">
        <f t="shared" si="2"/>
        <v>75</v>
      </c>
      <c r="BR68" s="142">
        <f>SUMIF($D$7:$BG$7,"4",$D68:$BG68)</f>
        <v>7</v>
      </c>
      <c r="BS68" s="140">
        <f>SUMIFS($D$9:$BG$9,$D$7:$BG$7,"4",$D68:$BG68,"&gt;"&amp;-1)</f>
        <v>15</v>
      </c>
      <c r="BT68" s="141">
        <f t="shared" si="3"/>
        <v>46.669999999999995</v>
      </c>
      <c r="BU68" s="142">
        <f>SUMIF($D$7:$BG$7,"5",$D68:$BG68)</f>
        <v>5</v>
      </c>
      <c r="BV68" s="140">
        <f>SUMIFS($D$9:$BG$9,$D$7:$BG$7,"5",$D68:$BG68,"&gt;"&amp;-1)</f>
        <v>10</v>
      </c>
      <c r="BW68" s="141">
        <f t="shared" si="4"/>
        <v>50</v>
      </c>
      <c r="BX68" s="142">
        <f>SUMIF($D$7:$BG$7,"6",$D68:$BG68)</f>
        <v>0</v>
      </c>
      <c r="BY68" s="140">
        <f>SUMIFS($D$9:$BG$9,$D$7:$BG$7,"6",$D68:$BG68,"&gt;"&amp;-1)</f>
        <v>0</v>
      </c>
      <c r="BZ68" s="141">
        <f t="shared" si="5"/>
        <v>0</v>
      </c>
    </row>
    <row r="69" ht="15.75" customHeight="1" spans="1:78" x14ac:dyDescent="0.25">
      <c r="A69" s="149" t="s">
        <v>127</v>
      </c>
      <c r="B69" s="147"/>
      <c r="C69" s="117"/>
      <c r="D69" s="132">
        <v>5</v>
      </c>
      <c r="E69" s="133"/>
      <c r="F69" s="134">
        <v>4</v>
      </c>
      <c r="G69" s="134"/>
      <c r="H69" s="135"/>
      <c r="I69" s="135"/>
      <c r="J69" s="136">
        <v>2</v>
      </c>
      <c r="K69" s="137"/>
      <c r="L69" s="134">
        <v>1</v>
      </c>
      <c r="M69" s="134">
        <v>2</v>
      </c>
      <c r="N69" s="135"/>
      <c r="O69" s="135"/>
      <c r="P69" s="136">
        <v>1</v>
      </c>
      <c r="Q69" s="136">
        <v>2</v>
      </c>
      <c r="R69" s="135"/>
      <c r="S69" s="135"/>
      <c r="T69" s="138"/>
      <c r="U69" s="132">
        <v>5</v>
      </c>
      <c r="V69" s="133"/>
      <c r="W69" s="134">
        <v>3</v>
      </c>
      <c r="X69" s="134">
        <v>2</v>
      </c>
      <c r="Y69" s="135">
        <v>2</v>
      </c>
      <c r="Z69" s="135"/>
      <c r="AA69" s="136"/>
      <c r="AB69" s="137"/>
      <c r="AC69" s="134">
        <v>3</v>
      </c>
      <c r="AD69" s="134"/>
      <c r="AE69" s="135"/>
      <c r="AF69" s="135"/>
      <c r="AG69" s="136"/>
      <c r="AH69" s="136"/>
      <c r="AI69" s="135"/>
      <c r="AJ69" s="135"/>
      <c r="BA69" s="125">
        <v>7</v>
      </c>
      <c r="BB69" s="125">
        <v>7</v>
      </c>
      <c r="BC69" s="125">
        <v>7</v>
      </c>
      <c r="BD69" s="125">
        <v>7</v>
      </c>
      <c r="BE69" s="125">
        <v>7</v>
      </c>
      <c r="BF69" s="126"/>
      <c r="BG69" s="127"/>
      <c r="BH69" s="46"/>
      <c r="BI69" s="139">
        <f>SUMIF($D$7:$BG$7,"1",$D69:$BG69)</f>
        <v>9</v>
      </c>
      <c r="BJ69" s="140">
        <f>SUMIFS($D$9:$BG$9,$D$7:$BG$7,"1",$D69:$BG69,"&gt;"&amp;-1)</f>
        <v>12.5</v>
      </c>
      <c r="BK69" s="141">
        <f t="shared" si="0"/>
        <v>72</v>
      </c>
      <c r="BL69" s="142">
        <f>SUMIF($D$7:$BG$7,"2",$D69:$BG69)</f>
        <v>20</v>
      </c>
      <c r="BM69" s="140">
        <f>SUMIFS($D$9:$BG$9,$D$7:$BG$7,"2",$D69:$BG69,"&gt;"&amp;-1)</f>
        <v>25</v>
      </c>
      <c r="BN69" s="141">
        <f t="shared" si="1"/>
        <v>80</v>
      </c>
      <c r="BO69" s="142">
        <f>SUMIF($D$7:$BG$7,"3",$D69:$BG69)</f>
        <v>21</v>
      </c>
      <c r="BP69" s="140">
        <f>SUMIFS($D$9:$BG$9,$D$7:$BG$7,"3",$D69:$BG69,"&gt;"&amp;-1)</f>
        <v>30</v>
      </c>
      <c r="BQ69" s="141">
        <f t="shared" si="2"/>
        <v>70</v>
      </c>
      <c r="BR69" s="142">
        <f>SUMIF($D$7:$BG$7,"4",$D69:$BG69)</f>
        <v>7</v>
      </c>
      <c r="BS69" s="140">
        <f>SUMIFS($D$9:$BG$9,$D$7:$BG$7,"4",$D69:$BG69,"&gt;"&amp;-1)</f>
        <v>10</v>
      </c>
      <c r="BT69" s="141">
        <f t="shared" si="3"/>
        <v>70</v>
      </c>
      <c r="BU69" s="142">
        <f>SUMIF($D$7:$BG$7,"5",$D69:$BG69)</f>
        <v>10</v>
      </c>
      <c r="BV69" s="140">
        <f>SUMIFS($D$9:$BG$9,$D$7:$BG$7,"5",$D69:$BG69,"&gt;"&amp;-1)</f>
        <v>20</v>
      </c>
      <c r="BW69" s="141">
        <f t="shared" si="4"/>
        <v>50</v>
      </c>
      <c r="BX69" s="142">
        <f>SUMIF($D$7:$BG$7,"6",$D69:$BG69)</f>
        <v>0</v>
      </c>
      <c r="BY69" s="140">
        <f>SUMIFS($D$9:$BG$9,$D$7:$BG$7,"6",$D69:$BG69,"&gt;"&amp;-1)</f>
        <v>0</v>
      </c>
      <c r="BZ69" s="141">
        <f t="shared" si="5"/>
        <v>0</v>
      </c>
    </row>
    <row r="70" ht="15.75" customHeight="1" spans="1:78" x14ac:dyDescent="0.25">
      <c r="A70" s="150" t="s">
        <v>128</v>
      </c>
      <c r="B70" s="150"/>
      <c r="C70" s="117"/>
      <c r="D70" s="132">
        <v>5</v>
      </c>
      <c r="E70" s="133"/>
      <c r="F70" s="134">
        <v>5</v>
      </c>
      <c r="G70" s="134"/>
      <c r="H70" s="135">
        <v>3</v>
      </c>
      <c r="I70" s="135"/>
      <c r="J70" s="136">
        <v>0</v>
      </c>
      <c r="K70" s="137">
        <v>0</v>
      </c>
      <c r="L70" s="134">
        <v>1</v>
      </c>
      <c r="M70" s="134">
        <v>2</v>
      </c>
      <c r="N70" s="135"/>
      <c r="O70" s="135"/>
      <c r="P70" s="136">
        <v>1</v>
      </c>
      <c r="Q70" s="136">
        <v>2</v>
      </c>
      <c r="R70" s="135"/>
      <c r="S70" s="135"/>
      <c r="T70" s="138"/>
      <c r="U70" s="132">
        <v>5</v>
      </c>
      <c r="V70" s="133"/>
      <c r="W70" s="134">
        <v>3</v>
      </c>
      <c r="X70" s="134">
        <v>2</v>
      </c>
      <c r="Y70" s="135">
        <v>1</v>
      </c>
      <c r="Z70" s="135"/>
      <c r="AA70" s="136"/>
      <c r="AB70" s="137"/>
      <c r="AC70" s="134">
        <v>4</v>
      </c>
      <c r="AD70" s="134"/>
      <c r="AE70" s="135"/>
      <c r="AF70" s="135"/>
      <c r="AG70" s="136"/>
      <c r="AH70" s="136"/>
      <c r="AI70" s="135"/>
      <c r="AJ70" s="135"/>
      <c r="BA70" s="125">
        <v>10</v>
      </c>
      <c r="BB70" s="125">
        <v>10</v>
      </c>
      <c r="BC70" s="125">
        <v>10</v>
      </c>
      <c r="BD70" s="125">
        <v>10</v>
      </c>
      <c r="BE70" s="125">
        <v>10</v>
      </c>
      <c r="BF70" s="126"/>
      <c r="BG70" s="127"/>
      <c r="BH70" s="46"/>
      <c r="BI70" s="139">
        <f>SUMIF($D$7:$BG$7,"1",$D70:$BG70)</f>
        <v>10</v>
      </c>
      <c r="BJ70" s="140">
        <f>SUMIFS($D$9:$BG$9,$D$7:$BG$7,"1",$D70:$BG70,"&gt;"&amp;-1)</f>
        <v>15</v>
      </c>
      <c r="BK70" s="141">
        <f t="shared" si="0"/>
        <v>66.67</v>
      </c>
      <c r="BL70" s="142">
        <f>SUMIF($D$7:$BG$7,"2",$D70:$BG70)</f>
        <v>26</v>
      </c>
      <c r="BM70" s="140">
        <f>SUMIFS($D$9:$BG$9,$D$7:$BG$7,"2",$D70:$BG70,"&gt;"&amp;-1)</f>
        <v>30</v>
      </c>
      <c r="BN70" s="141">
        <f t="shared" si="1"/>
        <v>86.67</v>
      </c>
      <c r="BO70" s="142">
        <f>SUMIF($D$7:$BG$7,"3",$D70:$BG70)</f>
        <v>25</v>
      </c>
      <c r="BP70" s="140">
        <f>SUMIFS($D$9:$BG$9,$D$7:$BG$7,"3",$D70:$BG70,"&gt;"&amp;-1)</f>
        <v>30</v>
      </c>
      <c r="BQ70" s="141">
        <f t="shared" si="2"/>
        <v>83.34</v>
      </c>
      <c r="BR70" s="142">
        <f>SUMIF($D$7:$BG$7,"4",$D70:$BG70)</f>
        <v>10</v>
      </c>
      <c r="BS70" s="140">
        <f>SUMIFS($D$9:$BG$9,$D$7:$BG$7,"4",$D70:$BG70,"&gt;"&amp;-1)</f>
        <v>10</v>
      </c>
      <c r="BT70" s="141">
        <f t="shared" si="3"/>
        <v>100</v>
      </c>
      <c r="BU70" s="142">
        <f>SUMIF($D$7:$BG$7,"5",$D70:$BG70)</f>
        <v>13</v>
      </c>
      <c r="BV70" s="140">
        <f>SUMIFS($D$9:$BG$9,$D$7:$BG$7,"5",$D70:$BG70,"&gt;"&amp;-1)</f>
        <v>20</v>
      </c>
      <c r="BW70" s="141">
        <f t="shared" si="4"/>
        <v>65</v>
      </c>
      <c r="BX70" s="142">
        <f>SUMIF($D$7:$BG$7,"6",$D70:$BG70)</f>
        <v>0</v>
      </c>
      <c r="BY70" s="140">
        <f>SUMIFS($D$9:$BG$9,$D$7:$BG$7,"6",$D70:$BG70,"&gt;"&amp;-1)</f>
        <v>0</v>
      </c>
      <c r="BZ70" s="141">
        <f t="shared" si="5"/>
        <v>0</v>
      </c>
    </row>
    <row r="71" ht="15.75" customHeight="1" spans="1:78" x14ac:dyDescent="0.25">
      <c r="A71" s="150" t="s">
        <v>129</v>
      </c>
      <c r="B71" s="150"/>
      <c r="C71" s="117"/>
      <c r="D71" s="132">
        <v>5</v>
      </c>
      <c r="E71" s="133"/>
      <c r="F71" s="134"/>
      <c r="G71" s="134"/>
      <c r="H71" s="135">
        <v>2</v>
      </c>
      <c r="I71" s="135"/>
      <c r="J71" s="136"/>
      <c r="K71" s="137"/>
      <c r="L71" s="134"/>
      <c r="M71" s="134"/>
      <c r="N71" s="135"/>
      <c r="O71" s="135"/>
      <c r="P71" s="136"/>
      <c r="Q71" s="136"/>
      <c r="R71" s="135"/>
      <c r="S71" s="135"/>
      <c r="T71" s="138"/>
      <c r="U71" s="132">
        <v>5</v>
      </c>
      <c r="V71" s="133"/>
      <c r="W71" s="134">
        <v>3</v>
      </c>
      <c r="X71" s="134">
        <v>2</v>
      </c>
      <c r="Y71" s="135">
        <v>5</v>
      </c>
      <c r="Z71" s="135"/>
      <c r="AA71" s="136">
        <v>4</v>
      </c>
      <c r="AB71" s="137"/>
      <c r="AC71" s="134">
        <v>2</v>
      </c>
      <c r="AD71" s="134">
        <v>2</v>
      </c>
      <c r="AE71" s="135"/>
      <c r="AF71" s="135"/>
      <c r="AG71" s="136"/>
      <c r="AH71" s="136"/>
      <c r="AI71" s="135"/>
      <c r="AJ71" s="135"/>
      <c r="BA71" s="125">
        <v>10</v>
      </c>
      <c r="BB71" s="125">
        <v>10</v>
      </c>
      <c r="BC71" s="125">
        <v>10</v>
      </c>
      <c r="BD71" s="125">
        <v>10</v>
      </c>
      <c r="BE71" s="125">
        <v>10</v>
      </c>
      <c r="BF71" s="126"/>
      <c r="BG71" s="127"/>
      <c r="BH71" s="46"/>
      <c r="BI71" s="139">
        <f>SUMIF($D$7:$BG$7,"1",$D71:$BG71)</f>
        <v>10</v>
      </c>
      <c r="BJ71" s="140">
        <f>SUMIFS($D$9:$BG$9,$D$7:$BG$7,"1",$D71:$BG71,"&gt;"&amp;-1)</f>
        <v>10</v>
      </c>
      <c r="BK71" s="141">
        <f t="shared" si="0"/>
        <v>100</v>
      </c>
      <c r="BL71" s="142">
        <f>SUMIF($D$7:$BG$7,"2",$D71:$BG71)</f>
        <v>22</v>
      </c>
      <c r="BM71" s="140">
        <f>SUMIFS($D$9:$BG$9,$D$7:$BG$7,"2",$D71:$BG71,"&gt;"&amp;-1)</f>
        <v>25</v>
      </c>
      <c r="BN71" s="141">
        <f t="shared" si="1"/>
        <v>88</v>
      </c>
      <c r="BO71" s="142">
        <f>SUMIF($D$7:$BG$7,"3",$D71:$BG71)</f>
        <v>22</v>
      </c>
      <c r="BP71" s="140">
        <f>SUMIFS($D$9:$BG$9,$D$7:$BG$7,"3",$D71:$BG71,"&gt;"&amp;-1)</f>
        <v>25</v>
      </c>
      <c r="BQ71" s="141">
        <f t="shared" si="2"/>
        <v>88</v>
      </c>
      <c r="BR71" s="142">
        <f>SUMIF($D$7:$BG$7,"4",$D71:$BG71)</f>
        <v>14</v>
      </c>
      <c r="BS71" s="140">
        <f>SUMIFS($D$9:$BG$9,$D$7:$BG$7,"4",$D71:$BG71,"&gt;"&amp;-1)</f>
        <v>15</v>
      </c>
      <c r="BT71" s="141">
        <f t="shared" si="3"/>
        <v>93.34</v>
      </c>
      <c r="BU71" s="142">
        <f>SUMIF($D$7:$BG$7,"5",$D71:$BG71)</f>
        <v>10</v>
      </c>
      <c r="BV71" s="140">
        <f>SUMIFS($D$9:$BG$9,$D$7:$BG$7,"5",$D71:$BG71,"&gt;"&amp;-1)</f>
        <v>10</v>
      </c>
      <c r="BW71" s="141">
        <f t="shared" si="4"/>
        <v>100</v>
      </c>
      <c r="BX71" s="142">
        <f>SUMIF($D$7:$BG$7,"6",$D71:$BG71)</f>
        <v>0</v>
      </c>
      <c r="BY71" s="140">
        <f>SUMIFS($D$9:$BG$9,$D$7:$BG$7,"6",$D71:$BG71,"&gt;"&amp;-1)</f>
        <v>0</v>
      </c>
      <c r="BZ71" s="141">
        <f t="shared" si="5"/>
        <v>0</v>
      </c>
    </row>
    <row r="72" ht="15.75" customHeight="1" spans="1:78" x14ac:dyDescent="0.25">
      <c r="A72" s="150" t="s">
        <v>130</v>
      </c>
      <c r="B72" s="150"/>
      <c r="C72" s="117"/>
      <c r="D72" s="132">
        <v>2</v>
      </c>
      <c r="E72" s="133"/>
      <c r="F72" s="134"/>
      <c r="G72" s="134"/>
      <c r="H72" s="135"/>
      <c r="I72" s="135"/>
      <c r="J72" s="136"/>
      <c r="K72" s="137"/>
      <c r="L72" s="134"/>
      <c r="M72" s="134"/>
      <c r="N72" s="135"/>
      <c r="O72" s="135"/>
      <c r="P72" s="136"/>
      <c r="Q72" s="136"/>
      <c r="R72" s="135"/>
      <c r="S72" s="135"/>
      <c r="T72" s="138"/>
      <c r="U72" s="132">
        <v>4</v>
      </c>
      <c r="V72" s="133"/>
      <c r="W72" s="134">
        <v>3</v>
      </c>
      <c r="X72" s="134">
        <v>2</v>
      </c>
      <c r="Y72" s="135">
        <v>1</v>
      </c>
      <c r="Z72" s="135"/>
      <c r="AA72" s="136">
        <v>4</v>
      </c>
      <c r="AB72" s="137"/>
      <c r="AC72" s="134"/>
      <c r="AD72" s="134"/>
      <c r="AE72" s="135"/>
      <c r="AF72" s="135"/>
      <c r="AG72" s="136"/>
      <c r="AH72" s="136"/>
      <c r="AI72" s="135"/>
      <c r="AJ72" s="135"/>
      <c r="BA72" s="150">
        <v>5</v>
      </c>
      <c r="BB72" s="150">
        <v>5</v>
      </c>
      <c r="BC72" s="150">
        <v>5</v>
      </c>
      <c r="BD72" s="150">
        <v>5</v>
      </c>
      <c r="BE72" s="150">
        <v>5</v>
      </c>
      <c r="BF72" s="126"/>
      <c r="BG72" s="127"/>
      <c r="BH72" s="46"/>
      <c r="BI72" s="139">
        <f>SUMIF($D$7:$BG$7,"1",$D72:$BG72)</f>
        <v>5</v>
      </c>
      <c r="BJ72" s="140">
        <f>SUMIFS($D$9:$BG$9,$D$7:$BG$7,"1",$D72:$BG72,"&gt;"&amp;-1)</f>
        <v>10</v>
      </c>
      <c r="BK72" s="141">
        <f t="shared" si="0"/>
        <v>50</v>
      </c>
      <c r="BL72" s="142">
        <f>SUMIF($D$7:$BG$7,"2",$D72:$BG72)</f>
        <v>12</v>
      </c>
      <c r="BM72" s="140">
        <f>SUMIFS($D$9:$BG$9,$D$7:$BG$7,"2",$D72:$BG72,"&gt;"&amp;-1)</f>
        <v>20</v>
      </c>
      <c r="BN72" s="141">
        <f t="shared" si="1"/>
        <v>60</v>
      </c>
      <c r="BO72" s="142">
        <f>SUMIF($D$7:$BG$7,"3",$D72:$BG72)</f>
        <v>10</v>
      </c>
      <c r="BP72" s="140">
        <f>SUMIFS($D$9:$BG$9,$D$7:$BG$7,"3",$D72:$BG72,"&gt;"&amp;-1)</f>
        <v>20</v>
      </c>
      <c r="BQ72" s="141">
        <f t="shared" si="2"/>
        <v>50</v>
      </c>
      <c r="BR72" s="142">
        <f>SUMIF($D$7:$BG$7,"4",$D72:$BG72)</f>
        <v>9</v>
      </c>
      <c r="BS72" s="140">
        <f>SUMIFS($D$9:$BG$9,$D$7:$BG$7,"4",$D72:$BG72,"&gt;"&amp;-1)</f>
        <v>15</v>
      </c>
      <c r="BT72" s="141">
        <f t="shared" si="3"/>
        <v>60</v>
      </c>
      <c r="BU72" s="142">
        <f>SUMIF($D$7:$BG$7,"5",$D72:$BG72)</f>
        <v>5</v>
      </c>
      <c r="BV72" s="140">
        <f>SUMIFS($D$9:$BG$9,$D$7:$BG$7,"5",$D72:$BG72,"&gt;"&amp;-1)</f>
        <v>10</v>
      </c>
      <c r="BW72" s="141">
        <f t="shared" si="4"/>
        <v>50</v>
      </c>
      <c r="BX72" s="142">
        <f>SUMIF($D$7:$BG$7,"6",$D72:$BG72)</f>
        <v>0</v>
      </c>
      <c r="BY72" s="140">
        <f>SUMIFS($D$9:$BG$9,$D$7:$BG$7,"6",$D72:$BG72,"&gt;"&amp;-1)</f>
        <v>0</v>
      </c>
      <c r="BZ72" s="141">
        <f t="shared" si="5"/>
        <v>0</v>
      </c>
    </row>
    <row r="73" ht="15.75" customHeight="1" spans="1:78" x14ac:dyDescent="0.25">
      <c r="A73" s="150" t="s">
        <v>131</v>
      </c>
      <c r="B73" s="150"/>
      <c r="C73" s="117"/>
      <c r="D73" s="132">
        <v>5</v>
      </c>
      <c r="E73" s="133"/>
      <c r="F73" s="134">
        <v>5</v>
      </c>
      <c r="G73" s="134"/>
      <c r="H73" s="135">
        <v>5</v>
      </c>
      <c r="I73" s="135"/>
      <c r="J73" s="136">
        <v>0</v>
      </c>
      <c r="K73" s="137">
        <v>2</v>
      </c>
      <c r="L73" s="134"/>
      <c r="M73" s="134"/>
      <c r="N73" s="135"/>
      <c r="O73" s="135"/>
      <c r="P73" s="136"/>
      <c r="Q73" s="136"/>
      <c r="R73" s="135"/>
      <c r="S73" s="135"/>
      <c r="T73" s="138"/>
      <c r="U73" s="132">
        <v>5</v>
      </c>
      <c r="V73" s="133"/>
      <c r="W73" s="134">
        <v>3</v>
      </c>
      <c r="X73" s="134">
        <v>2</v>
      </c>
      <c r="Y73" s="135"/>
      <c r="Z73" s="135"/>
      <c r="AA73" s="136">
        <v>5</v>
      </c>
      <c r="AB73" s="137"/>
      <c r="AC73" s="134">
        <v>3</v>
      </c>
      <c r="AD73" s="134"/>
      <c r="AE73" s="135"/>
      <c r="AF73" s="135"/>
      <c r="AG73" s="136"/>
      <c r="AH73" s="136"/>
      <c r="AI73" s="135"/>
      <c r="AJ73" s="135"/>
      <c r="BA73" s="125">
        <v>5.5</v>
      </c>
      <c r="BB73" s="125">
        <v>5.5</v>
      </c>
      <c r="BC73" s="125">
        <v>5.5</v>
      </c>
      <c r="BD73" s="125">
        <v>5.5</v>
      </c>
      <c r="BE73" s="125">
        <v>5.5</v>
      </c>
      <c r="BF73" s="126"/>
      <c r="BG73" s="127"/>
      <c r="BH73" s="46"/>
      <c r="BI73" s="139">
        <f>SUMIF($D$7:$BG$7,"1",$D73:$BG73)</f>
        <v>7.5</v>
      </c>
      <c r="BJ73" s="140">
        <f>SUMIFS($D$9:$BG$9,$D$7:$BG$7,"1",$D73:$BG73,"&gt;"&amp;-1)</f>
        <v>15</v>
      </c>
      <c r="BK73" s="141">
        <f t="shared" si="0"/>
        <v>50</v>
      </c>
      <c r="BL73" s="142">
        <f>SUMIF($D$7:$BG$7,"2",$D73:$BG73)</f>
        <v>20.5</v>
      </c>
      <c r="BM73" s="140">
        <f>SUMIFS($D$9:$BG$9,$D$7:$BG$7,"2",$D73:$BG73,"&gt;"&amp;-1)</f>
        <v>25</v>
      </c>
      <c r="BN73" s="141">
        <f t="shared" si="1"/>
        <v>82</v>
      </c>
      <c r="BO73" s="142">
        <f>SUMIF($D$7:$BG$7,"3",$D73:$BG73)</f>
        <v>18.5</v>
      </c>
      <c r="BP73" s="140">
        <f>SUMIFS($D$9:$BG$9,$D$7:$BG$7,"3",$D73:$BG73,"&gt;"&amp;-1)</f>
        <v>25</v>
      </c>
      <c r="BQ73" s="141">
        <f t="shared" si="2"/>
        <v>74</v>
      </c>
      <c r="BR73" s="142">
        <f>SUMIF($D$7:$BG$7,"4",$D73:$BG73)</f>
        <v>10.5</v>
      </c>
      <c r="BS73" s="140">
        <f>SUMIFS($D$9:$BG$9,$D$7:$BG$7,"4",$D73:$BG73,"&gt;"&amp;-1)</f>
        <v>15</v>
      </c>
      <c r="BT73" s="141">
        <f t="shared" si="3"/>
        <v>70</v>
      </c>
      <c r="BU73" s="142">
        <f>SUMIF($D$7:$BG$7,"5",$D73:$BG73)</f>
        <v>5.5</v>
      </c>
      <c r="BV73" s="140">
        <f>SUMIFS($D$9:$BG$9,$D$7:$BG$7,"5",$D73:$BG73,"&gt;"&amp;-1)</f>
        <v>10</v>
      </c>
      <c r="BW73" s="141">
        <f t="shared" si="4"/>
        <v>55</v>
      </c>
      <c r="BX73" s="142">
        <f>SUMIF($D$7:$BG$7,"6",$D73:$BG73)</f>
        <v>0</v>
      </c>
      <c r="BY73" s="140">
        <f>SUMIFS($D$9:$BG$9,$D$7:$BG$7,"6",$D73:$BG73,"&gt;"&amp;-1)</f>
        <v>0</v>
      </c>
      <c r="BZ73" s="141">
        <f t="shared" si="5"/>
        <v>0</v>
      </c>
    </row>
    <row r="74" ht="15.75" customHeight="1" spans="1:78" x14ac:dyDescent="0.25">
      <c r="A74" s="150" t="s">
        <v>132</v>
      </c>
      <c r="B74" s="150"/>
      <c r="C74" s="117"/>
      <c r="D74" s="132">
        <v>5</v>
      </c>
      <c r="E74" s="133"/>
      <c r="F74" s="134"/>
      <c r="G74" s="134"/>
      <c r="H74" s="135"/>
      <c r="I74" s="135"/>
      <c r="J74" s="136"/>
      <c r="K74" s="137"/>
      <c r="L74" s="134"/>
      <c r="M74" s="134"/>
      <c r="N74" s="135"/>
      <c r="O74" s="135"/>
      <c r="P74" s="136"/>
      <c r="Q74" s="136"/>
      <c r="R74" s="135"/>
      <c r="S74" s="135"/>
      <c r="T74" s="138"/>
      <c r="U74" s="132">
        <v>2</v>
      </c>
      <c r="V74" s="133"/>
      <c r="W74" s="134"/>
      <c r="X74" s="134"/>
      <c r="Y74" s="135"/>
      <c r="Z74" s="135"/>
      <c r="AA74" s="136">
        <v>2</v>
      </c>
      <c r="AB74" s="137"/>
      <c r="AC74" s="134"/>
      <c r="AD74" s="134"/>
      <c r="AE74" s="135"/>
      <c r="AF74" s="135"/>
      <c r="AG74" s="136"/>
      <c r="AH74" s="136"/>
      <c r="AI74" s="135"/>
      <c r="AJ74" s="135"/>
      <c r="BA74" s="125">
        <v>1.5</v>
      </c>
      <c r="BB74" s="125">
        <v>1.5</v>
      </c>
      <c r="BC74" s="125">
        <v>1.5</v>
      </c>
      <c r="BD74" s="125">
        <v>1.5</v>
      </c>
      <c r="BE74" s="125">
        <v>1.5</v>
      </c>
      <c r="BF74" s="126"/>
      <c r="BG74" s="127"/>
      <c r="BH74" s="46"/>
      <c r="BI74" s="139">
        <f>SUMIF($D$7:$BG$7,"1",$D74:$BG74)</f>
        <v>1.5</v>
      </c>
      <c r="BJ74" s="140">
        <f>SUMIFS($D$9:$BG$9,$D$7:$BG$7,"1",$D74:$BG74,"&gt;"&amp;-1)</f>
        <v>10</v>
      </c>
      <c r="BK74" s="141">
        <f t="shared" si="0"/>
        <v>15</v>
      </c>
      <c r="BL74" s="142">
        <f>SUMIF($D$7:$BG$7,"2",$D74:$BG74)</f>
        <v>6.5</v>
      </c>
      <c r="BM74" s="140">
        <f>SUMIFS($D$9:$BG$9,$D$7:$BG$7,"2",$D74:$BG74,"&gt;"&amp;-1)</f>
        <v>15</v>
      </c>
      <c r="BN74" s="141">
        <f t="shared" si="1"/>
        <v>43.339999999999996</v>
      </c>
      <c r="BO74" s="142">
        <f>SUMIF($D$7:$BG$7,"3",$D74:$BG74)</f>
        <v>3.5</v>
      </c>
      <c r="BP74" s="140">
        <f>SUMIFS($D$9:$BG$9,$D$7:$BG$7,"3",$D74:$BG74,"&gt;"&amp;-1)</f>
        <v>15</v>
      </c>
      <c r="BQ74" s="141">
        <f t="shared" si="2"/>
        <v>23.34</v>
      </c>
      <c r="BR74" s="142">
        <f>SUMIF($D$7:$BG$7,"4",$D74:$BG74)</f>
        <v>3.5</v>
      </c>
      <c r="BS74" s="140">
        <f>SUMIFS($D$9:$BG$9,$D$7:$BG$7,"4",$D74:$BG74,"&gt;"&amp;-1)</f>
        <v>15</v>
      </c>
      <c r="BT74" s="141">
        <f t="shared" si="3"/>
        <v>23.34</v>
      </c>
      <c r="BU74" s="142">
        <f>SUMIF($D$7:$BG$7,"5",$D74:$BG74)</f>
        <v>1.5</v>
      </c>
      <c r="BV74" s="140">
        <f>SUMIFS($D$9:$BG$9,$D$7:$BG$7,"5",$D74:$BG74,"&gt;"&amp;-1)</f>
        <v>10</v>
      </c>
      <c r="BW74" s="141">
        <f t="shared" si="4"/>
        <v>15</v>
      </c>
      <c r="BX74" s="142">
        <f>SUMIF($D$7:$BG$7,"6",$D74:$BG74)</f>
        <v>0</v>
      </c>
      <c r="BY74" s="140">
        <f>SUMIFS($D$9:$BG$9,$D$7:$BG$7,"6",$D74:$BG74,"&gt;"&amp;-1)</f>
        <v>0</v>
      </c>
      <c r="BZ74" s="141">
        <f t="shared" si="5"/>
        <v>0</v>
      </c>
    </row>
    <row r="75" ht="15.75" customHeight="1" spans="1:78" x14ac:dyDescent="0.25">
      <c r="A75" s="150" t="s">
        <v>133</v>
      </c>
      <c r="B75" s="150"/>
      <c r="C75" s="117"/>
      <c r="D75" s="132">
        <v>3</v>
      </c>
      <c r="E75" s="133"/>
      <c r="F75" s="134">
        <v>2</v>
      </c>
      <c r="G75" s="134"/>
      <c r="H75" s="135"/>
      <c r="I75" s="135"/>
      <c r="J75" s="136"/>
      <c r="K75" s="137"/>
      <c r="L75" s="134"/>
      <c r="M75" s="134"/>
      <c r="N75" s="135"/>
      <c r="O75" s="135"/>
      <c r="P75" s="136"/>
      <c r="Q75" s="136"/>
      <c r="R75" s="135"/>
      <c r="S75" s="135"/>
      <c r="T75" s="138"/>
      <c r="U75" s="132">
        <v>5</v>
      </c>
      <c r="V75" s="133"/>
      <c r="W75" s="134">
        <v>3</v>
      </c>
      <c r="X75" s="134">
        <v>2</v>
      </c>
      <c r="Y75" s="135">
        <v>4</v>
      </c>
      <c r="Z75" s="135"/>
      <c r="AA75" s="136">
        <v>3</v>
      </c>
      <c r="AB75" s="137"/>
      <c r="AC75" s="134"/>
      <c r="AD75" s="134"/>
      <c r="AE75" s="135"/>
      <c r="AF75" s="135"/>
      <c r="AG75" s="136"/>
      <c r="AH75" s="136"/>
      <c r="AI75" s="135"/>
      <c r="AJ75" s="135"/>
      <c r="BA75" s="125">
        <v>10</v>
      </c>
      <c r="BB75" s="125">
        <v>10</v>
      </c>
      <c r="BC75" s="125">
        <v>10</v>
      </c>
      <c r="BD75" s="125">
        <v>10</v>
      </c>
      <c r="BE75" s="125">
        <v>10</v>
      </c>
      <c r="BF75" s="126"/>
      <c r="BG75" s="127"/>
      <c r="BH75" s="46"/>
      <c r="BI75" s="139">
        <f>SUMIF($D$7:$BG$7,"1",$D75:$BG75)</f>
        <v>10</v>
      </c>
      <c r="BJ75" s="140">
        <f>SUMIFS($D$9:$BG$9,$D$7:$BG$7,"1",$D75:$BG75,"&gt;"&amp;-1)</f>
        <v>10</v>
      </c>
      <c r="BK75" s="141">
        <f t="shared" si="0"/>
        <v>100</v>
      </c>
      <c r="BL75" s="142">
        <f>SUMIF($D$7:$BG$7,"2",$D75:$BG75)</f>
        <v>18</v>
      </c>
      <c r="BM75" s="140">
        <f>SUMIFS($D$9:$BG$9,$D$7:$BG$7,"2",$D75:$BG75,"&gt;"&amp;-1)</f>
        <v>20</v>
      </c>
      <c r="BN75" s="141">
        <f t="shared" si="1"/>
        <v>90</v>
      </c>
      <c r="BO75" s="142">
        <f>SUMIF($D$7:$BG$7,"3",$D75:$BG75)</f>
        <v>21</v>
      </c>
      <c r="BP75" s="140">
        <f>SUMIFS($D$9:$BG$9,$D$7:$BG$7,"3",$D75:$BG75,"&gt;"&amp;-1)</f>
        <v>25</v>
      </c>
      <c r="BQ75" s="141">
        <f t="shared" si="2"/>
        <v>84</v>
      </c>
      <c r="BR75" s="142">
        <f>SUMIF($D$7:$BG$7,"4",$D75:$BG75)</f>
        <v>13</v>
      </c>
      <c r="BS75" s="140">
        <f>SUMIFS($D$9:$BG$9,$D$7:$BG$7,"4",$D75:$BG75,"&gt;"&amp;-1)</f>
        <v>15</v>
      </c>
      <c r="BT75" s="141">
        <f t="shared" si="3"/>
        <v>86.67</v>
      </c>
      <c r="BU75" s="142">
        <f>SUMIF($D$7:$BG$7,"5",$D75:$BG75)</f>
        <v>10</v>
      </c>
      <c r="BV75" s="140">
        <f>SUMIFS($D$9:$BG$9,$D$7:$BG$7,"5",$D75:$BG75,"&gt;"&amp;-1)</f>
        <v>10</v>
      </c>
      <c r="BW75" s="141">
        <f t="shared" si="4"/>
        <v>100</v>
      </c>
      <c r="BX75" s="142">
        <f>SUMIF($D$7:$BG$7,"6",$D75:$BG75)</f>
        <v>0</v>
      </c>
      <c r="BY75" s="140">
        <f>SUMIFS($D$9:$BG$9,$D$7:$BG$7,"6",$D75:$BG75,"&gt;"&amp;-1)</f>
        <v>0</v>
      </c>
      <c r="BZ75" s="141">
        <f t="shared" si="5"/>
        <v>0</v>
      </c>
    </row>
    <row r="76" ht="15.75" customHeight="1" spans="1:78" x14ac:dyDescent="0.25">
      <c r="A76" s="150" t="s">
        <v>134</v>
      </c>
      <c r="B76" s="150"/>
      <c r="C76" s="117"/>
      <c r="D76" s="132"/>
      <c r="E76" s="133"/>
      <c r="F76" s="134">
        <v>2</v>
      </c>
      <c r="G76" s="134"/>
      <c r="H76" s="135"/>
      <c r="I76" s="135"/>
      <c r="J76" s="136"/>
      <c r="K76" s="137"/>
      <c r="L76" s="134"/>
      <c r="M76" s="134"/>
      <c r="N76" s="135"/>
      <c r="O76" s="135"/>
      <c r="P76" s="136"/>
      <c r="Q76" s="136"/>
      <c r="R76" s="135"/>
      <c r="S76" s="135"/>
      <c r="T76" s="138"/>
      <c r="U76" s="132">
        <v>5</v>
      </c>
      <c r="V76" s="133"/>
      <c r="W76" s="134"/>
      <c r="X76" s="134"/>
      <c r="Y76" s="135">
        <v>3</v>
      </c>
      <c r="Z76" s="135"/>
      <c r="AA76" s="136"/>
      <c r="AB76" s="137"/>
      <c r="AC76" s="134"/>
      <c r="AD76" s="134"/>
      <c r="AE76" s="135"/>
      <c r="AF76" s="135"/>
      <c r="AG76" s="136"/>
      <c r="AH76" s="136"/>
      <c r="AI76" s="135"/>
      <c r="AJ76" s="135"/>
      <c r="BA76" s="125">
        <v>5</v>
      </c>
      <c r="BB76" s="125">
        <v>5</v>
      </c>
      <c r="BC76" s="125">
        <v>5</v>
      </c>
      <c r="BD76" s="125">
        <v>5</v>
      </c>
      <c r="BE76" s="125">
        <v>5</v>
      </c>
      <c r="BF76" s="126"/>
      <c r="BG76" s="127"/>
      <c r="BH76" s="46"/>
      <c r="BI76" s="139">
        <f>SUMIF($D$7:$BG$7,"1",$D76:$BG76)</f>
        <v>5</v>
      </c>
      <c r="BJ76" s="140">
        <f>SUMIFS($D$9:$BG$9,$D$7:$BG$7,"1",$D76:$BG76,"&gt;"&amp;-1)</f>
        <v>10</v>
      </c>
      <c r="BK76" s="141">
        <f t="shared" si="0"/>
        <v>50</v>
      </c>
      <c r="BL76" s="142">
        <f>SUMIF($D$7:$BG$7,"2",$D76:$BG76)</f>
        <v>5</v>
      </c>
      <c r="BM76" s="140">
        <f>SUMIFS($D$9:$BG$9,$D$7:$BG$7,"2",$D76:$BG76,"&gt;"&amp;-1)</f>
        <v>10</v>
      </c>
      <c r="BN76" s="141">
        <f t="shared" si="1"/>
        <v>50</v>
      </c>
      <c r="BO76" s="142">
        <f>SUMIF($D$7:$BG$7,"3",$D76:$BG76)</f>
        <v>15</v>
      </c>
      <c r="BP76" s="140">
        <f>SUMIFS($D$9:$BG$9,$D$7:$BG$7,"3",$D76:$BG76,"&gt;"&amp;-1)</f>
        <v>25</v>
      </c>
      <c r="BQ76" s="141">
        <f t="shared" si="2"/>
        <v>60</v>
      </c>
      <c r="BR76" s="142">
        <f>SUMIF($D$7:$BG$7,"4",$D76:$BG76)</f>
        <v>5</v>
      </c>
      <c r="BS76" s="140">
        <f>SUMIFS($D$9:$BG$9,$D$7:$BG$7,"4",$D76:$BG76,"&gt;"&amp;-1)</f>
        <v>10</v>
      </c>
      <c r="BT76" s="141">
        <f t="shared" si="3"/>
        <v>50</v>
      </c>
      <c r="BU76" s="142">
        <f>SUMIF($D$7:$BG$7,"5",$D76:$BG76)</f>
        <v>5</v>
      </c>
      <c r="BV76" s="140">
        <f>SUMIFS($D$9:$BG$9,$D$7:$BG$7,"5",$D76:$BG76,"&gt;"&amp;-1)</f>
        <v>10</v>
      </c>
      <c r="BW76" s="141">
        <f t="shared" si="4"/>
        <v>50</v>
      </c>
      <c r="BX76" s="142">
        <f>SUMIF($D$7:$BG$7,"6",$D76:$BG76)</f>
        <v>0</v>
      </c>
      <c r="BY76" s="140">
        <f>SUMIFS($D$9:$BG$9,$D$7:$BG$7,"6",$D76:$BG76,"&gt;"&amp;-1)</f>
        <v>0</v>
      </c>
      <c r="BZ76" s="141">
        <f t="shared" si="5"/>
        <v>0</v>
      </c>
    </row>
    <row r="77" ht="15.75" customHeight="1" spans="1:78" x14ac:dyDescent="0.25">
      <c r="A77" s="150" t="s">
        <v>135</v>
      </c>
      <c r="B77" s="150"/>
      <c r="C77" s="117"/>
      <c r="D77" s="132">
        <v>5</v>
      </c>
      <c r="E77" s="133"/>
      <c r="F77" s="134"/>
      <c r="G77" s="134"/>
      <c r="H77" s="135">
        <v>3</v>
      </c>
      <c r="I77" s="135"/>
      <c r="J77" s="136">
        <v>2.5</v>
      </c>
      <c r="K77" s="137">
        <v>2.5</v>
      </c>
      <c r="L77" s="134">
        <v>2</v>
      </c>
      <c r="M77" s="134">
        <v>3</v>
      </c>
      <c r="N77" s="135"/>
      <c r="O77" s="135"/>
      <c r="P77" s="136">
        <v>2</v>
      </c>
      <c r="Q77" s="136">
        <v>3</v>
      </c>
      <c r="R77" s="135"/>
      <c r="S77" s="135"/>
      <c r="T77" s="138"/>
      <c r="U77" s="132">
        <v>5</v>
      </c>
      <c r="V77" s="133"/>
      <c r="W77" s="134">
        <v>3</v>
      </c>
      <c r="X77" s="134">
        <v>2</v>
      </c>
      <c r="Y77" s="135">
        <v>1</v>
      </c>
      <c r="Z77" s="135"/>
      <c r="AA77" s="136">
        <v>0</v>
      </c>
      <c r="AB77" s="137"/>
      <c r="AC77" s="134">
        <v>5</v>
      </c>
      <c r="AD77" s="134"/>
      <c r="AE77" s="135"/>
      <c r="AF77" s="135"/>
      <c r="AG77" s="136"/>
      <c r="AH77" s="136"/>
      <c r="AI77" s="135"/>
      <c r="AJ77" s="135"/>
      <c r="BA77" s="125">
        <v>10</v>
      </c>
      <c r="BB77" s="125">
        <v>10</v>
      </c>
      <c r="BC77" s="125">
        <v>10</v>
      </c>
      <c r="BD77" s="125">
        <v>10</v>
      </c>
      <c r="BE77" s="125">
        <v>10</v>
      </c>
      <c r="BF77" s="126"/>
      <c r="BG77" s="127"/>
      <c r="BH77" s="46"/>
      <c r="BI77" s="139">
        <f>SUMIF($D$7:$BG$7,"1",$D77:$BG77)</f>
        <v>15</v>
      </c>
      <c r="BJ77" s="140">
        <f>SUMIFS($D$9:$BG$9,$D$7:$BG$7,"1",$D77:$BG77,"&gt;"&amp;-1)</f>
        <v>15</v>
      </c>
      <c r="BK77" s="141">
        <f t="shared" si="0"/>
        <v>100</v>
      </c>
      <c r="BL77" s="142">
        <f>SUMIF($D$7:$BG$7,"2",$D77:$BG77)</f>
        <v>28</v>
      </c>
      <c r="BM77" s="140">
        <f>SUMIFS($D$9:$BG$9,$D$7:$BG$7,"2",$D77:$BG77,"&gt;"&amp;-1)</f>
        <v>30</v>
      </c>
      <c r="BN77" s="141">
        <f t="shared" si="1"/>
        <v>93.34</v>
      </c>
      <c r="BO77" s="142">
        <f>SUMIF($D$7:$BG$7,"3",$D77:$BG77)</f>
        <v>21</v>
      </c>
      <c r="BP77" s="140">
        <f>SUMIFS($D$9:$BG$9,$D$7:$BG$7,"3",$D77:$BG77,"&gt;"&amp;-1)</f>
        <v>25</v>
      </c>
      <c r="BQ77" s="141">
        <f t="shared" si="2"/>
        <v>84</v>
      </c>
      <c r="BR77" s="142">
        <f>SUMIF($D$7:$BG$7,"4",$D77:$BG77)</f>
        <v>10</v>
      </c>
      <c r="BS77" s="140">
        <f>SUMIFS($D$9:$BG$9,$D$7:$BG$7,"4",$D77:$BG77,"&gt;"&amp;-1)</f>
        <v>15</v>
      </c>
      <c r="BT77" s="141">
        <f t="shared" si="3"/>
        <v>66.67</v>
      </c>
      <c r="BU77" s="142">
        <f>SUMIF($D$7:$BG$7,"5",$D77:$BG77)</f>
        <v>15</v>
      </c>
      <c r="BV77" s="140">
        <f>SUMIFS($D$9:$BG$9,$D$7:$BG$7,"5",$D77:$BG77,"&gt;"&amp;-1)</f>
        <v>20</v>
      </c>
      <c r="BW77" s="141">
        <f t="shared" si="4"/>
        <v>75</v>
      </c>
      <c r="BX77" s="142">
        <f>SUMIF($D$7:$BG$7,"6",$D77:$BG77)</f>
        <v>0</v>
      </c>
      <c r="BY77" s="140">
        <f>SUMIFS($D$9:$BG$9,$D$7:$BG$7,"6",$D77:$BG77,"&gt;"&amp;-1)</f>
        <v>0</v>
      </c>
      <c r="BZ77" s="141">
        <f t="shared" si="5"/>
        <v>0</v>
      </c>
    </row>
    <row r="78" ht="15.75" customHeight="1" spans="1:78" x14ac:dyDescent="0.25">
      <c r="A78" s="150" t="s">
        <v>136</v>
      </c>
      <c r="B78" s="150"/>
      <c r="C78" s="117"/>
      <c r="D78" s="132"/>
      <c r="E78" s="133"/>
      <c r="F78" s="134"/>
      <c r="G78" s="134"/>
      <c r="H78" s="135"/>
      <c r="I78" s="135"/>
      <c r="J78" s="136">
        <v>1</v>
      </c>
      <c r="K78" s="137"/>
      <c r="L78" s="134"/>
      <c r="M78" s="134"/>
      <c r="N78" s="135"/>
      <c r="O78" s="135"/>
      <c r="P78" s="136"/>
      <c r="Q78" s="136"/>
      <c r="R78" s="135"/>
      <c r="S78" s="135"/>
      <c r="T78" s="138"/>
      <c r="U78" s="132">
        <v>3</v>
      </c>
      <c r="V78" s="133"/>
      <c r="W78" s="134">
        <v>3</v>
      </c>
      <c r="X78" s="134">
        <v>2</v>
      </c>
      <c r="Y78" s="135"/>
      <c r="Z78" s="135"/>
      <c r="AA78" s="136">
        <v>3</v>
      </c>
      <c r="AB78" s="137"/>
      <c r="AC78" s="134"/>
      <c r="AD78" s="134"/>
      <c r="AE78" s="135"/>
      <c r="AF78" s="135"/>
      <c r="AG78" s="136"/>
      <c r="AH78" s="136"/>
      <c r="AI78" s="135"/>
      <c r="AJ78" s="135"/>
      <c r="BA78" s="125">
        <v>2.5</v>
      </c>
      <c r="BB78" s="125">
        <v>2.5</v>
      </c>
      <c r="BC78" s="125">
        <v>2.5</v>
      </c>
      <c r="BD78" s="125">
        <v>2.5</v>
      </c>
      <c r="BE78" s="125">
        <v>2.5</v>
      </c>
      <c r="BF78" s="126"/>
      <c r="BG78" s="127"/>
      <c r="BH78" s="46"/>
      <c r="BI78" s="139">
        <f>SUMIF($D$7:$BG$7,"1",$D78:$BG78)</f>
        <v>3.5</v>
      </c>
      <c r="BJ78" s="140">
        <f>SUMIFS($D$9:$BG$9,$D$7:$BG$7,"1",$D78:$BG78,"&gt;"&amp;-1)</f>
        <v>12.5</v>
      </c>
      <c r="BK78" s="141">
        <f t="shared" si="0"/>
        <v>28</v>
      </c>
      <c r="BL78" s="142">
        <f>SUMIF($D$7:$BG$7,"2",$D78:$BG78)</f>
        <v>7.5</v>
      </c>
      <c r="BM78" s="140">
        <f>SUMIFS($D$9:$BG$9,$D$7:$BG$7,"2",$D78:$BG78,"&gt;"&amp;-1)</f>
        <v>15</v>
      </c>
      <c r="BN78" s="141">
        <f t="shared" si="1"/>
        <v>50</v>
      </c>
      <c r="BO78" s="142">
        <f>SUMIF($D$7:$BG$7,"3",$D78:$BG78)</f>
        <v>5.5</v>
      </c>
      <c r="BP78" s="140">
        <f>SUMIFS($D$9:$BG$9,$D$7:$BG$7,"3",$D78:$BG78,"&gt;"&amp;-1)</f>
        <v>15</v>
      </c>
      <c r="BQ78" s="141">
        <f t="shared" si="2"/>
        <v>36.669999999999995</v>
      </c>
      <c r="BR78" s="142">
        <f>SUMIF($D$7:$BG$7,"4",$D78:$BG78)</f>
        <v>5.5</v>
      </c>
      <c r="BS78" s="140">
        <f>SUMIFS($D$9:$BG$9,$D$7:$BG$7,"4",$D78:$BG78,"&gt;"&amp;-1)</f>
        <v>15</v>
      </c>
      <c r="BT78" s="141">
        <f t="shared" si="3"/>
        <v>36.669999999999995</v>
      </c>
      <c r="BU78" s="142">
        <f>SUMIF($D$7:$BG$7,"5",$D78:$BG78)</f>
        <v>2.5</v>
      </c>
      <c r="BV78" s="140">
        <f>SUMIFS($D$9:$BG$9,$D$7:$BG$7,"5",$D78:$BG78,"&gt;"&amp;-1)</f>
        <v>10</v>
      </c>
      <c r="BW78" s="141">
        <f t="shared" si="4"/>
        <v>25</v>
      </c>
      <c r="BX78" s="142">
        <f>SUMIF($D$7:$BG$7,"6",$D78:$BG78)</f>
        <v>0</v>
      </c>
      <c r="BY78" s="140">
        <f>SUMIFS($D$9:$BG$9,$D$7:$BG$7,"6",$D78:$BG78,"&gt;"&amp;-1)</f>
        <v>0</v>
      </c>
      <c r="BZ78" s="141">
        <f t="shared" si="5"/>
        <v>0</v>
      </c>
    </row>
    <row r="79" ht="15.75" customHeight="1" spans="1:78" x14ac:dyDescent="0.25">
      <c r="A79" s="150" t="s">
        <v>137</v>
      </c>
      <c r="B79" s="150"/>
      <c r="C79" s="117"/>
      <c r="D79" s="132">
        <v>5</v>
      </c>
      <c r="E79" s="133"/>
      <c r="F79" s="134"/>
      <c r="G79" s="134"/>
      <c r="H79" s="135"/>
      <c r="I79" s="135"/>
      <c r="J79" s="136">
        <v>2</v>
      </c>
      <c r="K79" s="137">
        <v>2</v>
      </c>
      <c r="L79" s="134"/>
      <c r="M79" s="134"/>
      <c r="N79" s="135"/>
      <c r="O79" s="135"/>
      <c r="P79" s="136"/>
      <c r="Q79" s="136"/>
      <c r="R79" s="135"/>
      <c r="S79" s="135"/>
      <c r="T79" s="138"/>
      <c r="U79" s="132">
        <v>5</v>
      </c>
      <c r="V79" s="133"/>
      <c r="W79" s="134">
        <v>3</v>
      </c>
      <c r="X79" s="134">
        <v>2</v>
      </c>
      <c r="Y79" s="135"/>
      <c r="Z79" s="135"/>
      <c r="AA79" s="136">
        <v>5</v>
      </c>
      <c r="AB79" s="137"/>
      <c r="AC79" s="134"/>
      <c r="AD79" s="134"/>
      <c r="AE79" s="135"/>
      <c r="AF79" s="135"/>
      <c r="AG79" s="136"/>
      <c r="AH79" s="136"/>
      <c r="AI79" s="135"/>
      <c r="AJ79" s="135"/>
      <c r="BA79" s="125">
        <v>10</v>
      </c>
      <c r="BB79" s="125">
        <v>10</v>
      </c>
      <c r="BC79" s="125">
        <v>10</v>
      </c>
      <c r="BD79" s="125">
        <v>10</v>
      </c>
      <c r="BE79" s="125">
        <v>10</v>
      </c>
      <c r="BF79" s="126"/>
      <c r="BG79" s="127"/>
      <c r="BH79" s="46"/>
      <c r="BI79" s="139">
        <f>SUMIF($D$7:$BG$7,"1",$D79:$BG79)</f>
        <v>14</v>
      </c>
      <c r="BJ79" s="140">
        <f>SUMIFS($D$9:$BG$9,$D$7:$BG$7,"1",$D79:$BG79,"&gt;"&amp;-1)</f>
        <v>15</v>
      </c>
      <c r="BK79" s="141">
        <f t="shared" si="0"/>
        <v>93.34</v>
      </c>
      <c r="BL79" s="142">
        <f>SUMIF($D$7:$BG$7,"2",$D79:$BG79)</f>
        <v>20</v>
      </c>
      <c r="BM79" s="140">
        <f>SUMIFS($D$9:$BG$9,$D$7:$BG$7,"2",$D79:$BG79,"&gt;"&amp;-1)</f>
        <v>20</v>
      </c>
      <c r="BN79" s="141">
        <f t="shared" si="1"/>
        <v>100</v>
      </c>
      <c r="BO79" s="142">
        <f>SUMIF($D$7:$BG$7,"3",$D79:$BG79)</f>
        <v>15</v>
      </c>
      <c r="BP79" s="140">
        <f>SUMIFS($D$9:$BG$9,$D$7:$BG$7,"3",$D79:$BG79,"&gt;"&amp;-1)</f>
        <v>15</v>
      </c>
      <c r="BQ79" s="141">
        <f t="shared" si="2"/>
        <v>100</v>
      </c>
      <c r="BR79" s="142">
        <f>SUMIF($D$7:$BG$7,"4",$D79:$BG79)</f>
        <v>15</v>
      </c>
      <c r="BS79" s="140">
        <f>SUMIFS($D$9:$BG$9,$D$7:$BG$7,"4",$D79:$BG79,"&gt;"&amp;-1)</f>
        <v>15</v>
      </c>
      <c r="BT79" s="141">
        <f t="shared" si="3"/>
        <v>100</v>
      </c>
      <c r="BU79" s="142">
        <f>SUMIF($D$7:$BG$7,"5",$D79:$BG79)</f>
        <v>10</v>
      </c>
      <c r="BV79" s="140">
        <f>SUMIFS($D$9:$BG$9,$D$7:$BG$7,"5",$D79:$BG79,"&gt;"&amp;-1)</f>
        <v>10</v>
      </c>
      <c r="BW79" s="141">
        <f t="shared" si="4"/>
        <v>100</v>
      </c>
      <c r="BX79" s="142">
        <f>SUMIF($D$7:$BG$7,"6",$D79:$BG79)</f>
        <v>0</v>
      </c>
      <c r="BY79" s="140">
        <f>SUMIFS($D$9:$BG$9,$D$7:$BG$7,"6",$D79:$BG79,"&gt;"&amp;-1)</f>
        <v>0</v>
      </c>
      <c r="BZ79" s="141">
        <f t="shared" si="5"/>
        <v>0</v>
      </c>
    </row>
    <row r="80" ht="15.75" customHeight="1" spans="1:78" x14ac:dyDescent="0.25">
      <c r="A80" s="150" t="s">
        <v>138</v>
      </c>
      <c r="B80" s="150"/>
      <c r="C80" s="117"/>
      <c r="D80" s="132">
        <v>5</v>
      </c>
      <c r="E80" s="133"/>
      <c r="F80" s="134">
        <v>5</v>
      </c>
      <c r="G80" s="134"/>
      <c r="H80" s="135"/>
      <c r="I80" s="135"/>
      <c r="J80" s="136">
        <v>2.5</v>
      </c>
      <c r="K80" s="137">
        <v>2.5</v>
      </c>
      <c r="L80" s="134">
        <v>1</v>
      </c>
      <c r="M80" s="134">
        <v>2</v>
      </c>
      <c r="N80" s="135"/>
      <c r="O80" s="135"/>
      <c r="P80" s="136">
        <v>1</v>
      </c>
      <c r="Q80" s="136">
        <v>2</v>
      </c>
      <c r="R80" s="135"/>
      <c r="S80" s="135"/>
      <c r="T80" s="138"/>
      <c r="U80" s="132">
        <v>5</v>
      </c>
      <c r="V80" s="133"/>
      <c r="W80" s="134">
        <v>3</v>
      </c>
      <c r="X80" s="134">
        <v>2</v>
      </c>
      <c r="Y80" s="135">
        <v>5</v>
      </c>
      <c r="Z80" s="135"/>
      <c r="AA80" s="136">
        <v>5</v>
      </c>
      <c r="AB80" s="137"/>
      <c r="AC80" s="134">
        <v>2</v>
      </c>
      <c r="AD80" s="134"/>
      <c r="AE80" s="135"/>
      <c r="AF80" s="135"/>
      <c r="AG80" s="136"/>
      <c r="AH80" s="136"/>
      <c r="AI80" s="135"/>
      <c r="AJ80" s="135"/>
      <c r="BA80" s="125">
        <v>10</v>
      </c>
      <c r="BB80" s="125">
        <v>10</v>
      </c>
      <c r="BC80" s="125">
        <v>10</v>
      </c>
      <c r="BD80" s="125">
        <v>10</v>
      </c>
      <c r="BE80" s="125">
        <v>10</v>
      </c>
      <c r="BF80" s="126"/>
      <c r="BG80" s="127"/>
      <c r="BH80" s="46"/>
      <c r="BI80" s="139">
        <f>SUMIF($D$7:$BG$7,"1",$D80:$BG80)</f>
        <v>15</v>
      </c>
      <c r="BJ80" s="140">
        <f>SUMIFS($D$9:$BG$9,$D$7:$BG$7,"1",$D80:$BG80,"&gt;"&amp;-1)</f>
        <v>15</v>
      </c>
      <c r="BK80" s="141">
        <f t="shared" si="0"/>
        <v>100</v>
      </c>
      <c r="BL80" s="142">
        <f>SUMIF($D$7:$BG$7,"2",$D80:$BG80)</f>
        <v>23</v>
      </c>
      <c r="BM80" s="140">
        <f>SUMIFS($D$9:$BG$9,$D$7:$BG$7,"2",$D80:$BG80,"&gt;"&amp;-1)</f>
        <v>25</v>
      </c>
      <c r="BN80" s="141">
        <f t="shared" si="1"/>
        <v>92</v>
      </c>
      <c r="BO80" s="142">
        <f>SUMIF($D$7:$BG$7,"3",$D80:$BG80)</f>
        <v>27</v>
      </c>
      <c r="BP80" s="140">
        <f>SUMIFS($D$9:$BG$9,$D$7:$BG$7,"3",$D80:$BG80,"&gt;"&amp;-1)</f>
        <v>30</v>
      </c>
      <c r="BQ80" s="141">
        <f t="shared" si="2"/>
        <v>90</v>
      </c>
      <c r="BR80" s="142">
        <f>SUMIF($D$7:$BG$7,"4",$D80:$BG80)</f>
        <v>15</v>
      </c>
      <c r="BS80" s="140">
        <f>SUMIFS($D$9:$BG$9,$D$7:$BG$7,"4",$D80:$BG80,"&gt;"&amp;-1)</f>
        <v>15</v>
      </c>
      <c r="BT80" s="141">
        <f t="shared" si="3"/>
        <v>100</v>
      </c>
      <c r="BU80" s="142">
        <f>SUMIF($D$7:$BG$7,"5",$D80:$BG80)</f>
        <v>13</v>
      </c>
      <c r="BV80" s="140">
        <f>SUMIFS($D$9:$BG$9,$D$7:$BG$7,"5",$D80:$BG80,"&gt;"&amp;-1)</f>
        <v>20</v>
      </c>
      <c r="BW80" s="141">
        <f t="shared" si="4"/>
        <v>65</v>
      </c>
      <c r="BX80" s="142">
        <f>SUMIF($D$7:$BG$7,"6",$D80:$BG80)</f>
        <v>0</v>
      </c>
      <c r="BY80" s="140">
        <f>SUMIFS($D$9:$BG$9,$D$7:$BG$7,"6",$D80:$BG80,"&gt;"&amp;-1)</f>
        <v>0</v>
      </c>
      <c r="BZ80" s="141">
        <f t="shared" si="5"/>
        <v>0</v>
      </c>
    </row>
    <row r="81" ht="15.75" customHeight="1" spans="1:78" x14ac:dyDescent="0.25">
      <c r="A81" s="150" t="s">
        <v>139</v>
      </c>
      <c r="B81" s="150"/>
      <c r="C81" s="117"/>
      <c r="D81" s="132">
        <v>2</v>
      </c>
      <c r="E81" s="133"/>
      <c r="F81" s="134">
        <v>1</v>
      </c>
      <c r="G81" s="134"/>
      <c r="H81" s="135"/>
      <c r="I81" s="135"/>
      <c r="J81" s="136"/>
      <c r="K81" s="137"/>
      <c r="L81" s="134"/>
      <c r="M81" s="134"/>
      <c r="N81" s="135"/>
      <c r="O81" s="135"/>
      <c r="P81" s="136"/>
      <c r="Q81" s="136"/>
      <c r="R81" s="135"/>
      <c r="S81" s="135"/>
      <c r="T81" s="138"/>
      <c r="U81" s="132">
        <v>5</v>
      </c>
      <c r="V81" s="133"/>
      <c r="W81" s="134">
        <v>2</v>
      </c>
      <c r="X81" s="134">
        <v>1</v>
      </c>
      <c r="Y81" s="135"/>
      <c r="Z81" s="135"/>
      <c r="AA81" s="136"/>
      <c r="AB81" s="137"/>
      <c r="AC81" s="134"/>
      <c r="AD81" s="134"/>
      <c r="AE81" s="135"/>
      <c r="AF81" s="135"/>
      <c r="AG81" s="136"/>
      <c r="AH81" s="136"/>
      <c r="AI81" s="135"/>
      <c r="AJ81" s="135"/>
      <c r="BA81" s="125">
        <v>3</v>
      </c>
      <c r="BB81" s="125">
        <v>3</v>
      </c>
      <c r="BC81" s="125">
        <v>3</v>
      </c>
      <c r="BD81" s="125">
        <v>3</v>
      </c>
      <c r="BE81" s="125">
        <v>3</v>
      </c>
      <c r="BF81" s="126"/>
      <c r="BG81" s="127"/>
      <c r="BH81" s="46"/>
      <c r="BI81" s="139">
        <f>SUMIF($D$7:$BG$7,"1",$D81:$BG81)</f>
        <v>3</v>
      </c>
      <c r="BJ81" s="140">
        <f>SUMIFS($D$9:$BG$9,$D$7:$BG$7,"1",$D81:$BG81,"&gt;"&amp;-1)</f>
        <v>10</v>
      </c>
      <c r="BK81" s="141">
        <f t="shared" si="0"/>
        <v>30</v>
      </c>
      <c r="BL81" s="142">
        <f>SUMIF($D$7:$BG$7,"2",$D81:$BG81)</f>
        <v>8</v>
      </c>
      <c r="BM81" s="140">
        <f>SUMIFS($D$9:$BG$9,$D$7:$BG$7,"2",$D81:$BG81,"&gt;"&amp;-1)</f>
        <v>20</v>
      </c>
      <c r="BN81" s="141">
        <f t="shared" si="1"/>
        <v>40</v>
      </c>
      <c r="BO81" s="142">
        <f>SUMIF($D$7:$BG$7,"3",$D81:$BG81)</f>
        <v>9</v>
      </c>
      <c r="BP81" s="140">
        <f>SUMIFS($D$9:$BG$9,$D$7:$BG$7,"3",$D81:$BG81,"&gt;"&amp;-1)</f>
        <v>20</v>
      </c>
      <c r="BQ81" s="141">
        <f t="shared" si="2"/>
        <v>45</v>
      </c>
      <c r="BR81" s="142">
        <f>SUMIF($D$7:$BG$7,"4",$D81:$BG81)</f>
        <v>3</v>
      </c>
      <c r="BS81" s="140">
        <f>SUMIFS($D$9:$BG$9,$D$7:$BG$7,"4",$D81:$BG81,"&gt;"&amp;-1)</f>
        <v>10</v>
      </c>
      <c r="BT81" s="141">
        <f t="shared" si="3"/>
        <v>30</v>
      </c>
      <c r="BU81" s="142">
        <f>SUMIF($D$7:$BG$7,"5",$D81:$BG81)</f>
        <v>3</v>
      </c>
      <c r="BV81" s="140">
        <f>SUMIFS($D$9:$BG$9,$D$7:$BG$7,"5",$D81:$BG81,"&gt;"&amp;-1)</f>
        <v>10</v>
      </c>
      <c r="BW81" s="141">
        <f t="shared" si="4"/>
        <v>30</v>
      </c>
      <c r="BX81" s="142">
        <f>SUMIF($D$7:$BG$7,"6",$D81:$BG81)</f>
        <v>0</v>
      </c>
      <c r="BY81" s="140">
        <f>SUMIFS($D$9:$BG$9,$D$7:$BG$7,"6",$D81:$BG81,"&gt;"&amp;-1)</f>
        <v>0</v>
      </c>
      <c r="BZ81" s="141">
        <f t="shared" si="5"/>
        <v>0</v>
      </c>
    </row>
    <row r="82" ht="15.75" customHeight="1" spans="1:78" x14ac:dyDescent="0.25">
      <c r="A82" s="150" t="s">
        <v>140</v>
      </c>
      <c r="B82" s="150"/>
      <c r="C82" s="117"/>
      <c r="D82" s="132">
        <v>5</v>
      </c>
      <c r="E82" s="133"/>
      <c r="F82" s="134"/>
      <c r="G82" s="134"/>
      <c r="H82" s="135">
        <v>5</v>
      </c>
      <c r="I82" s="135"/>
      <c r="J82" s="136">
        <v>2.5</v>
      </c>
      <c r="K82" s="137">
        <v>2.5</v>
      </c>
      <c r="L82" s="134">
        <v>2</v>
      </c>
      <c r="M82" s="134">
        <v>2</v>
      </c>
      <c r="N82" s="135"/>
      <c r="O82" s="135"/>
      <c r="P82" s="136">
        <v>2</v>
      </c>
      <c r="Q82" s="136">
        <v>2</v>
      </c>
      <c r="R82" s="135"/>
      <c r="S82" s="135"/>
      <c r="T82" s="138"/>
      <c r="U82" s="132">
        <v>5</v>
      </c>
      <c r="V82" s="133"/>
      <c r="W82" s="134">
        <v>3</v>
      </c>
      <c r="X82" s="134">
        <v>2</v>
      </c>
      <c r="Y82" s="135">
        <v>4</v>
      </c>
      <c r="Z82" s="135"/>
      <c r="AA82" s="136">
        <v>5</v>
      </c>
      <c r="AB82" s="137"/>
      <c r="AC82" s="134">
        <v>5</v>
      </c>
      <c r="AD82" s="134"/>
      <c r="AE82" s="135"/>
      <c r="AF82" s="135"/>
      <c r="AG82" s="136"/>
      <c r="AH82" s="136"/>
      <c r="AI82" s="135"/>
      <c r="AJ82" s="135"/>
      <c r="BA82" s="125">
        <v>10</v>
      </c>
      <c r="BB82" s="125">
        <v>10</v>
      </c>
      <c r="BC82" s="125">
        <v>10</v>
      </c>
      <c r="BD82" s="125">
        <v>10</v>
      </c>
      <c r="BE82" s="125">
        <v>10</v>
      </c>
      <c r="BF82" s="126"/>
      <c r="BG82" s="127"/>
      <c r="BH82" s="46"/>
      <c r="BI82" s="139">
        <f>SUMIF($D$7:$BG$7,"1",$D82:$BG82)</f>
        <v>15</v>
      </c>
      <c r="BJ82" s="140">
        <f>SUMIFS($D$9:$BG$9,$D$7:$BG$7,"1",$D82:$BG82,"&gt;"&amp;-1)</f>
        <v>15</v>
      </c>
      <c r="BK82" s="141">
        <f t="shared" si="0"/>
        <v>100</v>
      </c>
      <c r="BL82" s="142">
        <f>SUMIF($D$7:$BG$7,"2",$D82:$BG82)</f>
        <v>29</v>
      </c>
      <c r="BM82" s="140">
        <f>SUMIFS($D$9:$BG$9,$D$7:$BG$7,"2",$D82:$BG82,"&gt;"&amp;-1)</f>
        <v>30</v>
      </c>
      <c r="BN82" s="141">
        <f t="shared" si="1"/>
        <v>96.67</v>
      </c>
      <c r="BO82" s="142">
        <f>SUMIF($D$7:$BG$7,"3",$D82:$BG82)</f>
        <v>24</v>
      </c>
      <c r="BP82" s="140">
        <f>SUMIFS($D$9:$BG$9,$D$7:$BG$7,"3",$D82:$BG82,"&gt;"&amp;-1)</f>
        <v>25</v>
      </c>
      <c r="BQ82" s="141">
        <f t="shared" si="2"/>
        <v>96</v>
      </c>
      <c r="BR82" s="142">
        <f>SUMIF($D$7:$BG$7,"4",$D82:$BG82)</f>
        <v>15</v>
      </c>
      <c r="BS82" s="140">
        <f>SUMIFS($D$9:$BG$9,$D$7:$BG$7,"4",$D82:$BG82,"&gt;"&amp;-1)</f>
        <v>15</v>
      </c>
      <c r="BT82" s="141">
        <f t="shared" si="3"/>
        <v>100</v>
      </c>
      <c r="BU82" s="142">
        <f>SUMIF($D$7:$BG$7,"5",$D82:$BG82)</f>
        <v>14</v>
      </c>
      <c r="BV82" s="140">
        <f>SUMIFS($D$9:$BG$9,$D$7:$BG$7,"5",$D82:$BG82,"&gt;"&amp;-1)</f>
        <v>20</v>
      </c>
      <c r="BW82" s="141">
        <f t="shared" si="4"/>
        <v>70</v>
      </c>
      <c r="BX82" s="142">
        <f>SUMIF($D$7:$BG$7,"6",$D82:$BG82)</f>
        <v>0</v>
      </c>
      <c r="BY82" s="140">
        <f>SUMIFS($D$9:$BG$9,$D$7:$BG$7,"6",$D82:$BG82,"&gt;"&amp;-1)</f>
        <v>0</v>
      </c>
      <c r="BZ82" s="141">
        <f t="shared" si="5"/>
        <v>0</v>
      </c>
    </row>
    <row r="83" ht="15.75" customHeight="1" spans="1:78" x14ac:dyDescent="0.25">
      <c r="A83" s="150" t="s">
        <v>141</v>
      </c>
      <c r="B83" s="150"/>
      <c r="C83" s="117"/>
      <c r="D83" s="132">
        <v>5</v>
      </c>
      <c r="E83" s="133"/>
      <c r="F83" s="134">
        <v>2</v>
      </c>
      <c r="G83" s="134"/>
      <c r="H83" s="135"/>
      <c r="I83" s="135"/>
      <c r="J83" s="136">
        <v>2.5</v>
      </c>
      <c r="K83" s="137">
        <v>2.5</v>
      </c>
      <c r="L83" s="134">
        <v>1</v>
      </c>
      <c r="M83" s="134">
        <v>1</v>
      </c>
      <c r="N83" s="135"/>
      <c r="O83" s="135"/>
      <c r="P83" s="136">
        <v>1</v>
      </c>
      <c r="Q83" s="136">
        <v>1</v>
      </c>
      <c r="R83" s="135"/>
      <c r="S83" s="135"/>
      <c r="T83" s="138"/>
      <c r="U83" s="132">
        <v>5</v>
      </c>
      <c r="V83" s="133"/>
      <c r="W83" s="134">
        <v>3</v>
      </c>
      <c r="X83" s="134">
        <v>2</v>
      </c>
      <c r="Y83" s="135">
        <v>5</v>
      </c>
      <c r="Z83" s="135"/>
      <c r="AA83" s="136">
        <v>3</v>
      </c>
      <c r="AB83" s="137"/>
      <c r="AC83" s="134">
        <v>3</v>
      </c>
      <c r="AD83" s="134"/>
      <c r="AE83" s="135"/>
      <c r="AF83" s="135"/>
      <c r="AG83" s="136"/>
      <c r="AH83" s="136"/>
      <c r="AI83" s="135"/>
      <c r="AJ83" s="135"/>
      <c r="BA83" s="125">
        <v>10</v>
      </c>
      <c r="BB83" s="125">
        <v>10</v>
      </c>
      <c r="BC83" s="125">
        <v>10</v>
      </c>
      <c r="BD83" s="125">
        <v>10</v>
      </c>
      <c r="BE83" s="125">
        <v>10</v>
      </c>
      <c r="BF83" s="126"/>
      <c r="BG83" s="127"/>
      <c r="BH83" s="46"/>
      <c r="BI83" s="139">
        <f>SUMIF($D$7:$BG$7,"1",$D83:$BG83)</f>
        <v>15</v>
      </c>
      <c r="BJ83" s="140">
        <f>SUMIFS($D$9:$BG$9,$D$7:$BG$7,"1",$D83:$BG83,"&gt;"&amp;-1)</f>
        <v>15</v>
      </c>
      <c r="BK83" s="141">
        <f t="shared" si="0"/>
        <v>100</v>
      </c>
      <c r="BL83" s="142">
        <f>SUMIF($D$7:$BG$7,"2",$D83:$BG83)</f>
        <v>22</v>
      </c>
      <c r="BM83" s="140">
        <f>SUMIFS($D$9:$BG$9,$D$7:$BG$7,"2",$D83:$BG83,"&gt;"&amp;-1)</f>
        <v>25</v>
      </c>
      <c r="BN83" s="141">
        <f t="shared" si="1"/>
        <v>88</v>
      </c>
      <c r="BO83" s="142">
        <f>SUMIF($D$7:$BG$7,"3",$D83:$BG83)</f>
        <v>25</v>
      </c>
      <c r="BP83" s="140">
        <f>SUMIFS($D$9:$BG$9,$D$7:$BG$7,"3",$D83:$BG83,"&gt;"&amp;-1)</f>
        <v>30</v>
      </c>
      <c r="BQ83" s="141">
        <f t="shared" si="2"/>
        <v>83.34</v>
      </c>
      <c r="BR83" s="142">
        <f>SUMIF($D$7:$BG$7,"4",$D83:$BG83)</f>
        <v>13</v>
      </c>
      <c r="BS83" s="140">
        <f>SUMIFS($D$9:$BG$9,$D$7:$BG$7,"4",$D83:$BG83,"&gt;"&amp;-1)</f>
        <v>15</v>
      </c>
      <c r="BT83" s="141">
        <f t="shared" si="3"/>
        <v>86.67</v>
      </c>
      <c r="BU83" s="142">
        <f>SUMIF($D$7:$BG$7,"5",$D83:$BG83)</f>
        <v>12</v>
      </c>
      <c r="BV83" s="140">
        <f>SUMIFS($D$9:$BG$9,$D$7:$BG$7,"5",$D83:$BG83,"&gt;"&amp;-1)</f>
        <v>20</v>
      </c>
      <c r="BW83" s="141">
        <f t="shared" si="4"/>
        <v>60</v>
      </c>
      <c r="BX83" s="142">
        <f>SUMIF($D$7:$BG$7,"6",$D83:$BG83)</f>
        <v>0</v>
      </c>
      <c r="BY83" s="140">
        <f>SUMIFS($D$9:$BG$9,$D$7:$BG$7,"6",$D83:$BG83,"&gt;"&amp;-1)</f>
        <v>0</v>
      </c>
      <c r="BZ83" s="141">
        <f t="shared" si="5"/>
        <v>0</v>
      </c>
    </row>
    <row r="84" ht="15.75" customHeight="1" spans="1:78" x14ac:dyDescent="0.25">
      <c r="A84" s="150" t="s">
        <v>142</v>
      </c>
      <c r="B84" s="150"/>
      <c r="C84" s="117"/>
      <c r="D84" s="132">
        <v>3</v>
      </c>
      <c r="E84" s="133"/>
      <c r="F84" s="134"/>
      <c r="G84" s="134"/>
      <c r="H84" s="135"/>
      <c r="I84" s="135"/>
      <c r="J84" s="136"/>
      <c r="K84" s="137"/>
      <c r="L84" s="134">
        <v>2</v>
      </c>
      <c r="M84" s="134"/>
      <c r="N84" s="135">
        <v>2</v>
      </c>
      <c r="O84" s="135"/>
      <c r="P84" s="136">
        <v>2</v>
      </c>
      <c r="Q84" s="136"/>
      <c r="R84" s="135"/>
      <c r="S84" s="135"/>
      <c r="T84" s="138"/>
      <c r="U84" s="132">
        <v>5</v>
      </c>
      <c r="V84" s="133"/>
      <c r="W84" s="134">
        <v>3</v>
      </c>
      <c r="X84" s="134">
        <v>2</v>
      </c>
      <c r="Y84" s="135">
        <v>5</v>
      </c>
      <c r="Z84" s="135"/>
      <c r="AA84" s="136">
        <v>5</v>
      </c>
      <c r="AB84" s="137"/>
      <c r="AC84" s="134">
        <v>5</v>
      </c>
      <c r="AD84" s="134"/>
      <c r="AE84" s="135">
        <v>1</v>
      </c>
      <c r="AF84" s="135"/>
      <c r="AG84" s="136"/>
      <c r="AH84" s="136"/>
      <c r="AI84" s="135"/>
      <c r="AJ84" s="135"/>
      <c r="BA84" s="125">
        <v>6.5</v>
      </c>
      <c r="BB84" s="125">
        <v>6.5</v>
      </c>
      <c r="BC84" s="125">
        <v>6.5</v>
      </c>
      <c r="BD84" s="125">
        <v>6.5</v>
      </c>
      <c r="BE84" s="125">
        <v>6.5</v>
      </c>
      <c r="BF84" s="126"/>
      <c r="BG84" s="127"/>
      <c r="BH84" s="46"/>
      <c r="BI84" s="139">
        <f>SUMIF($D$7:$BG$7,"1",$D84:$BG84)</f>
        <v>6.5</v>
      </c>
      <c r="BJ84" s="140">
        <f>SUMIFS($D$9:$BG$9,$D$7:$BG$7,"1",$D84:$BG84,"&gt;"&amp;-1)</f>
        <v>10</v>
      </c>
      <c r="BK84" s="141">
        <f t="shared" si="0"/>
        <v>65</v>
      </c>
      <c r="BL84" s="142">
        <f>SUMIF($D$7:$BG$7,"2",$D84:$BG84)</f>
        <v>16.5</v>
      </c>
      <c r="BM84" s="140">
        <f>SUMIFS($D$9:$BG$9,$D$7:$BG$7,"2",$D84:$BG84,"&gt;"&amp;-1)</f>
        <v>23</v>
      </c>
      <c r="BN84" s="141">
        <f t="shared" si="1"/>
        <v>71.74000000000001</v>
      </c>
      <c r="BO84" s="142">
        <f>SUMIF($D$7:$BG$7,"3",$D84:$BG84)</f>
        <v>24.5</v>
      </c>
      <c r="BP84" s="140">
        <f>SUMIFS($D$9:$BG$9,$D$7:$BG$7,"3",$D84:$BG84,"&gt;"&amp;-1)</f>
        <v>35</v>
      </c>
      <c r="BQ84" s="141">
        <f t="shared" si="2"/>
        <v>70</v>
      </c>
      <c r="BR84" s="142">
        <f>SUMIF($D$7:$BG$7,"4",$D84:$BG84)</f>
        <v>11.5</v>
      </c>
      <c r="BS84" s="140">
        <f>SUMIFS($D$9:$BG$9,$D$7:$BG$7,"4",$D84:$BG84,"&gt;"&amp;-1)</f>
        <v>15</v>
      </c>
      <c r="BT84" s="141">
        <f t="shared" si="3"/>
        <v>76.67</v>
      </c>
      <c r="BU84" s="142">
        <f>SUMIF($D$7:$BG$7,"5",$D84:$BG84)</f>
        <v>8.5</v>
      </c>
      <c r="BV84" s="140">
        <f>SUMIFS($D$9:$BG$9,$D$7:$BG$7,"5",$D84:$BG84,"&gt;"&amp;-1)</f>
        <v>15</v>
      </c>
      <c r="BW84" s="141">
        <f t="shared" si="4"/>
        <v>56.669999999999995</v>
      </c>
      <c r="BX84" s="142">
        <f>SUMIF($D$7:$BG$7,"6",$D84:$BG84)</f>
        <v>0</v>
      </c>
      <c r="BY84" s="140">
        <f>SUMIFS($D$9:$BG$9,$D$7:$BG$7,"6",$D84:$BG84,"&gt;"&amp;-1)</f>
        <v>0</v>
      </c>
      <c r="BZ84" s="141">
        <f t="shared" si="5"/>
        <v>0</v>
      </c>
    </row>
    <row r="85" ht="15.75" customHeight="1" spans="1:78" x14ac:dyDescent="0.25">
      <c r="A85" s="150" t="s">
        <v>143</v>
      </c>
      <c r="B85" s="150"/>
      <c r="C85" s="117"/>
      <c r="D85" s="132">
        <v>5</v>
      </c>
      <c r="E85" s="133"/>
      <c r="F85" s="134">
        <v>5</v>
      </c>
      <c r="G85" s="134"/>
      <c r="H85" s="135">
        <v>5</v>
      </c>
      <c r="I85" s="135"/>
      <c r="J85" s="136">
        <v>1</v>
      </c>
      <c r="K85" s="137"/>
      <c r="L85" s="134"/>
      <c r="M85" s="134"/>
      <c r="N85" s="135"/>
      <c r="O85" s="135"/>
      <c r="P85" s="136"/>
      <c r="Q85" s="136"/>
      <c r="R85" s="135"/>
      <c r="S85" s="135"/>
      <c r="T85" s="138"/>
      <c r="U85" s="132">
        <v>5</v>
      </c>
      <c r="V85" s="133"/>
      <c r="W85" s="134">
        <v>3</v>
      </c>
      <c r="X85" s="134">
        <v>2</v>
      </c>
      <c r="Y85" s="135">
        <v>5</v>
      </c>
      <c r="Z85" s="135"/>
      <c r="AA85" s="136">
        <v>4</v>
      </c>
      <c r="AB85" s="137"/>
      <c r="AC85" s="134">
        <v>5</v>
      </c>
      <c r="AD85" s="134"/>
      <c r="AE85" s="135"/>
      <c r="AF85" s="135"/>
      <c r="AG85" s="136"/>
      <c r="AH85" s="136"/>
      <c r="AI85" s="135"/>
      <c r="AJ85" s="135"/>
      <c r="BA85" s="125">
        <v>9</v>
      </c>
      <c r="BB85" s="125">
        <v>9</v>
      </c>
      <c r="BC85" s="125">
        <v>9</v>
      </c>
      <c r="BD85" s="125">
        <v>9</v>
      </c>
      <c r="BE85" s="125">
        <v>9</v>
      </c>
      <c r="BF85" s="126"/>
      <c r="BG85" s="127"/>
      <c r="BH85" s="46"/>
      <c r="BI85" s="139">
        <f>SUMIF($D$7:$BG$7,"1",$D85:$BG85)</f>
        <v>10</v>
      </c>
      <c r="BJ85" s="140">
        <f>SUMIFS($D$9:$BG$9,$D$7:$BG$7,"1",$D85:$BG85,"&gt;"&amp;-1)</f>
        <v>12.5</v>
      </c>
      <c r="BK85" s="141">
        <f t="shared" si="0"/>
        <v>80</v>
      </c>
      <c r="BL85" s="142">
        <f>SUMIF($D$7:$BG$7,"2",$D85:$BG85)</f>
        <v>24</v>
      </c>
      <c r="BM85" s="140">
        <f>SUMIFS($D$9:$BG$9,$D$7:$BG$7,"2",$D85:$BG85,"&gt;"&amp;-1)</f>
        <v>25</v>
      </c>
      <c r="BN85" s="141">
        <f t="shared" si="1"/>
        <v>96</v>
      </c>
      <c r="BO85" s="142">
        <f>SUMIF($D$7:$BG$7,"3",$D85:$BG85)</f>
        <v>29</v>
      </c>
      <c r="BP85" s="140">
        <f>SUMIFS($D$9:$BG$9,$D$7:$BG$7,"3",$D85:$BG85,"&gt;"&amp;-1)</f>
        <v>30</v>
      </c>
      <c r="BQ85" s="141">
        <f t="shared" si="2"/>
        <v>96.67</v>
      </c>
      <c r="BR85" s="142">
        <f>SUMIF($D$7:$BG$7,"4",$D85:$BG85)</f>
        <v>13</v>
      </c>
      <c r="BS85" s="140">
        <f>SUMIFS($D$9:$BG$9,$D$7:$BG$7,"4",$D85:$BG85,"&gt;"&amp;-1)</f>
        <v>15</v>
      </c>
      <c r="BT85" s="141">
        <f t="shared" si="3"/>
        <v>86.67</v>
      </c>
      <c r="BU85" s="142">
        <f>SUMIF($D$7:$BG$7,"5",$D85:$BG85)</f>
        <v>9</v>
      </c>
      <c r="BV85" s="140">
        <f>SUMIFS($D$9:$BG$9,$D$7:$BG$7,"5",$D85:$BG85,"&gt;"&amp;-1)</f>
        <v>10</v>
      </c>
      <c r="BW85" s="141">
        <f t="shared" si="4"/>
        <v>90</v>
      </c>
      <c r="BX85" s="142">
        <f>SUMIF($D$7:$BG$7,"6",$D85:$BG85)</f>
        <v>0</v>
      </c>
      <c r="BY85" s="140">
        <f>SUMIFS($D$9:$BG$9,$D$7:$BG$7,"6",$D85:$BG85,"&gt;"&amp;-1)</f>
        <v>0</v>
      </c>
      <c r="BZ85" s="141">
        <f t="shared" si="5"/>
        <v>0</v>
      </c>
    </row>
    <row r="86" ht="15.75" customHeight="1" spans="1:78" x14ac:dyDescent="0.25">
      <c r="A86" s="150" t="s">
        <v>144</v>
      </c>
      <c r="B86" s="150"/>
      <c r="C86" s="117"/>
      <c r="D86" s="132">
        <v>4</v>
      </c>
      <c r="E86" s="133"/>
      <c r="F86" s="134"/>
      <c r="G86" s="134"/>
      <c r="H86" s="135"/>
      <c r="I86" s="135"/>
      <c r="J86" s="136"/>
      <c r="K86" s="137">
        <v>1</v>
      </c>
      <c r="L86" s="134">
        <v>2</v>
      </c>
      <c r="M86" s="134"/>
      <c r="N86" s="135"/>
      <c r="O86" s="135"/>
      <c r="P86" s="136">
        <v>2</v>
      </c>
      <c r="Q86" s="136"/>
      <c r="R86" s="135"/>
      <c r="S86" s="135"/>
      <c r="T86" s="138"/>
      <c r="U86" s="132">
        <v>5</v>
      </c>
      <c r="V86" s="133"/>
      <c r="W86" s="134">
        <v>3</v>
      </c>
      <c r="X86" s="134">
        <v>2</v>
      </c>
      <c r="Y86" s="135">
        <v>5</v>
      </c>
      <c r="Z86" s="135"/>
      <c r="AA86" s="136">
        <v>5</v>
      </c>
      <c r="AB86" s="137"/>
      <c r="AC86" s="134">
        <v>4</v>
      </c>
      <c r="AD86" s="134"/>
      <c r="AE86" s="135">
        <v>2</v>
      </c>
      <c r="AF86" s="135"/>
      <c r="AG86" s="136"/>
      <c r="AH86" s="136"/>
      <c r="AI86" s="135"/>
      <c r="AJ86" s="135"/>
      <c r="BA86" s="125">
        <v>10</v>
      </c>
      <c r="BB86" s="125">
        <v>10</v>
      </c>
      <c r="BC86" s="125">
        <v>10</v>
      </c>
      <c r="BD86" s="125">
        <v>10</v>
      </c>
      <c r="BE86" s="125">
        <v>10</v>
      </c>
      <c r="BF86" s="126"/>
      <c r="BG86" s="127"/>
      <c r="BH86" s="46"/>
      <c r="BI86" s="139">
        <f>SUMIF($D$7:$BG$7,"1",$D86:$BG86)</f>
        <v>11</v>
      </c>
      <c r="BJ86" s="140">
        <f>SUMIFS($D$9:$BG$9,$D$7:$BG$7,"1",$D86:$BG86,"&gt;"&amp;-1)</f>
        <v>12.5</v>
      </c>
      <c r="BK86" s="141">
        <f t="shared" si="0"/>
        <v>88</v>
      </c>
      <c r="BL86" s="142">
        <f>SUMIF($D$7:$BG$7,"2",$D86:$BG86)</f>
        <v>21</v>
      </c>
      <c r="BM86" s="140">
        <f>SUMIFS($D$9:$BG$9,$D$7:$BG$7,"2",$D86:$BG86,"&gt;"&amp;-1)</f>
        <v>23</v>
      </c>
      <c r="BN86" s="141">
        <f t="shared" si="1"/>
        <v>91.31</v>
      </c>
      <c r="BO86" s="142">
        <f>SUMIF($D$7:$BG$7,"3",$D86:$BG86)</f>
        <v>26</v>
      </c>
      <c r="BP86" s="140">
        <f>SUMIFS($D$9:$BG$9,$D$7:$BG$7,"3",$D86:$BG86,"&gt;"&amp;-1)</f>
        <v>30</v>
      </c>
      <c r="BQ86" s="141">
        <f t="shared" si="2"/>
        <v>86.67</v>
      </c>
      <c r="BR86" s="142">
        <f>SUMIF($D$7:$BG$7,"4",$D86:$BG86)</f>
        <v>15</v>
      </c>
      <c r="BS86" s="140">
        <f>SUMIFS($D$9:$BG$9,$D$7:$BG$7,"4",$D86:$BG86,"&gt;"&amp;-1)</f>
        <v>15</v>
      </c>
      <c r="BT86" s="141">
        <f t="shared" si="3"/>
        <v>100</v>
      </c>
      <c r="BU86" s="142">
        <f>SUMIF($D$7:$BG$7,"5",$D86:$BG86)</f>
        <v>12</v>
      </c>
      <c r="BV86" s="140">
        <f>SUMIFS($D$9:$BG$9,$D$7:$BG$7,"5",$D86:$BG86,"&gt;"&amp;-1)</f>
        <v>15</v>
      </c>
      <c r="BW86" s="141">
        <f t="shared" si="4"/>
        <v>80</v>
      </c>
      <c r="BX86" s="142">
        <f>SUMIF($D$7:$BG$7,"6",$D86:$BG86)</f>
        <v>0</v>
      </c>
      <c r="BY86" s="140">
        <f>SUMIFS($D$9:$BG$9,$D$7:$BG$7,"6",$D86:$BG86,"&gt;"&amp;-1)</f>
        <v>0</v>
      </c>
      <c r="BZ86" s="141">
        <f t="shared" si="5"/>
        <v>0</v>
      </c>
    </row>
    <row r="87" ht="15.75" customHeight="1" spans="1:78" x14ac:dyDescent="0.25">
      <c r="A87" s="150" t="s">
        <v>145</v>
      </c>
      <c r="B87" s="150"/>
      <c r="C87" s="117"/>
      <c r="D87" s="132">
        <v>5</v>
      </c>
      <c r="E87" s="133"/>
      <c r="F87" s="134"/>
      <c r="G87" s="134"/>
      <c r="H87" s="135"/>
      <c r="I87" s="135"/>
      <c r="J87" s="136">
        <v>2.5</v>
      </c>
      <c r="K87" s="137">
        <v>2.5</v>
      </c>
      <c r="L87" s="134"/>
      <c r="M87" s="134">
        <v>2</v>
      </c>
      <c r="N87" s="135"/>
      <c r="O87" s="135"/>
      <c r="P87" s="136"/>
      <c r="Q87" s="136">
        <v>2</v>
      </c>
      <c r="R87" s="135"/>
      <c r="S87" s="135"/>
      <c r="T87" s="138"/>
      <c r="U87" s="132">
        <v>5</v>
      </c>
      <c r="V87" s="133"/>
      <c r="W87" s="134">
        <v>3</v>
      </c>
      <c r="X87" s="134">
        <v>2</v>
      </c>
      <c r="Y87" s="135"/>
      <c r="Z87" s="135"/>
      <c r="AA87" s="136">
        <v>3</v>
      </c>
      <c r="AB87" s="137"/>
      <c r="AC87" s="134">
        <v>5</v>
      </c>
      <c r="AD87" s="134"/>
      <c r="AE87" s="135"/>
      <c r="AF87" s="135"/>
      <c r="AG87" s="136"/>
      <c r="AH87" s="136"/>
      <c r="AI87" s="135"/>
      <c r="AJ87" s="135"/>
      <c r="BA87" s="125">
        <v>10</v>
      </c>
      <c r="BB87" s="125">
        <v>10</v>
      </c>
      <c r="BC87" s="125">
        <v>10</v>
      </c>
      <c r="BD87" s="125">
        <v>10</v>
      </c>
      <c r="BE87" s="125">
        <v>10</v>
      </c>
      <c r="BF87" s="126"/>
      <c r="BG87" s="127"/>
      <c r="BH87" s="46"/>
      <c r="BI87" s="139">
        <f>SUMIF($D$7:$BG$7,"1",$D87:$BG87)</f>
        <v>15</v>
      </c>
      <c r="BJ87" s="140">
        <f>SUMIFS($D$9:$BG$9,$D$7:$BG$7,"1",$D87:$BG87,"&gt;"&amp;-1)</f>
        <v>15</v>
      </c>
      <c r="BK87" s="141">
        <f t="shared" si="0"/>
        <v>100</v>
      </c>
      <c r="BL87" s="142">
        <f>SUMIF($D$7:$BG$7,"2",$D87:$BG87)</f>
        <v>22</v>
      </c>
      <c r="BM87" s="140">
        <f>SUMIFS($D$9:$BG$9,$D$7:$BG$7,"2",$D87:$BG87,"&gt;"&amp;-1)</f>
        <v>22</v>
      </c>
      <c r="BN87" s="141">
        <f t="shared" si="1"/>
        <v>100</v>
      </c>
      <c r="BO87" s="142">
        <f>SUMIF($D$7:$BG$7,"3",$D87:$BG87)</f>
        <v>20</v>
      </c>
      <c r="BP87" s="140">
        <f>SUMIFS($D$9:$BG$9,$D$7:$BG$7,"3",$D87:$BG87,"&gt;"&amp;-1)</f>
        <v>20</v>
      </c>
      <c r="BQ87" s="141">
        <f t="shared" si="2"/>
        <v>100</v>
      </c>
      <c r="BR87" s="142">
        <f>SUMIF($D$7:$BG$7,"4",$D87:$BG87)</f>
        <v>13</v>
      </c>
      <c r="BS87" s="140">
        <f>SUMIFS($D$9:$BG$9,$D$7:$BG$7,"4",$D87:$BG87,"&gt;"&amp;-1)</f>
        <v>15</v>
      </c>
      <c r="BT87" s="141">
        <f t="shared" si="3"/>
        <v>86.67</v>
      </c>
      <c r="BU87" s="142">
        <f>SUMIF($D$7:$BG$7,"5",$D87:$BG87)</f>
        <v>12</v>
      </c>
      <c r="BV87" s="140">
        <f>SUMIFS($D$9:$BG$9,$D$7:$BG$7,"5",$D87:$BG87,"&gt;"&amp;-1)</f>
        <v>15</v>
      </c>
      <c r="BW87" s="141">
        <f t="shared" si="4"/>
        <v>80</v>
      </c>
      <c r="BX87" s="142">
        <f>SUMIF($D$7:$BG$7,"6",$D87:$BG87)</f>
        <v>0</v>
      </c>
      <c r="BY87" s="140">
        <f>SUMIFS($D$9:$BG$9,$D$7:$BG$7,"6",$D87:$BG87,"&gt;"&amp;-1)</f>
        <v>0</v>
      </c>
      <c r="BZ87" s="141">
        <f t="shared" si="5"/>
        <v>0</v>
      </c>
    </row>
    <row r="88" ht="15.75" customHeight="1" spans="1:78" x14ac:dyDescent="0.25">
      <c r="A88" s="150" t="s">
        <v>146</v>
      </c>
      <c r="B88" s="150"/>
      <c r="C88" s="117"/>
      <c r="D88" s="132"/>
      <c r="E88" s="133"/>
      <c r="F88" s="134"/>
      <c r="G88" s="134"/>
      <c r="H88" s="135"/>
      <c r="I88" s="135"/>
      <c r="J88" s="136"/>
      <c r="K88" s="137"/>
      <c r="L88" s="134"/>
      <c r="M88" s="134"/>
      <c r="N88" s="135"/>
      <c r="O88" s="135"/>
      <c r="P88" s="136"/>
      <c r="Q88" s="136"/>
      <c r="R88" s="135"/>
      <c r="S88" s="135"/>
      <c r="T88" s="138"/>
      <c r="U88" s="132"/>
      <c r="V88" s="133"/>
      <c r="W88" s="134"/>
      <c r="X88" s="134"/>
      <c r="Y88" s="135"/>
      <c r="Z88" s="135"/>
      <c r="AA88" s="136"/>
      <c r="AB88" s="137"/>
      <c r="AC88" s="134"/>
      <c r="AD88" s="134"/>
      <c r="AE88" s="135"/>
      <c r="AF88" s="135"/>
      <c r="AG88" s="136"/>
      <c r="AH88" s="136"/>
      <c r="AI88" s="135"/>
      <c r="AJ88" s="135"/>
      <c r="BA88" s="125">
        <v>0</v>
      </c>
      <c r="BB88" s="125">
        <v>0</v>
      </c>
      <c r="BC88" s="125">
        <v>0</v>
      </c>
      <c r="BD88" s="125">
        <v>0</v>
      </c>
      <c r="BE88" s="125">
        <v>0</v>
      </c>
      <c r="BF88" s="126"/>
      <c r="BG88" s="127"/>
      <c r="BH88" s="46"/>
      <c r="BI88" s="139">
        <f>SUMIF($D$7:$BG$7,"1",$D88:$BG88)</f>
        <v>0</v>
      </c>
      <c r="BJ88" s="140">
        <f>SUMIFS($D$9:$BG$9,$D$7:$BG$7,"1",$D88:$BG88,"&gt;"&amp;-1)</f>
        <v>10</v>
      </c>
      <c r="BK88" s="141">
        <f t="shared" si="0"/>
        <v>0</v>
      </c>
      <c r="BL88" s="142">
        <f>SUMIF($D$7:$BG$7,"2",$D88:$BG88)</f>
        <v>0</v>
      </c>
      <c r="BM88" s="140">
        <f>SUMIFS($D$9:$BG$9,$D$7:$BG$7,"2",$D88:$BG88,"&gt;"&amp;-1)</f>
        <v>10</v>
      </c>
      <c r="BN88" s="141">
        <f t="shared" si="1"/>
        <v>0</v>
      </c>
      <c r="BO88" s="142">
        <f>SUMIF($D$7:$BG$7,"3",$D88:$BG88)</f>
        <v>0</v>
      </c>
      <c r="BP88" s="140">
        <f>SUMIFS($D$9:$BG$9,$D$7:$BG$7,"3",$D88:$BG88,"&gt;"&amp;-1)</f>
        <v>10</v>
      </c>
      <c r="BQ88" s="141">
        <f t="shared" si="2"/>
        <v>0</v>
      </c>
      <c r="BR88" s="142">
        <f>SUMIF($D$7:$BG$7,"4",$D88:$BG88)</f>
        <v>0</v>
      </c>
      <c r="BS88" s="140">
        <f>SUMIFS($D$9:$BG$9,$D$7:$BG$7,"4",$D88:$BG88,"&gt;"&amp;-1)</f>
        <v>10</v>
      </c>
      <c r="BT88" s="141">
        <f t="shared" si="3"/>
        <v>0</v>
      </c>
      <c r="BU88" s="142">
        <f>SUMIF($D$7:$BG$7,"5",$D88:$BG88)</f>
        <v>0</v>
      </c>
      <c r="BV88" s="140">
        <f>SUMIFS($D$9:$BG$9,$D$7:$BG$7,"5",$D88:$BG88,"&gt;"&amp;-1)</f>
        <v>10</v>
      </c>
      <c r="BW88" s="141">
        <f t="shared" si="4"/>
        <v>0</v>
      </c>
      <c r="BX88" s="142">
        <f>SUMIF($D$7:$BG$7,"6",$D88:$BG88)</f>
        <v>0</v>
      </c>
      <c r="BY88" s="140">
        <f>SUMIFS($D$9:$BG$9,$D$7:$BG$7,"6",$D88:$BG88,"&gt;"&amp;-1)</f>
        <v>0</v>
      </c>
      <c r="BZ88" s="141">
        <f t="shared" si="5"/>
        <v>0</v>
      </c>
    </row>
    <row r="89" ht="15.75" customHeight="1" spans="1:78" x14ac:dyDescent="0.25">
      <c r="A89" s="150" t="s">
        <v>147</v>
      </c>
      <c r="B89" s="150"/>
      <c r="C89" s="117"/>
      <c r="D89" s="132"/>
      <c r="E89" s="133"/>
      <c r="F89" s="134"/>
      <c r="G89" s="134"/>
      <c r="H89" s="135"/>
      <c r="I89" s="135"/>
      <c r="J89" s="136"/>
      <c r="K89" s="137"/>
      <c r="L89" s="134">
        <v>1</v>
      </c>
      <c r="M89" s="134"/>
      <c r="N89" s="135"/>
      <c r="O89" s="135"/>
      <c r="P89" s="136">
        <v>1</v>
      </c>
      <c r="Q89" s="136"/>
      <c r="R89" s="135"/>
      <c r="S89" s="135"/>
      <c r="T89" s="138"/>
      <c r="U89" s="132">
        <v>5</v>
      </c>
      <c r="V89" s="133"/>
      <c r="W89" s="134">
        <v>3</v>
      </c>
      <c r="X89" s="134">
        <v>2</v>
      </c>
      <c r="Y89" s="135">
        <v>1</v>
      </c>
      <c r="Z89" s="135"/>
      <c r="AA89" s="136">
        <v>1</v>
      </c>
      <c r="AB89" s="137"/>
      <c r="AC89" s="134"/>
      <c r="AD89" s="134"/>
      <c r="AE89" s="135">
        <v>0</v>
      </c>
      <c r="AF89" s="135"/>
      <c r="AG89" s="136"/>
      <c r="AH89" s="136"/>
      <c r="AI89" s="135"/>
      <c r="AJ89" s="135"/>
      <c r="BA89" s="125">
        <v>2.5</v>
      </c>
      <c r="BB89" s="125">
        <v>2.5</v>
      </c>
      <c r="BC89" s="125">
        <v>2.5</v>
      </c>
      <c r="BD89" s="125">
        <v>2.5</v>
      </c>
      <c r="BE89" s="125">
        <v>2.5</v>
      </c>
      <c r="BF89" s="126"/>
      <c r="BG89" s="127"/>
      <c r="BH89" s="46"/>
      <c r="BI89" s="139">
        <f>SUMIF($D$7:$BG$7,"1",$D89:$BG89)</f>
        <v>2.5</v>
      </c>
      <c r="BJ89" s="140">
        <f>SUMIFS($D$9:$BG$9,$D$7:$BG$7,"1",$D89:$BG89,"&gt;"&amp;-1)</f>
        <v>10</v>
      </c>
      <c r="BK89" s="141">
        <f t="shared" si="0"/>
        <v>25</v>
      </c>
      <c r="BL89" s="142">
        <f>SUMIF($D$7:$BG$7,"2",$D89:$BG89)</f>
        <v>8.5</v>
      </c>
      <c r="BM89" s="140">
        <f>SUMIFS($D$9:$BG$9,$D$7:$BG$7,"2",$D89:$BG89,"&gt;"&amp;-1)</f>
        <v>18</v>
      </c>
      <c r="BN89" s="141">
        <f t="shared" si="1"/>
        <v>47.23</v>
      </c>
      <c r="BO89" s="142">
        <f>SUMIF($D$7:$BG$7,"3",$D89:$BG89)</f>
        <v>8.5</v>
      </c>
      <c r="BP89" s="140">
        <f>SUMIFS($D$9:$BG$9,$D$7:$BG$7,"3",$D89:$BG89,"&gt;"&amp;-1)</f>
        <v>25</v>
      </c>
      <c r="BQ89" s="141">
        <f t="shared" si="2"/>
        <v>34</v>
      </c>
      <c r="BR89" s="142">
        <f>SUMIF($D$7:$BG$7,"4",$D89:$BG89)</f>
        <v>3.5</v>
      </c>
      <c r="BS89" s="140">
        <f>SUMIFS($D$9:$BG$9,$D$7:$BG$7,"4",$D89:$BG89,"&gt;"&amp;-1)</f>
        <v>15</v>
      </c>
      <c r="BT89" s="141">
        <f t="shared" si="3"/>
        <v>23.34</v>
      </c>
      <c r="BU89" s="142">
        <f>SUMIF($D$7:$BG$7,"5",$D89:$BG89)</f>
        <v>3.5</v>
      </c>
      <c r="BV89" s="140">
        <f>SUMIFS($D$9:$BG$9,$D$7:$BG$7,"5",$D89:$BG89,"&gt;"&amp;-1)</f>
        <v>15</v>
      </c>
      <c r="BW89" s="141">
        <f t="shared" si="4"/>
        <v>23.34</v>
      </c>
      <c r="BX89" s="142">
        <f>SUMIF($D$7:$BG$7,"6",$D89:$BG89)</f>
        <v>0</v>
      </c>
      <c r="BY89" s="140">
        <f>SUMIFS($D$9:$BG$9,$D$7:$BG$7,"6",$D89:$BG89,"&gt;"&amp;-1)</f>
        <v>0</v>
      </c>
      <c r="BZ89" s="141">
        <f t="shared" si="5"/>
        <v>0</v>
      </c>
    </row>
    <row r="90" ht="15.75" customHeight="1" spans="1:78" x14ac:dyDescent="0.25">
      <c r="A90" s="150" t="s">
        <v>148</v>
      </c>
      <c r="B90" s="150"/>
      <c r="C90" s="117"/>
      <c r="D90" s="132">
        <v>5</v>
      </c>
      <c r="E90" s="133"/>
      <c r="F90" s="134">
        <v>3</v>
      </c>
      <c r="G90" s="134"/>
      <c r="H90" s="135">
        <v>5</v>
      </c>
      <c r="I90" s="135"/>
      <c r="J90" s="136"/>
      <c r="K90" s="137"/>
      <c r="L90" s="134"/>
      <c r="M90" s="134">
        <v>1</v>
      </c>
      <c r="N90" s="135"/>
      <c r="O90" s="135"/>
      <c r="P90" s="136"/>
      <c r="Q90" s="136">
        <v>1</v>
      </c>
      <c r="R90" s="135"/>
      <c r="S90" s="135"/>
      <c r="T90" s="138"/>
      <c r="U90" s="132">
        <v>5</v>
      </c>
      <c r="V90" s="133"/>
      <c r="W90" s="134">
        <v>3</v>
      </c>
      <c r="X90" s="134">
        <v>2</v>
      </c>
      <c r="Y90" s="135">
        <v>5</v>
      </c>
      <c r="Z90" s="135"/>
      <c r="AA90" s="136">
        <v>5</v>
      </c>
      <c r="AB90" s="137"/>
      <c r="AC90" s="134">
        <v>3</v>
      </c>
      <c r="AD90" s="134"/>
      <c r="AE90" s="135"/>
      <c r="AF90" s="135"/>
      <c r="AG90" s="136"/>
      <c r="AH90" s="136"/>
      <c r="AI90" s="135"/>
      <c r="AJ90" s="135"/>
      <c r="BA90" s="125">
        <v>10</v>
      </c>
      <c r="BB90" s="125">
        <v>10</v>
      </c>
      <c r="BC90" s="125">
        <v>10</v>
      </c>
      <c r="BD90" s="125">
        <v>10</v>
      </c>
      <c r="BE90" s="125">
        <v>10</v>
      </c>
      <c r="BF90" s="126"/>
      <c r="BG90" s="127"/>
      <c r="BH90" s="46"/>
      <c r="BI90" s="139">
        <f>SUMIF($D$7:$BG$7,"1",$D90:$BG90)</f>
        <v>10</v>
      </c>
      <c r="BJ90" s="140">
        <f>SUMIFS($D$9:$BG$9,$D$7:$BG$7,"1",$D90:$BG90,"&gt;"&amp;-1)</f>
        <v>10</v>
      </c>
      <c r="BK90" s="141">
        <f t="shared" si="0"/>
        <v>100</v>
      </c>
      <c r="BL90" s="142">
        <f>SUMIF($D$7:$BG$7,"2",$D90:$BG90)</f>
        <v>26</v>
      </c>
      <c r="BM90" s="140">
        <f>SUMIFS($D$9:$BG$9,$D$7:$BG$7,"2",$D90:$BG90,"&gt;"&amp;-1)</f>
        <v>27</v>
      </c>
      <c r="BN90" s="141">
        <f t="shared" si="1"/>
        <v>96.30000000000001</v>
      </c>
      <c r="BO90" s="142">
        <f>SUMIF($D$7:$BG$7,"3",$D90:$BG90)</f>
        <v>26</v>
      </c>
      <c r="BP90" s="140">
        <f>SUMIFS($D$9:$BG$9,$D$7:$BG$7,"3",$D90:$BG90,"&gt;"&amp;-1)</f>
        <v>30</v>
      </c>
      <c r="BQ90" s="141">
        <f t="shared" si="2"/>
        <v>86.67</v>
      </c>
      <c r="BR90" s="142">
        <f>SUMIF($D$7:$BG$7,"4",$D90:$BG90)</f>
        <v>15</v>
      </c>
      <c r="BS90" s="140">
        <f>SUMIFS($D$9:$BG$9,$D$7:$BG$7,"4",$D90:$BG90,"&gt;"&amp;-1)</f>
        <v>15</v>
      </c>
      <c r="BT90" s="141">
        <f t="shared" si="3"/>
        <v>100</v>
      </c>
      <c r="BU90" s="142">
        <f>SUMIF($D$7:$BG$7,"5",$D90:$BG90)</f>
        <v>11</v>
      </c>
      <c r="BV90" s="140">
        <f>SUMIFS($D$9:$BG$9,$D$7:$BG$7,"5",$D90:$BG90,"&gt;"&amp;-1)</f>
        <v>15</v>
      </c>
      <c r="BW90" s="141">
        <f t="shared" si="4"/>
        <v>73.34</v>
      </c>
      <c r="BX90" s="142">
        <f>SUMIF($D$7:$BG$7,"6",$D90:$BG90)</f>
        <v>0</v>
      </c>
      <c r="BY90" s="140">
        <f>SUMIFS($D$9:$BG$9,$D$7:$BG$7,"6",$D90:$BG90,"&gt;"&amp;-1)</f>
        <v>0</v>
      </c>
      <c r="BZ90" s="141">
        <f t="shared" si="5"/>
        <v>0</v>
      </c>
    </row>
    <row r="91" ht="15.75" customHeight="1" spans="1:78" x14ac:dyDescent="0.25">
      <c r="A91" s="150" t="s">
        <v>149</v>
      </c>
      <c r="B91" s="150"/>
      <c r="C91" s="117"/>
      <c r="D91" s="132"/>
      <c r="E91" s="133"/>
      <c r="F91" s="134"/>
      <c r="G91" s="134"/>
      <c r="H91" s="135"/>
      <c r="I91" s="135"/>
      <c r="J91" s="136"/>
      <c r="K91" s="137"/>
      <c r="L91" s="134"/>
      <c r="M91" s="134"/>
      <c r="N91" s="135"/>
      <c r="O91" s="135"/>
      <c r="P91" s="136"/>
      <c r="Q91" s="136"/>
      <c r="R91" s="135"/>
      <c r="S91" s="135"/>
      <c r="T91" s="138"/>
      <c r="U91" s="132">
        <v>5</v>
      </c>
      <c r="V91" s="133"/>
      <c r="W91" s="134">
        <v>2</v>
      </c>
      <c r="X91" s="134">
        <v>2</v>
      </c>
      <c r="Y91" s="135"/>
      <c r="Z91" s="135"/>
      <c r="AA91" s="136"/>
      <c r="AB91" s="137"/>
      <c r="AC91" s="134">
        <v>4</v>
      </c>
      <c r="AD91" s="134"/>
      <c r="AE91" s="135"/>
      <c r="AF91" s="135"/>
      <c r="AG91" s="136"/>
      <c r="AH91" s="136"/>
      <c r="AI91" s="135"/>
      <c r="AJ91" s="135"/>
      <c r="BA91" s="125">
        <v>2.5</v>
      </c>
      <c r="BB91" s="125">
        <v>2.5</v>
      </c>
      <c r="BC91" s="125">
        <v>2.5</v>
      </c>
      <c r="BD91" s="125">
        <v>2.5</v>
      </c>
      <c r="BE91" s="125">
        <v>2.5</v>
      </c>
      <c r="BF91" s="126"/>
      <c r="BG91" s="127"/>
      <c r="BH91" s="46"/>
      <c r="BI91" s="139">
        <f>SUMIF($D$7:$BG$7,"1",$D91:$BG91)</f>
        <v>2.5</v>
      </c>
      <c r="BJ91" s="140">
        <f>SUMIFS($D$9:$BG$9,$D$7:$BG$7,"1",$D91:$BG91,"&gt;"&amp;-1)</f>
        <v>10</v>
      </c>
      <c r="BK91" s="141">
        <f t="shared" si="0"/>
        <v>25</v>
      </c>
      <c r="BL91" s="142">
        <f>SUMIF($D$7:$BG$7,"2",$D91:$BG91)</f>
        <v>6.5</v>
      </c>
      <c r="BM91" s="140">
        <f>SUMIFS($D$9:$BG$9,$D$7:$BG$7,"2",$D91:$BG91,"&gt;"&amp;-1)</f>
        <v>15</v>
      </c>
      <c r="BN91" s="141">
        <f t="shared" si="1"/>
        <v>43.339999999999996</v>
      </c>
      <c r="BO91" s="142">
        <f>SUMIF($D$7:$BG$7,"3",$D91:$BG91)</f>
        <v>11.5</v>
      </c>
      <c r="BP91" s="140">
        <f>SUMIFS($D$9:$BG$9,$D$7:$BG$7,"3",$D91:$BG91,"&gt;"&amp;-1)</f>
        <v>20</v>
      </c>
      <c r="BQ91" s="141">
        <f t="shared" si="2"/>
        <v>57.5</v>
      </c>
      <c r="BR91" s="142">
        <f>SUMIF($D$7:$BG$7,"4",$D91:$BG91)</f>
        <v>2.5</v>
      </c>
      <c r="BS91" s="140">
        <f>SUMIFS($D$9:$BG$9,$D$7:$BG$7,"4",$D91:$BG91,"&gt;"&amp;-1)</f>
        <v>10</v>
      </c>
      <c r="BT91" s="141">
        <f t="shared" si="3"/>
        <v>25</v>
      </c>
      <c r="BU91" s="142">
        <f>SUMIF($D$7:$BG$7,"5",$D91:$BG91)</f>
        <v>2.5</v>
      </c>
      <c r="BV91" s="140">
        <f>SUMIFS($D$9:$BG$9,$D$7:$BG$7,"5",$D91:$BG91,"&gt;"&amp;-1)</f>
        <v>10</v>
      </c>
      <c r="BW91" s="141">
        <f t="shared" si="4"/>
        <v>25</v>
      </c>
      <c r="BX91" s="142">
        <f>SUMIF($D$7:$BG$7,"6",$D91:$BG91)</f>
        <v>0</v>
      </c>
      <c r="BY91" s="140">
        <f>SUMIFS($D$9:$BG$9,$D$7:$BG$7,"6",$D91:$BG91,"&gt;"&amp;-1)</f>
        <v>0</v>
      </c>
      <c r="BZ91" s="141">
        <f t="shared" si="5"/>
        <v>0</v>
      </c>
    </row>
    <row r="92" ht="15.75" customHeight="1" spans="1:78" x14ac:dyDescent="0.25">
      <c r="A92" s="150" t="s">
        <v>150</v>
      </c>
      <c r="B92" s="150"/>
      <c r="C92" s="117"/>
      <c r="D92" s="132"/>
      <c r="E92" s="133"/>
      <c r="F92" s="134"/>
      <c r="G92" s="134"/>
      <c r="H92" s="135"/>
      <c r="I92" s="135"/>
      <c r="J92" s="136">
        <v>1</v>
      </c>
      <c r="K92" s="137"/>
      <c r="L92" s="134"/>
      <c r="M92" s="134"/>
      <c r="N92" s="135"/>
      <c r="O92" s="135"/>
      <c r="P92" s="136"/>
      <c r="Q92" s="136"/>
      <c r="R92" s="135"/>
      <c r="S92" s="135"/>
      <c r="T92" s="138"/>
      <c r="U92" s="132"/>
      <c r="V92" s="133"/>
      <c r="W92" s="134">
        <v>3</v>
      </c>
      <c r="X92" s="134">
        <v>2</v>
      </c>
      <c r="Y92" s="135">
        <v>2</v>
      </c>
      <c r="Z92" s="135"/>
      <c r="AA92" s="136">
        <v>3</v>
      </c>
      <c r="AB92" s="137"/>
      <c r="AC92" s="134"/>
      <c r="AD92" s="134"/>
      <c r="AE92" s="135"/>
      <c r="AF92" s="135"/>
      <c r="AG92" s="136"/>
      <c r="AH92" s="136"/>
      <c r="AI92" s="135"/>
      <c r="AJ92" s="135"/>
      <c r="BA92" s="125">
        <v>2</v>
      </c>
      <c r="BB92" s="125">
        <v>2</v>
      </c>
      <c r="BC92" s="125">
        <v>2</v>
      </c>
      <c r="BD92" s="125">
        <v>2</v>
      </c>
      <c r="BE92" s="125">
        <v>2</v>
      </c>
      <c r="BF92" s="126"/>
      <c r="BG92" s="127"/>
      <c r="BH92" s="46"/>
      <c r="BI92" s="139">
        <f>SUMIF($D$7:$BG$7,"1",$D92:$BG92)</f>
        <v>3</v>
      </c>
      <c r="BJ92" s="140">
        <f>SUMIFS($D$9:$BG$9,$D$7:$BG$7,"1",$D92:$BG92,"&gt;"&amp;-1)</f>
        <v>12.5</v>
      </c>
      <c r="BK92" s="141">
        <f t="shared" si="0"/>
        <v>24</v>
      </c>
      <c r="BL92" s="142">
        <f>SUMIF($D$7:$BG$7,"2",$D92:$BG92)</f>
        <v>7</v>
      </c>
      <c r="BM92" s="140">
        <f>SUMIFS($D$9:$BG$9,$D$7:$BG$7,"2",$D92:$BG92,"&gt;"&amp;-1)</f>
        <v>15</v>
      </c>
      <c r="BN92" s="141">
        <f t="shared" si="1"/>
        <v>46.669999999999995</v>
      </c>
      <c r="BO92" s="142">
        <f>SUMIF($D$7:$BG$7,"3",$D92:$BG92)</f>
        <v>4</v>
      </c>
      <c r="BP92" s="140">
        <f>SUMIFS($D$9:$BG$9,$D$7:$BG$7,"3",$D92:$BG92,"&gt;"&amp;-1)</f>
        <v>15</v>
      </c>
      <c r="BQ92" s="141">
        <f t="shared" si="2"/>
        <v>26.67</v>
      </c>
      <c r="BR92" s="142">
        <f>SUMIF($D$7:$BG$7,"4",$D92:$BG92)</f>
        <v>5</v>
      </c>
      <c r="BS92" s="140">
        <f>SUMIFS($D$9:$BG$9,$D$7:$BG$7,"4",$D92:$BG92,"&gt;"&amp;-1)</f>
        <v>15</v>
      </c>
      <c r="BT92" s="141">
        <f t="shared" si="3"/>
        <v>33.339999999999996</v>
      </c>
      <c r="BU92" s="142">
        <f>SUMIF($D$7:$BG$7,"5",$D92:$BG92)</f>
        <v>2</v>
      </c>
      <c r="BV92" s="140">
        <f>SUMIFS($D$9:$BG$9,$D$7:$BG$7,"5",$D92:$BG92,"&gt;"&amp;-1)</f>
        <v>10</v>
      </c>
      <c r="BW92" s="141">
        <f t="shared" si="4"/>
        <v>20</v>
      </c>
      <c r="BX92" s="142">
        <f>SUMIF($D$7:$BG$7,"6",$D92:$BG92)</f>
        <v>0</v>
      </c>
      <c r="BY92" s="140">
        <f>SUMIFS($D$9:$BG$9,$D$7:$BG$7,"6",$D92:$BG92,"&gt;"&amp;-1)</f>
        <v>0</v>
      </c>
      <c r="BZ92" s="141">
        <f t="shared" si="5"/>
        <v>0</v>
      </c>
    </row>
    <row r="93" ht="15.75" customHeight="1" spans="1:78" x14ac:dyDescent="0.25">
      <c r="A93" s="150" t="s">
        <v>151</v>
      </c>
      <c r="B93" s="150"/>
      <c r="C93" s="117"/>
      <c r="D93" s="132">
        <v>4</v>
      </c>
      <c r="E93" s="133"/>
      <c r="F93" s="134"/>
      <c r="G93" s="134"/>
      <c r="H93" s="135"/>
      <c r="I93" s="135"/>
      <c r="J93" s="136"/>
      <c r="K93" s="137"/>
      <c r="L93" s="134"/>
      <c r="M93" s="134"/>
      <c r="N93" s="135"/>
      <c r="O93" s="135"/>
      <c r="P93" s="136"/>
      <c r="Q93" s="136"/>
      <c r="R93" s="135"/>
      <c r="S93" s="135"/>
      <c r="T93" s="138"/>
      <c r="U93" s="132">
        <v>5</v>
      </c>
      <c r="V93" s="133"/>
      <c r="W93" s="134">
        <v>3</v>
      </c>
      <c r="X93" s="134">
        <v>2</v>
      </c>
      <c r="Y93" s="135"/>
      <c r="Z93" s="135"/>
      <c r="AA93" s="136">
        <v>5</v>
      </c>
      <c r="AB93" s="137"/>
      <c r="AC93" s="134">
        <v>3</v>
      </c>
      <c r="AD93" s="134"/>
      <c r="AE93" s="135"/>
      <c r="AF93" s="135"/>
      <c r="AG93" s="136"/>
      <c r="AH93" s="136"/>
      <c r="AI93" s="135"/>
      <c r="AJ93" s="135"/>
      <c r="BA93" s="125">
        <v>10</v>
      </c>
      <c r="BB93" s="125">
        <v>10</v>
      </c>
      <c r="BC93" s="125">
        <v>10</v>
      </c>
      <c r="BD93" s="125">
        <v>10</v>
      </c>
      <c r="BE93" s="125">
        <v>10</v>
      </c>
      <c r="BF93" s="126"/>
      <c r="BG93" s="127"/>
      <c r="BH93" s="46"/>
      <c r="BI93" s="139">
        <f>SUMIF($D$7:$BG$7,"1",$D93:$BG93)</f>
        <v>10</v>
      </c>
      <c r="BJ93" s="140">
        <f>SUMIFS($D$9:$BG$9,$D$7:$BG$7,"1",$D93:$BG93,"&gt;"&amp;-1)</f>
        <v>10</v>
      </c>
      <c r="BK93" s="141">
        <f t="shared" si="0"/>
        <v>100</v>
      </c>
      <c r="BL93" s="142">
        <f>SUMIF($D$7:$BG$7,"2",$D93:$BG93)</f>
        <v>19</v>
      </c>
      <c r="BM93" s="140">
        <f>SUMIFS($D$9:$BG$9,$D$7:$BG$7,"2",$D93:$BG93,"&gt;"&amp;-1)</f>
        <v>20</v>
      </c>
      <c r="BN93" s="141">
        <f t="shared" si="1"/>
        <v>95</v>
      </c>
      <c r="BO93" s="142">
        <f>SUMIF($D$7:$BG$7,"3",$D93:$BG93)</f>
        <v>18</v>
      </c>
      <c r="BP93" s="140">
        <f>SUMIFS($D$9:$BG$9,$D$7:$BG$7,"3",$D93:$BG93,"&gt;"&amp;-1)</f>
        <v>20</v>
      </c>
      <c r="BQ93" s="141">
        <f t="shared" si="2"/>
        <v>90</v>
      </c>
      <c r="BR93" s="142">
        <f>SUMIF($D$7:$BG$7,"4",$D93:$BG93)</f>
        <v>15</v>
      </c>
      <c r="BS93" s="140">
        <f>SUMIFS($D$9:$BG$9,$D$7:$BG$7,"4",$D93:$BG93,"&gt;"&amp;-1)</f>
        <v>15</v>
      </c>
      <c r="BT93" s="141">
        <f t="shared" si="3"/>
        <v>100</v>
      </c>
      <c r="BU93" s="142">
        <f>SUMIF($D$7:$BG$7,"5",$D93:$BG93)</f>
        <v>10</v>
      </c>
      <c r="BV93" s="140">
        <f>SUMIFS($D$9:$BG$9,$D$7:$BG$7,"5",$D93:$BG93,"&gt;"&amp;-1)</f>
        <v>10</v>
      </c>
      <c r="BW93" s="141">
        <f t="shared" si="4"/>
        <v>100</v>
      </c>
      <c r="BX93" s="142">
        <f>SUMIF($D$7:$BG$7,"6",$D93:$BG93)</f>
        <v>0</v>
      </c>
      <c r="BY93" s="140">
        <f>SUMIFS($D$9:$BG$9,$D$7:$BG$7,"6",$D93:$BG93,"&gt;"&amp;-1)</f>
        <v>0</v>
      </c>
      <c r="BZ93" s="141">
        <f t="shared" si="5"/>
        <v>0</v>
      </c>
    </row>
    <row r="94" ht="15.75" customHeight="1" spans="1:78" x14ac:dyDescent="0.25">
      <c r="A94" s="150" t="s">
        <v>152</v>
      </c>
      <c r="B94" s="150"/>
      <c r="C94" s="117"/>
      <c r="D94" s="132">
        <v>5</v>
      </c>
      <c r="E94" s="133"/>
      <c r="F94" s="134"/>
      <c r="G94" s="134"/>
      <c r="H94" s="135"/>
      <c r="I94" s="135"/>
      <c r="J94" s="136"/>
      <c r="K94" s="137"/>
      <c r="L94" s="134"/>
      <c r="M94" s="134"/>
      <c r="N94" s="135"/>
      <c r="O94" s="135"/>
      <c r="P94" s="136"/>
      <c r="Q94" s="136"/>
      <c r="R94" s="135"/>
      <c r="S94" s="135"/>
      <c r="T94" s="138"/>
      <c r="U94" s="132">
        <v>5</v>
      </c>
      <c r="V94" s="133"/>
      <c r="W94" s="134">
        <v>3</v>
      </c>
      <c r="X94" s="134"/>
      <c r="Y94" s="135">
        <v>1</v>
      </c>
      <c r="Z94" s="135"/>
      <c r="AA94" s="136">
        <v>2</v>
      </c>
      <c r="AB94" s="137"/>
      <c r="AC94" s="134"/>
      <c r="AD94" s="134"/>
      <c r="AE94" s="135"/>
      <c r="AF94" s="135"/>
      <c r="AG94" s="136"/>
      <c r="AH94" s="136"/>
      <c r="AI94" s="135"/>
      <c r="AJ94" s="135"/>
      <c r="BA94" s="125">
        <v>4.5</v>
      </c>
      <c r="BB94" s="125">
        <v>4.5</v>
      </c>
      <c r="BC94" s="125">
        <v>4.5</v>
      </c>
      <c r="BD94" s="125">
        <v>4.5</v>
      </c>
      <c r="BE94" s="125">
        <v>4.5</v>
      </c>
      <c r="BF94" s="126"/>
      <c r="BG94" s="127"/>
      <c r="BH94" s="46"/>
      <c r="BI94" s="139">
        <f>SUMIF($D$7:$BG$7,"1",$D94:$BG94)</f>
        <v>4.5</v>
      </c>
      <c r="BJ94" s="140">
        <f>SUMIFS($D$9:$BG$9,$D$7:$BG$7,"1",$D94:$BG94,"&gt;"&amp;-1)</f>
        <v>10</v>
      </c>
      <c r="BK94" s="141">
        <f t="shared" si="0"/>
        <v>45</v>
      </c>
      <c r="BL94" s="142">
        <f>SUMIF($D$7:$BG$7,"2",$D94:$BG94)</f>
        <v>12.5</v>
      </c>
      <c r="BM94" s="140">
        <f>SUMIFS($D$9:$BG$9,$D$7:$BG$7,"2",$D94:$BG94,"&gt;"&amp;-1)</f>
        <v>18</v>
      </c>
      <c r="BN94" s="141">
        <f t="shared" si="1"/>
        <v>69.45</v>
      </c>
      <c r="BO94" s="142">
        <f>SUMIF($D$7:$BG$7,"3",$D94:$BG94)</f>
        <v>10.5</v>
      </c>
      <c r="BP94" s="140">
        <f>SUMIFS($D$9:$BG$9,$D$7:$BG$7,"3",$D94:$BG94,"&gt;"&amp;-1)</f>
        <v>20</v>
      </c>
      <c r="BQ94" s="141">
        <f t="shared" si="2"/>
        <v>52.5</v>
      </c>
      <c r="BR94" s="142">
        <f>SUMIF($D$7:$BG$7,"4",$D94:$BG94)</f>
        <v>6.5</v>
      </c>
      <c r="BS94" s="140">
        <f>SUMIFS($D$9:$BG$9,$D$7:$BG$7,"4",$D94:$BG94,"&gt;"&amp;-1)</f>
        <v>15</v>
      </c>
      <c r="BT94" s="141">
        <f t="shared" si="3"/>
        <v>43.339999999999996</v>
      </c>
      <c r="BU94" s="142">
        <f>SUMIF($D$7:$BG$7,"5",$D94:$BG94)</f>
        <v>4.5</v>
      </c>
      <c r="BV94" s="140">
        <f>SUMIFS($D$9:$BG$9,$D$7:$BG$7,"5",$D94:$BG94,"&gt;"&amp;-1)</f>
        <v>10</v>
      </c>
      <c r="BW94" s="141">
        <f t="shared" si="4"/>
        <v>45</v>
      </c>
      <c r="BX94" s="142">
        <f>SUMIF($D$7:$BG$7,"6",$D94:$BG94)</f>
        <v>0</v>
      </c>
      <c r="BY94" s="140">
        <f>SUMIFS($D$9:$BG$9,$D$7:$BG$7,"6",$D94:$BG94,"&gt;"&amp;-1)</f>
        <v>0</v>
      </c>
      <c r="BZ94" s="141">
        <f t="shared" si="5"/>
        <v>0</v>
      </c>
    </row>
    <row r="95" ht="15.75" customHeight="1" spans="1:78" x14ac:dyDescent="0.25">
      <c r="A95" s="150" t="s">
        <v>153</v>
      </c>
      <c r="B95" s="150"/>
      <c r="C95" s="117"/>
      <c r="D95" s="132"/>
      <c r="E95" s="133"/>
      <c r="F95" s="134"/>
      <c r="G95" s="134"/>
      <c r="H95" s="135"/>
      <c r="I95" s="135"/>
      <c r="J95" s="136"/>
      <c r="K95" s="137"/>
      <c r="L95" s="134"/>
      <c r="M95" s="134"/>
      <c r="N95" s="135"/>
      <c r="O95" s="135"/>
      <c r="P95" s="136"/>
      <c r="Q95" s="136"/>
      <c r="R95" s="135"/>
      <c r="S95" s="135"/>
      <c r="T95" s="138"/>
      <c r="U95" s="132">
        <v>2</v>
      </c>
      <c r="V95" s="133"/>
      <c r="W95" s="134">
        <v>2</v>
      </c>
      <c r="X95" s="134"/>
      <c r="Y95" s="135">
        <v>4</v>
      </c>
      <c r="Z95" s="135"/>
      <c r="AA95" s="136"/>
      <c r="AB95" s="137"/>
      <c r="AC95" s="134"/>
      <c r="AD95" s="134"/>
      <c r="AE95" s="135"/>
      <c r="AF95" s="135"/>
      <c r="AG95" s="136"/>
      <c r="AH95" s="136"/>
      <c r="AI95" s="135"/>
      <c r="AJ95" s="135"/>
      <c r="BA95" s="125">
        <v>5</v>
      </c>
      <c r="BB95" s="125">
        <v>5</v>
      </c>
      <c r="BC95" s="125">
        <v>5</v>
      </c>
      <c r="BD95" s="125">
        <v>5</v>
      </c>
      <c r="BE95" s="125">
        <v>5</v>
      </c>
      <c r="BF95" s="126"/>
      <c r="BG95" s="127"/>
      <c r="BH95" s="46"/>
      <c r="BI95" s="139">
        <f>SUMIF($D$7:$BG$7,"1",$D95:$BG95)</f>
        <v>5</v>
      </c>
      <c r="BJ95" s="140">
        <f>SUMIFS($D$9:$BG$9,$D$7:$BG$7,"1",$D95:$BG95,"&gt;"&amp;-1)</f>
        <v>10</v>
      </c>
      <c r="BK95" s="141">
        <f t="shared" si="0"/>
        <v>50</v>
      </c>
      <c r="BL95" s="142">
        <f>SUMIF($D$7:$BG$7,"2",$D95:$BG95)</f>
        <v>7</v>
      </c>
      <c r="BM95" s="140">
        <f>SUMIFS($D$9:$BG$9,$D$7:$BG$7,"2",$D95:$BG95,"&gt;"&amp;-1)</f>
        <v>13</v>
      </c>
      <c r="BN95" s="141">
        <f t="shared" si="1"/>
        <v>53.85</v>
      </c>
      <c r="BO95" s="142">
        <f>SUMIF($D$7:$BG$7,"3",$D95:$BG95)</f>
        <v>11</v>
      </c>
      <c r="BP95" s="140">
        <f>SUMIFS($D$9:$BG$9,$D$7:$BG$7,"3",$D95:$BG95,"&gt;"&amp;-1)</f>
        <v>20</v>
      </c>
      <c r="BQ95" s="141">
        <f t="shared" si="2"/>
        <v>55</v>
      </c>
      <c r="BR95" s="142">
        <f>SUMIF($D$7:$BG$7,"4",$D95:$BG95)</f>
        <v>5</v>
      </c>
      <c r="BS95" s="140">
        <f>SUMIFS($D$9:$BG$9,$D$7:$BG$7,"4",$D95:$BG95,"&gt;"&amp;-1)</f>
        <v>10</v>
      </c>
      <c r="BT95" s="141">
        <f t="shared" si="3"/>
        <v>50</v>
      </c>
      <c r="BU95" s="142">
        <f>SUMIF($D$7:$BG$7,"5",$D95:$BG95)</f>
        <v>5</v>
      </c>
      <c r="BV95" s="140">
        <f>SUMIFS($D$9:$BG$9,$D$7:$BG$7,"5",$D95:$BG95,"&gt;"&amp;-1)</f>
        <v>10</v>
      </c>
      <c r="BW95" s="141">
        <f t="shared" si="4"/>
        <v>50</v>
      </c>
      <c r="BX95" s="142">
        <f>SUMIF($D$7:$BG$7,"6",$D95:$BG95)</f>
        <v>0</v>
      </c>
      <c r="BY95" s="140">
        <f>SUMIFS($D$9:$BG$9,$D$7:$BG$7,"6",$D95:$BG95,"&gt;"&amp;-1)</f>
        <v>0</v>
      </c>
      <c r="BZ95" s="141">
        <f t="shared" si="5"/>
        <v>0</v>
      </c>
    </row>
    <row r="96" ht="15.75" customHeight="1" spans="1:78" x14ac:dyDescent="0.25">
      <c r="A96" s="150" t="s">
        <v>154</v>
      </c>
      <c r="B96" s="150"/>
      <c r="C96" s="117"/>
      <c r="D96" s="132">
        <v>5</v>
      </c>
      <c r="E96" s="133"/>
      <c r="F96" s="134">
        <v>3</v>
      </c>
      <c r="G96" s="134"/>
      <c r="H96" s="135"/>
      <c r="I96" s="135"/>
      <c r="J96" s="136"/>
      <c r="K96" s="137"/>
      <c r="L96" s="134"/>
      <c r="M96" s="134"/>
      <c r="N96" s="135"/>
      <c r="O96" s="135"/>
      <c r="P96" s="136"/>
      <c r="Q96" s="136"/>
      <c r="R96" s="135"/>
      <c r="S96" s="135"/>
      <c r="T96" s="138"/>
      <c r="U96" s="132">
        <v>5</v>
      </c>
      <c r="V96" s="133"/>
      <c r="W96" s="134">
        <v>3</v>
      </c>
      <c r="X96" s="134">
        <v>2</v>
      </c>
      <c r="Y96" s="135">
        <v>2</v>
      </c>
      <c r="Z96" s="135"/>
      <c r="AA96" s="136">
        <v>5</v>
      </c>
      <c r="AB96" s="137"/>
      <c r="AC96" s="134">
        <v>3</v>
      </c>
      <c r="AD96" s="134"/>
      <c r="AE96" s="135"/>
      <c r="AF96" s="135"/>
      <c r="AG96" s="136"/>
      <c r="AH96" s="136"/>
      <c r="AI96" s="135"/>
      <c r="AJ96" s="135"/>
      <c r="BA96" s="125">
        <v>10</v>
      </c>
      <c r="BB96" s="125">
        <v>10</v>
      </c>
      <c r="BC96" s="125">
        <v>10</v>
      </c>
      <c r="BD96" s="125">
        <v>10</v>
      </c>
      <c r="BE96" s="125">
        <v>10</v>
      </c>
      <c r="BF96" s="126"/>
      <c r="BG96" s="127"/>
      <c r="BH96" s="46"/>
      <c r="BI96" s="139">
        <f>SUMIF($D$7:$BG$7,"1",$D96:$BG96)</f>
        <v>10</v>
      </c>
      <c r="BJ96" s="140">
        <f>SUMIFS($D$9:$BG$9,$D$7:$BG$7,"1",$D96:$BG96,"&gt;"&amp;-1)</f>
        <v>10</v>
      </c>
      <c r="BK96" s="141">
        <f t="shared" si="0"/>
        <v>100</v>
      </c>
      <c r="BL96" s="142">
        <f>SUMIF($D$7:$BG$7,"2",$D96:$BG96)</f>
        <v>20</v>
      </c>
      <c r="BM96" s="140">
        <f>SUMIFS($D$9:$BG$9,$D$7:$BG$7,"2",$D96:$BG96,"&gt;"&amp;-1)</f>
        <v>20</v>
      </c>
      <c r="BN96" s="141">
        <f t="shared" si="1"/>
        <v>100</v>
      </c>
      <c r="BO96" s="142">
        <f>SUMIF($D$7:$BG$7,"3",$D96:$BG96)</f>
        <v>23</v>
      </c>
      <c r="BP96" s="140">
        <f>SUMIFS($D$9:$BG$9,$D$7:$BG$7,"3",$D96:$BG96,"&gt;"&amp;-1)</f>
        <v>30</v>
      </c>
      <c r="BQ96" s="141">
        <f t="shared" si="2"/>
        <v>76.67</v>
      </c>
      <c r="BR96" s="142">
        <f>SUMIF($D$7:$BG$7,"4",$D96:$BG96)</f>
        <v>15</v>
      </c>
      <c r="BS96" s="140">
        <f>SUMIFS($D$9:$BG$9,$D$7:$BG$7,"4",$D96:$BG96,"&gt;"&amp;-1)</f>
        <v>15</v>
      </c>
      <c r="BT96" s="141">
        <f t="shared" si="3"/>
        <v>100</v>
      </c>
      <c r="BU96" s="142">
        <f>SUMIF($D$7:$BG$7,"5",$D96:$BG96)</f>
        <v>10</v>
      </c>
      <c r="BV96" s="140">
        <f>SUMIFS($D$9:$BG$9,$D$7:$BG$7,"5",$D96:$BG96,"&gt;"&amp;-1)</f>
        <v>10</v>
      </c>
      <c r="BW96" s="141">
        <f t="shared" si="4"/>
        <v>100</v>
      </c>
      <c r="BX96" s="142">
        <f>SUMIF($D$7:$BG$7,"6",$D96:$BG96)</f>
        <v>0</v>
      </c>
      <c r="BY96" s="140">
        <f>SUMIFS($D$9:$BG$9,$D$7:$BG$7,"6",$D96:$BG96,"&gt;"&amp;-1)</f>
        <v>0</v>
      </c>
      <c r="BZ96" s="141">
        <f t="shared" si="5"/>
        <v>0</v>
      </c>
    </row>
    <row r="97" ht="15.75" customHeight="1" spans="1:78" x14ac:dyDescent="0.25">
      <c r="A97" s="150" t="s">
        <v>155</v>
      </c>
      <c r="B97" s="150"/>
      <c r="C97" s="117"/>
      <c r="D97" s="132">
        <v>5</v>
      </c>
      <c r="E97" s="133"/>
      <c r="F97" s="134">
        <v>1</v>
      </c>
      <c r="G97" s="134"/>
      <c r="H97" s="135">
        <v>2</v>
      </c>
      <c r="I97" s="135"/>
      <c r="J97" s="136"/>
      <c r="K97" s="137"/>
      <c r="L97" s="134"/>
      <c r="M97" s="134">
        <v>2</v>
      </c>
      <c r="N97" s="135">
        <v>1</v>
      </c>
      <c r="O97" s="135"/>
      <c r="P97" s="136"/>
      <c r="Q97" s="136">
        <v>2</v>
      </c>
      <c r="R97" s="135"/>
      <c r="S97" s="135"/>
      <c r="T97" s="138"/>
      <c r="U97" s="132">
        <v>3</v>
      </c>
      <c r="V97" s="133"/>
      <c r="W97" s="134">
        <v>3</v>
      </c>
      <c r="X97" s="134">
        <v>2</v>
      </c>
      <c r="Y97" s="135">
        <v>5</v>
      </c>
      <c r="Z97" s="135"/>
      <c r="AA97" s="136">
        <v>5</v>
      </c>
      <c r="AB97" s="137"/>
      <c r="AC97" s="134">
        <v>3</v>
      </c>
      <c r="AD97" s="134"/>
      <c r="AE97" s="135"/>
      <c r="AF97" s="135"/>
      <c r="AG97" s="136"/>
      <c r="AH97" s="136"/>
      <c r="AI97" s="135"/>
      <c r="AJ97" s="135"/>
      <c r="BA97" s="125">
        <v>10</v>
      </c>
      <c r="BB97" s="125">
        <v>10</v>
      </c>
      <c r="BC97" s="125">
        <v>10</v>
      </c>
      <c r="BD97" s="125">
        <v>10</v>
      </c>
      <c r="BE97" s="125">
        <v>10</v>
      </c>
      <c r="BF97" s="126"/>
      <c r="BG97" s="127"/>
      <c r="BH97" s="46"/>
      <c r="BI97" s="139">
        <f>SUMIF($D$7:$BG$7,"1",$D97:$BG97)</f>
        <v>10</v>
      </c>
      <c r="BJ97" s="140">
        <f>SUMIFS($D$9:$BG$9,$D$7:$BG$7,"1",$D97:$BG97,"&gt;"&amp;-1)</f>
        <v>10</v>
      </c>
      <c r="BK97" s="141">
        <f t="shared" si="0"/>
        <v>100</v>
      </c>
      <c r="BL97" s="142">
        <f>SUMIF($D$7:$BG$7,"2",$D97:$BG97)</f>
        <v>24</v>
      </c>
      <c r="BM97" s="140">
        <f>SUMIFS($D$9:$BG$9,$D$7:$BG$7,"2",$D97:$BG97,"&gt;"&amp;-1)</f>
        <v>27</v>
      </c>
      <c r="BN97" s="141">
        <f t="shared" si="1"/>
        <v>88.89</v>
      </c>
      <c r="BO97" s="142">
        <f>SUMIF($D$7:$BG$7,"3",$D97:$BG97)</f>
        <v>23</v>
      </c>
      <c r="BP97" s="140">
        <f>SUMIFS($D$9:$BG$9,$D$7:$BG$7,"3",$D97:$BG97,"&gt;"&amp;-1)</f>
        <v>35</v>
      </c>
      <c r="BQ97" s="141">
        <f t="shared" si="2"/>
        <v>65.72</v>
      </c>
      <c r="BR97" s="142">
        <f>SUMIF($D$7:$BG$7,"4",$D97:$BG97)</f>
        <v>15</v>
      </c>
      <c r="BS97" s="140">
        <f>SUMIFS($D$9:$BG$9,$D$7:$BG$7,"4",$D97:$BG97,"&gt;"&amp;-1)</f>
        <v>15</v>
      </c>
      <c r="BT97" s="141">
        <f t="shared" si="3"/>
        <v>100</v>
      </c>
      <c r="BU97" s="142">
        <f>SUMIF($D$7:$BG$7,"5",$D97:$BG97)</f>
        <v>12</v>
      </c>
      <c r="BV97" s="140">
        <f>SUMIFS($D$9:$BG$9,$D$7:$BG$7,"5",$D97:$BG97,"&gt;"&amp;-1)</f>
        <v>15</v>
      </c>
      <c r="BW97" s="141">
        <f t="shared" si="4"/>
        <v>80</v>
      </c>
      <c r="BX97" s="142">
        <f>SUMIF($D$7:$BG$7,"6",$D97:$BG97)</f>
        <v>0</v>
      </c>
      <c r="BY97" s="140">
        <f>SUMIFS($D$9:$BG$9,$D$7:$BG$7,"6",$D97:$BG97,"&gt;"&amp;-1)</f>
        <v>0</v>
      </c>
      <c r="BZ97" s="141">
        <f t="shared" si="5"/>
        <v>0</v>
      </c>
    </row>
    <row r="98" ht="15.75" customHeight="1" spans="1:78" x14ac:dyDescent="0.25">
      <c r="A98" s="150" t="s">
        <v>156</v>
      </c>
      <c r="B98" s="150"/>
      <c r="C98" s="117"/>
      <c r="D98" s="132">
        <v>5</v>
      </c>
      <c r="E98" s="133"/>
      <c r="F98" s="134"/>
      <c r="G98" s="134"/>
      <c r="H98" s="135">
        <v>1</v>
      </c>
      <c r="I98" s="135"/>
      <c r="J98" s="136"/>
      <c r="K98" s="137"/>
      <c r="L98" s="134">
        <v>2</v>
      </c>
      <c r="M98" s="134">
        <v>3</v>
      </c>
      <c r="N98" s="135"/>
      <c r="O98" s="135"/>
      <c r="P98" s="136">
        <v>2</v>
      </c>
      <c r="Q98" s="136">
        <v>3</v>
      </c>
      <c r="R98" s="135"/>
      <c r="S98" s="135"/>
      <c r="T98" s="138"/>
      <c r="U98" s="132">
        <v>5</v>
      </c>
      <c r="V98" s="133"/>
      <c r="W98" s="134">
        <v>3</v>
      </c>
      <c r="X98" s="134">
        <v>2</v>
      </c>
      <c r="Y98" s="135"/>
      <c r="Z98" s="135"/>
      <c r="AA98" s="136">
        <v>5</v>
      </c>
      <c r="AB98" s="137"/>
      <c r="AC98" s="134">
        <v>5</v>
      </c>
      <c r="AD98" s="134"/>
      <c r="AE98" s="135"/>
      <c r="AF98" s="135"/>
      <c r="AG98" s="136"/>
      <c r="AH98" s="136"/>
      <c r="AI98" s="135"/>
      <c r="AJ98" s="135"/>
      <c r="BA98" s="125">
        <v>10</v>
      </c>
      <c r="BB98" s="125">
        <v>10</v>
      </c>
      <c r="BC98" s="125">
        <v>10</v>
      </c>
      <c r="BD98" s="125">
        <v>10</v>
      </c>
      <c r="BE98" s="125">
        <v>10</v>
      </c>
      <c r="BF98" s="126"/>
      <c r="BG98" s="127"/>
      <c r="BH98" s="46"/>
      <c r="BI98" s="139">
        <f>SUMIF($D$7:$BG$7,"1",$D98:$BG98)</f>
        <v>10</v>
      </c>
      <c r="BJ98" s="140">
        <f>SUMIFS($D$9:$BG$9,$D$7:$BG$7,"1",$D98:$BG98,"&gt;"&amp;-1)</f>
        <v>10</v>
      </c>
      <c r="BK98" s="141">
        <f t="shared" si="0"/>
        <v>100</v>
      </c>
      <c r="BL98" s="142">
        <f>SUMIF($D$7:$BG$7,"2",$D98:$BG98)</f>
        <v>26</v>
      </c>
      <c r="BM98" s="140">
        <f>SUMIFS($D$9:$BG$9,$D$7:$BG$7,"2",$D98:$BG98,"&gt;"&amp;-1)</f>
        <v>30</v>
      </c>
      <c r="BN98" s="141">
        <f t="shared" si="1"/>
        <v>86.67</v>
      </c>
      <c r="BO98" s="142">
        <f>SUMIF($D$7:$BG$7,"3",$D98:$BG98)</f>
        <v>20</v>
      </c>
      <c r="BP98" s="140">
        <f>SUMIFS($D$9:$BG$9,$D$7:$BG$7,"3",$D98:$BG98,"&gt;"&amp;-1)</f>
        <v>20</v>
      </c>
      <c r="BQ98" s="141">
        <f t="shared" si="2"/>
        <v>100</v>
      </c>
      <c r="BR98" s="142">
        <f>SUMIF($D$7:$BG$7,"4",$D98:$BG98)</f>
        <v>15</v>
      </c>
      <c r="BS98" s="140">
        <f>SUMIFS($D$9:$BG$9,$D$7:$BG$7,"4",$D98:$BG98,"&gt;"&amp;-1)</f>
        <v>15</v>
      </c>
      <c r="BT98" s="141">
        <f t="shared" si="3"/>
        <v>100</v>
      </c>
      <c r="BU98" s="142">
        <f>SUMIF($D$7:$BG$7,"5",$D98:$BG98)</f>
        <v>15</v>
      </c>
      <c r="BV98" s="140">
        <f>SUMIFS($D$9:$BG$9,$D$7:$BG$7,"5",$D98:$BG98,"&gt;"&amp;-1)</f>
        <v>20</v>
      </c>
      <c r="BW98" s="141">
        <f t="shared" si="4"/>
        <v>75</v>
      </c>
      <c r="BX98" s="142">
        <f>SUMIF($D$7:$BG$7,"6",$D98:$BG98)</f>
        <v>0</v>
      </c>
      <c r="BY98" s="140">
        <f>SUMIFS($D$9:$BG$9,$D$7:$BG$7,"6",$D98:$BG98,"&gt;"&amp;-1)</f>
        <v>0</v>
      </c>
      <c r="BZ98" s="141">
        <f t="shared" si="5"/>
        <v>0</v>
      </c>
    </row>
    <row r="99" ht="15.75" customHeight="1" spans="1:78" x14ac:dyDescent="0.25">
      <c r="A99" s="150" t="s">
        <v>157</v>
      </c>
      <c r="B99" s="150"/>
      <c r="C99" s="117"/>
      <c r="D99" s="132">
        <v>5</v>
      </c>
      <c r="E99" s="133"/>
      <c r="F99" s="134"/>
      <c r="G99" s="134"/>
      <c r="H99" s="135">
        <v>1</v>
      </c>
      <c r="I99" s="135"/>
      <c r="J99" s="136"/>
      <c r="K99" s="137"/>
      <c r="L99" s="134">
        <v>2</v>
      </c>
      <c r="M99" s="134"/>
      <c r="N99" s="135">
        <v>2</v>
      </c>
      <c r="O99" s="135"/>
      <c r="P99" s="136">
        <v>2</v>
      </c>
      <c r="Q99" s="136"/>
      <c r="R99" s="135"/>
      <c r="S99" s="135"/>
      <c r="T99" s="138"/>
      <c r="U99" s="132">
        <v>5</v>
      </c>
      <c r="V99" s="133"/>
      <c r="W99" s="134">
        <v>3</v>
      </c>
      <c r="X99" s="134">
        <v>2</v>
      </c>
      <c r="Y99" s="135">
        <v>5</v>
      </c>
      <c r="Z99" s="135"/>
      <c r="AA99" s="136">
        <v>5</v>
      </c>
      <c r="AB99" s="137"/>
      <c r="AC99" s="134">
        <v>3</v>
      </c>
      <c r="AD99" s="134"/>
      <c r="AE99" s="135"/>
      <c r="AF99" s="135"/>
      <c r="AG99" s="136"/>
      <c r="AH99" s="136"/>
      <c r="AI99" s="135"/>
      <c r="AJ99" s="135"/>
      <c r="BA99" s="125">
        <v>9</v>
      </c>
      <c r="BB99" s="125">
        <v>9</v>
      </c>
      <c r="BC99" s="125">
        <v>9</v>
      </c>
      <c r="BD99" s="125">
        <v>9</v>
      </c>
      <c r="BE99" s="125">
        <v>9</v>
      </c>
      <c r="BF99" s="126"/>
      <c r="BG99" s="127"/>
      <c r="BH99" s="46"/>
      <c r="BI99" s="139">
        <f>SUMIF($D$7:$BG$7,"1",$D99:$BG99)</f>
        <v>9</v>
      </c>
      <c r="BJ99" s="140">
        <f>SUMIFS($D$9:$BG$9,$D$7:$BG$7,"1",$D99:$BG99,"&gt;"&amp;-1)</f>
        <v>10</v>
      </c>
      <c r="BK99" s="141">
        <f t="shared" si="0"/>
        <v>90</v>
      </c>
      <c r="BL99" s="142">
        <f>SUMIF($D$7:$BG$7,"2",$D99:$BG99)</f>
        <v>22</v>
      </c>
      <c r="BM99" s="140">
        <f>SUMIFS($D$9:$BG$9,$D$7:$BG$7,"2",$D99:$BG99,"&gt;"&amp;-1)</f>
        <v>28</v>
      </c>
      <c r="BN99" s="141">
        <f t="shared" si="1"/>
        <v>78.58</v>
      </c>
      <c r="BO99" s="142">
        <f>SUMIF($D$7:$BG$7,"3",$D99:$BG99)</f>
        <v>24</v>
      </c>
      <c r="BP99" s="140">
        <f>SUMIFS($D$9:$BG$9,$D$7:$BG$7,"3",$D99:$BG99,"&gt;"&amp;-1)</f>
        <v>30</v>
      </c>
      <c r="BQ99" s="141">
        <f t="shared" si="2"/>
        <v>80</v>
      </c>
      <c r="BR99" s="142">
        <f>SUMIF($D$7:$BG$7,"4",$D99:$BG99)</f>
        <v>14</v>
      </c>
      <c r="BS99" s="140">
        <f>SUMIFS($D$9:$BG$9,$D$7:$BG$7,"4",$D99:$BG99,"&gt;"&amp;-1)</f>
        <v>15</v>
      </c>
      <c r="BT99" s="141">
        <f t="shared" si="3"/>
        <v>93.34</v>
      </c>
      <c r="BU99" s="142">
        <f>SUMIF($D$7:$BG$7,"5",$D99:$BG99)</f>
        <v>11</v>
      </c>
      <c r="BV99" s="140">
        <f>SUMIFS($D$9:$BG$9,$D$7:$BG$7,"5",$D99:$BG99,"&gt;"&amp;-1)</f>
        <v>15</v>
      </c>
      <c r="BW99" s="141">
        <f t="shared" si="4"/>
        <v>73.34</v>
      </c>
      <c r="BX99" s="142">
        <f>SUMIF($D$7:$BG$7,"6",$D99:$BG99)</f>
        <v>0</v>
      </c>
      <c r="BY99" s="140">
        <f>SUMIFS($D$9:$BG$9,$D$7:$BG$7,"6",$D99:$BG99,"&gt;"&amp;-1)</f>
        <v>0</v>
      </c>
      <c r="BZ99" s="141">
        <f t="shared" si="5"/>
        <v>0</v>
      </c>
    </row>
    <row r="100" ht="15.75" customHeight="1" spans="1:78" x14ac:dyDescent="0.25">
      <c r="A100" s="150" t="s">
        <v>158</v>
      </c>
      <c r="B100" s="150"/>
      <c r="C100" s="117"/>
      <c r="D100" s="132"/>
      <c r="E100" s="133"/>
      <c r="F100" s="134"/>
      <c r="G100" s="134"/>
      <c r="H100" s="135"/>
      <c r="I100" s="135"/>
      <c r="J100" s="136"/>
      <c r="K100" s="137"/>
      <c r="L100" s="134"/>
      <c r="M100" s="134"/>
      <c r="N100" s="135"/>
      <c r="O100" s="135"/>
      <c r="P100" s="136"/>
      <c r="Q100" s="136"/>
      <c r="R100" s="135"/>
      <c r="S100" s="135"/>
      <c r="T100" s="138"/>
      <c r="U100" s="132">
        <v>5</v>
      </c>
      <c r="V100" s="133"/>
      <c r="W100" s="134">
        <v>3</v>
      </c>
      <c r="X100" s="134">
        <v>2</v>
      </c>
      <c r="Y100" s="135">
        <v>5</v>
      </c>
      <c r="Z100" s="135"/>
      <c r="AA100" s="136">
        <v>5</v>
      </c>
      <c r="AB100" s="137"/>
      <c r="AC100" s="134">
        <v>5</v>
      </c>
      <c r="AD100" s="134"/>
      <c r="AE100" s="135"/>
      <c r="AF100" s="135"/>
      <c r="AG100" s="136"/>
      <c r="AH100" s="136"/>
      <c r="AI100" s="135"/>
      <c r="AJ100" s="135"/>
      <c r="BA100" s="125">
        <v>9</v>
      </c>
      <c r="BB100" s="125">
        <v>9</v>
      </c>
      <c r="BC100" s="125">
        <v>9</v>
      </c>
      <c r="BD100" s="125">
        <v>9</v>
      </c>
      <c r="BE100" s="125">
        <v>9</v>
      </c>
      <c r="BF100" s="126"/>
      <c r="BG100" s="127"/>
      <c r="BH100" s="46"/>
      <c r="BI100" s="139">
        <f>SUMIF($D$7:$BG$7,"1",$D100:$BG100)</f>
        <v>9</v>
      </c>
      <c r="BJ100" s="140">
        <f>SUMIFS($D$9:$BG$9,$D$7:$BG$7,"1",$D100:$BG100,"&gt;"&amp;-1)</f>
        <v>10</v>
      </c>
      <c r="BK100" s="141">
        <f t="shared" si="0"/>
        <v>90</v>
      </c>
      <c r="BL100" s="142">
        <f>SUMIF($D$7:$BG$7,"2",$D100:$BG100)</f>
        <v>14</v>
      </c>
      <c r="BM100" s="140">
        <f>SUMIFS($D$9:$BG$9,$D$7:$BG$7,"2",$D100:$BG100,"&gt;"&amp;-1)</f>
        <v>15</v>
      </c>
      <c r="BN100" s="141">
        <f t="shared" si="1"/>
        <v>93.34</v>
      </c>
      <c r="BO100" s="142">
        <f>SUMIF($D$7:$BG$7,"3",$D100:$BG100)</f>
        <v>24</v>
      </c>
      <c r="BP100" s="140">
        <f>SUMIFS($D$9:$BG$9,$D$7:$BG$7,"3",$D100:$BG100,"&gt;"&amp;-1)</f>
        <v>25</v>
      </c>
      <c r="BQ100" s="141">
        <f t="shared" si="2"/>
        <v>96</v>
      </c>
      <c r="BR100" s="142">
        <f>SUMIF($D$7:$BG$7,"4",$D100:$BG100)</f>
        <v>14</v>
      </c>
      <c r="BS100" s="140">
        <f>SUMIFS($D$9:$BG$9,$D$7:$BG$7,"4",$D100:$BG100,"&gt;"&amp;-1)</f>
        <v>15</v>
      </c>
      <c r="BT100" s="141">
        <f t="shared" si="3"/>
        <v>93.34</v>
      </c>
      <c r="BU100" s="142">
        <f>SUMIF($D$7:$BG$7,"5",$D100:$BG100)</f>
        <v>9</v>
      </c>
      <c r="BV100" s="140">
        <f>SUMIFS($D$9:$BG$9,$D$7:$BG$7,"5",$D100:$BG100,"&gt;"&amp;-1)</f>
        <v>10</v>
      </c>
      <c r="BW100" s="141">
        <f t="shared" si="4"/>
        <v>90</v>
      </c>
      <c r="BX100" s="142">
        <f>SUMIF($D$7:$BG$7,"6",$D100:$BG100)</f>
        <v>0</v>
      </c>
      <c r="BY100" s="140">
        <f>SUMIFS($D$9:$BG$9,$D$7:$BG$7,"6",$D100:$BG100,"&gt;"&amp;-1)</f>
        <v>0</v>
      </c>
      <c r="BZ100" s="141">
        <f t="shared" si="5"/>
        <v>0</v>
      </c>
    </row>
    <row r="101" ht="15.75" customHeight="1" spans="1:78" x14ac:dyDescent="0.25">
      <c r="A101" s="150" t="s">
        <v>159</v>
      </c>
      <c r="B101" s="150"/>
      <c r="C101" s="117"/>
      <c r="D101" s="132">
        <v>5</v>
      </c>
      <c r="E101" s="133"/>
      <c r="F101" s="134">
        <v>5</v>
      </c>
      <c r="G101" s="134"/>
      <c r="H101" s="135">
        <v>5</v>
      </c>
      <c r="I101" s="135"/>
      <c r="J101" s="136"/>
      <c r="K101" s="137"/>
      <c r="L101" s="134">
        <v>2</v>
      </c>
      <c r="M101" s="134">
        <v>3</v>
      </c>
      <c r="N101" s="135"/>
      <c r="O101" s="135"/>
      <c r="P101" s="136">
        <v>2</v>
      </c>
      <c r="Q101" s="136">
        <v>3</v>
      </c>
      <c r="R101" s="135"/>
      <c r="S101" s="135"/>
      <c r="T101" s="138"/>
      <c r="U101" s="132">
        <v>5</v>
      </c>
      <c r="V101" s="133"/>
      <c r="W101" s="134">
        <v>3</v>
      </c>
      <c r="X101" s="134">
        <v>2</v>
      </c>
      <c r="Y101" s="135">
        <v>5</v>
      </c>
      <c r="Z101" s="135"/>
      <c r="AA101" s="136">
        <v>5</v>
      </c>
      <c r="AB101" s="137"/>
      <c r="AC101" s="134">
        <v>4</v>
      </c>
      <c r="AD101" s="134"/>
      <c r="AE101" s="135">
        <v>5</v>
      </c>
      <c r="AF101" s="135"/>
      <c r="AG101" s="136"/>
      <c r="AH101" s="136"/>
      <c r="AI101" s="135"/>
      <c r="AJ101" s="135"/>
      <c r="BA101" s="125">
        <v>10</v>
      </c>
      <c r="BB101" s="125">
        <v>10</v>
      </c>
      <c r="BC101" s="125">
        <v>10</v>
      </c>
      <c r="BD101" s="125">
        <v>10</v>
      </c>
      <c r="BE101" s="125">
        <v>10</v>
      </c>
      <c r="BF101" s="126"/>
      <c r="BG101" s="127"/>
      <c r="BH101" s="46"/>
      <c r="BI101" s="139">
        <f>SUMIF($D$7:$BG$7,"1",$D101:$BG101)</f>
        <v>10</v>
      </c>
      <c r="BJ101" s="140">
        <f>SUMIFS($D$9:$BG$9,$D$7:$BG$7,"1",$D101:$BG101,"&gt;"&amp;-1)</f>
        <v>10</v>
      </c>
      <c r="BK101" s="141">
        <f t="shared" si="0"/>
        <v>100</v>
      </c>
      <c r="BL101" s="142">
        <f>SUMIF($D$7:$BG$7,"2",$D101:$BG101)</f>
        <v>30</v>
      </c>
      <c r="BM101" s="140">
        <f>SUMIFS($D$9:$BG$9,$D$7:$BG$7,"2",$D101:$BG101,"&gt;"&amp;-1)</f>
        <v>30</v>
      </c>
      <c r="BN101" s="141">
        <f t="shared" si="1"/>
        <v>100</v>
      </c>
      <c r="BO101" s="142">
        <f>SUMIF($D$7:$BG$7,"3",$D101:$BG101)</f>
        <v>34</v>
      </c>
      <c r="BP101" s="140">
        <f>SUMIFS($D$9:$BG$9,$D$7:$BG$7,"3",$D101:$BG101,"&gt;"&amp;-1)</f>
        <v>35</v>
      </c>
      <c r="BQ101" s="141">
        <f t="shared" si="2"/>
        <v>97.15</v>
      </c>
      <c r="BR101" s="142">
        <f>SUMIF($D$7:$BG$7,"4",$D101:$BG101)</f>
        <v>15</v>
      </c>
      <c r="BS101" s="140">
        <f>SUMIFS($D$9:$BG$9,$D$7:$BG$7,"4",$D101:$BG101,"&gt;"&amp;-1)</f>
        <v>15</v>
      </c>
      <c r="BT101" s="141">
        <f t="shared" si="3"/>
        <v>100</v>
      </c>
      <c r="BU101" s="142">
        <f>SUMIF($D$7:$BG$7,"5",$D101:$BG101)</f>
        <v>15</v>
      </c>
      <c r="BV101" s="140">
        <f>SUMIFS($D$9:$BG$9,$D$7:$BG$7,"5",$D101:$BG101,"&gt;"&amp;-1)</f>
        <v>20</v>
      </c>
      <c r="BW101" s="141">
        <f t="shared" si="4"/>
        <v>75</v>
      </c>
      <c r="BX101" s="142">
        <f>SUMIF($D$7:$BG$7,"6",$D101:$BG101)</f>
        <v>0</v>
      </c>
      <c r="BY101" s="140">
        <f>SUMIFS($D$9:$BG$9,$D$7:$BG$7,"6",$D101:$BG101,"&gt;"&amp;-1)</f>
        <v>0</v>
      </c>
      <c r="BZ101" s="141">
        <f t="shared" si="5"/>
        <v>0</v>
      </c>
    </row>
    <row r="102" ht="15.75" customHeight="1" spans="1:78" x14ac:dyDescent="0.25">
      <c r="A102" s="150" t="s">
        <v>160</v>
      </c>
      <c r="B102" s="150"/>
      <c r="C102" s="117"/>
      <c r="D102" s="132">
        <v>5</v>
      </c>
      <c r="E102" s="133"/>
      <c r="F102" s="134"/>
      <c r="G102" s="134"/>
      <c r="H102" s="135"/>
      <c r="I102" s="135"/>
      <c r="J102" s="136"/>
      <c r="K102" s="137"/>
      <c r="L102" s="134">
        <v>2</v>
      </c>
      <c r="M102" s="134"/>
      <c r="N102" s="135">
        <v>2</v>
      </c>
      <c r="O102" s="135"/>
      <c r="P102" s="136">
        <v>2</v>
      </c>
      <c r="Q102" s="136"/>
      <c r="R102" s="135"/>
      <c r="S102" s="135"/>
      <c r="T102" s="138"/>
      <c r="U102" s="132">
        <v>5</v>
      </c>
      <c r="V102" s="133"/>
      <c r="W102" s="134">
        <v>3</v>
      </c>
      <c r="X102" s="134">
        <v>2</v>
      </c>
      <c r="Y102" s="135">
        <v>5</v>
      </c>
      <c r="Z102" s="135"/>
      <c r="AA102" s="136">
        <v>5</v>
      </c>
      <c r="AB102" s="137"/>
      <c r="AC102" s="134">
        <v>4</v>
      </c>
      <c r="AD102" s="134"/>
      <c r="AE102" s="135"/>
      <c r="AF102" s="135"/>
      <c r="AG102" s="136"/>
      <c r="AH102" s="136"/>
      <c r="AI102" s="135"/>
      <c r="AJ102" s="135"/>
      <c r="BA102" s="125">
        <v>9</v>
      </c>
      <c r="BB102" s="125">
        <v>9</v>
      </c>
      <c r="BC102" s="125">
        <v>9</v>
      </c>
      <c r="BD102" s="125">
        <v>9</v>
      </c>
      <c r="BE102" s="125">
        <v>9</v>
      </c>
      <c r="BF102" s="126"/>
      <c r="BG102" s="127"/>
      <c r="BH102" s="46"/>
      <c r="BI102" s="139">
        <f>SUMIF($D$7:$BG$7,"1",$D102:$BG102)</f>
        <v>9</v>
      </c>
      <c r="BJ102" s="140">
        <f>SUMIFS($D$9:$BG$9,$D$7:$BG$7,"1",$D102:$BG102,"&gt;"&amp;-1)</f>
        <v>10</v>
      </c>
      <c r="BK102" s="141">
        <f t="shared" si="0"/>
        <v>90</v>
      </c>
      <c r="BL102" s="142">
        <f>SUMIF($D$7:$BG$7,"2",$D102:$BG102)</f>
        <v>21</v>
      </c>
      <c r="BM102" s="140">
        <f>SUMIFS($D$9:$BG$9,$D$7:$BG$7,"2",$D102:$BG102,"&gt;"&amp;-1)</f>
        <v>23</v>
      </c>
      <c r="BN102" s="141">
        <f t="shared" si="1"/>
        <v>91.31</v>
      </c>
      <c r="BO102" s="142">
        <f>SUMIF($D$7:$BG$7,"3",$D102:$BG102)</f>
        <v>25</v>
      </c>
      <c r="BP102" s="140">
        <f>SUMIFS($D$9:$BG$9,$D$7:$BG$7,"3",$D102:$BG102,"&gt;"&amp;-1)</f>
        <v>30</v>
      </c>
      <c r="BQ102" s="141">
        <f t="shared" si="2"/>
        <v>83.34</v>
      </c>
      <c r="BR102" s="142">
        <f>SUMIF($D$7:$BG$7,"4",$D102:$BG102)</f>
        <v>14</v>
      </c>
      <c r="BS102" s="140">
        <f>SUMIFS($D$9:$BG$9,$D$7:$BG$7,"4",$D102:$BG102,"&gt;"&amp;-1)</f>
        <v>15</v>
      </c>
      <c r="BT102" s="141">
        <f t="shared" si="3"/>
        <v>93.34</v>
      </c>
      <c r="BU102" s="142">
        <f>SUMIF($D$7:$BG$7,"5",$D102:$BG102)</f>
        <v>11</v>
      </c>
      <c r="BV102" s="140">
        <f>SUMIFS($D$9:$BG$9,$D$7:$BG$7,"5",$D102:$BG102,"&gt;"&amp;-1)</f>
        <v>15</v>
      </c>
      <c r="BW102" s="141">
        <f t="shared" si="4"/>
        <v>73.34</v>
      </c>
      <c r="BX102" s="142">
        <f>SUMIF($D$7:$BG$7,"6",$D102:$BG102)</f>
        <v>0</v>
      </c>
      <c r="BY102" s="140">
        <f>SUMIFS($D$9:$BG$9,$D$7:$BG$7,"6",$D102:$BG102,"&gt;"&amp;-1)</f>
        <v>0</v>
      </c>
      <c r="BZ102" s="141">
        <f t="shared" si="5"/>
        <v>0</v>
      </c>
    </row>
    <row r="103" ht="15.75" customHeight="1" spans="1:78" x14ac:dyDescent="0.25">
      <c r="A103" s="150" t="s">
        <v>161</v>
      </c>
      <c r="B103" s="150"/>
      <c r="C103" s="117"/>
      <c r="D103" s="132"/>
      <c r="E103" s="133"/>
      <c r="F103" s="134"/>
      <c r="G103" s="134"/>
      <c r="H103" s="135"/>
      <c r="I103" s="135"/>
      <c r="J103" s="136"/>
      <c r="K103" s="137"/>
      <c r="L103" s="134"/>
      <c r="M103" s="134"/>
      <c r="N103" s="135">
        <v>2</v>
      </c>
      <c r="O103" s="135"/>
      <c r="P103" s="136"/>
      <c r="Q103" s="136"/>
      <c r="R103" s="135"/>
      <c r="S103" s="135"/>
      <c r="T103" s="138"/>
      <c r="U103" s="132">
        <v>5</v>
      </c>
      <c r="V103" s="133"/>
      <c r="W103" s="134"/>
      <c r="X103" s="134">
        <v>1</v>
      </c>
      <c r="Y103" s="135"/>
      <c r="Z103" s="135"/>
      <c r="AA103" s="136">
        <v>4</v>
      </c>
      <c r="AB103" s="137"/>
      <c r="AC103" s="134"/>
      <c r="AD103" s="134"/>
      <c r="AE103" s="135"/>
      <c r="AF103" s="135"/>
      <c r="AG103" s="136"/>
      <c r="AH103" s="136"/>
      <c r="AI103" s="135"/>
      <c r="AJ103" s="135"/>
      <c r="BA103" s="125">
        <v>7.5</v>
      </c>
      <c r="BB103" s="125">
        <v>7.5</v>
      </c>
      <c r="BC103" s="125">
        <v>7.5</v>
      </c>
      <c r="BD103" s="125">
        <v>7.5</v>
      </c>
      <c r="BE103" s="125">
        <v>7.5</v>
      </c>
      <c r="BF103" s="126"/>
      <c r="BG103" s="127"/>
      <c r="BH103" s="46"/>
      <c r="BI103" s="139">
        <f>SUMIF($D$7:$BG$7,"1",$D103:$BG103)</f>
        <v>7.5</v>
      </c>
      <c r="BJ103" s="140">
        <f>SUMIFS($D$9:$BG$9,$D$7:$BG$7,"1",$D103:$BG103,"&gt;"&amp;-1)</f>
        <v>10</v>
      </c>
      <c r="BK103" s="141">
        <f t="shared" si="0"/>
        <v>75</v>
      </c>
      <c r="BL103" s="142">
        <f>SUMIF($D$7:$BG$7,"2",$D103:$BG103)</f>
        <v>8.5</v>
      </c>
      <c r="BM103" s="140">
        <f>SUMIFS($D$9:$BG$9,$D$7:$BG$7,"2",$D103:$BG103,"&gt;"&amp;-1)</f>
        <v>12</v>
      </c>
      <c r="BN103" s="141">
        <f t="shared" si="1"/>
        <v>70.84</v>
      </c>
      <c r="BO103" s="142">
        <f>SUMIF($D$7:$BG$7,"3",$D103:$BG103)</f>
        <v>14.5</v>
      </c>
      <c r="BP103" s="140">
        <f>SUMIFS($D$9:$BG$9,$D$7:$BG$7,"3",$D103:$BG103,"&gt;"&amp;-1)</f>
        <v>20</v>
      </c>
      <c r="BQ103" s="141">
        <f t="shared" si="2"/>
        <v>72.5</v>
      </c>
      <c r="BR103" s="142">
        <f>SUMIF($D$7:$BG$7,"4",$D103:$BG103)</f>
        <v>11.5</v>
      </c>
      <c r="BS103" s="140">
        <f>SUMIFS($D$9:$BG$9,$D$7:$BG$7,"4",$D103:$BG103,"&gt;"&amp;-1)</f>
        <v>15</v>
      </c>
      <c r="BT103" s="141">
        <f t="shared" si="3"/>
        <v>76.67</v>
      </c>
      <c r="BU103" s="142">
        <f>SUMIF($D$7:$BG$7,"5",$D103:$BG103)</f>
        <v>7.5</v>
      </c>
      <c r="BV103" s="140">
        <f>SUMIFS($D$9:$BG$9,$D$7:$BG$7,"5",$D103:$BG103,"&gt;"&amp;-1)</f>
        <v>10</v>
      </c>
      <c r="BW103" s="141">
        <f t="shared" si="4"/>
        <v>75</v>
      </c>
      <c r="BX103" s="142">
        <f>SUMIF($D$7:$BG$7,"6",$D103:$BG103)</f>
        <v>0</v>
      </c>
      <c r="BY103" s="140">
        <f>SUMIFS($D$9:$BG$9,$D$7:$BG$7,"6",$D103:$BG103,"&gt;"&amp;-1)</f>
        <v>0</v>
      </c>
      <c r="BZ103" s="141">
        <f t="shared" si="5"/>
        <v>0</v>
      </c>
    </row>
    <row r="104" ht="15.75" customHeight="1" spans="1:78" x14ac:dyDescent="0.25">
      <c r="A104" s="150" t="s">
        <v>162</v>
      </c>
      <c r="B104" s="150"/>
      <c r="C104" s="117"/>
      <c r="D104" s="132"/>
      <c r="E104" s="133"/>
      <c r="F104" s="134"/>
      <c r="G104" s="134"/>
      <c r="H104" s="135"/>
      <c r="I104" s="135"/>
      <c r="J104" s="136">
        <v>2</v>
      </c>
      <c r="K104" s="137">
        <v>2</v>
      </c>
      <c r="L104" s="134"/>
      <c r="M104" s="134"/>
      <c r="N104" s="135"/>
      <c r="O104" s="135"/>
      <c r="P104" s="136"/>
      <c r="Q104" s="136"/>
      <c r="R104" s="135"/>
      <c r="S104" s="135"/>
      <c r="T104" s="138"/>
      <c r="U104" s="132">
        <v>5</v>
      </c>
      <c r="V104" s="133"/>
      <c r="W104" s="134">
        <v>3</v>
      </c>
      <c r="X104" s="134">
        <v>2</v>
      </c>
      <c r="Y104" s="135">
        <v>5</v>
      </c>
      <c r="Z104" s="135"/>
      <c r="AA104" s="136">
        <v>4</v>
      </c>
      <c r="AB104" s="137"/>
      <c r="AC104" s="134">
        <v>5</v>
      </c>
      <c r="AD104" s="134"/>
      <c r="AE104" s="135"/>
      <c r="AF104" s="135"/>
      <c r="AG104" s="136"/>
      <c r="AH104" s="136"/>
      <c r="AI104" s="135"/>
      <c r="AJ104" s="135"/>
      <c r="BA104" s="125">
        <v>5</v>
      </c>
      <c r="BB104" s="125">
        <v>5</v>
      </c>
      <c r="BC104" s="125">
        <v>5</v>
      </c>
      <c r="BD104" s="125">
        <v>5</v>
      </c>
      <c r="BE104" s="125">
        <v>5</v>
      </c>
      <c r="BF104" s="126"/>
      <c r="BG104" s="127"/>
      <c r="BH104" s="46"/>
      <c r="BI104" s="139">
        <f>SUMIF($D$7:$BG$7,"1",$D104:$BG104)</f>
        <v>9</v>
      </c>
      <c r="BJ104" s="140">
        <f>SUMIFS($D$9:$BG$9,$D$7:$BG$7,"1",$D104:$BG104,"&gt;"&amp;-1)</f>
        <v>15</v>
      </c>
      <c r="BK104" s="141">
        <f t="shared" si="0"/>
        <v>60</v>
      </c>
      <c r="BL104" s="142">
        <f>SUMIF($D$7:$BG$7,"2",$D104:$BG104)</f>
        <v>10</v>
      </c>
      <c r="BM104" s="140">
        <f>SUMIFS($D$9:$BG$9,$D$7:$BG$7,"2",$D104:$BG104,"&gt;"&amp;-1)</f>
        <v>15</v>
      </c>
      <c r="BN104" s="141">
        <f t="shared" si="1"/>
        <v>66.67</v>
      </c>
      <c r="BO104" s="142">
        <f>SUMIF($D$7:$BG$7,"3",$D104:$BG104)</f>
        <v>20</v>
      </c>
      <c r="BP104" s="140">
        <f>SUMIFS($D$9:$BG$9,$D$7:$BG$7,"3",$D104:$BG104,"&gt;"&amp;-1)</f>
        <v>25</v>
      </c>
      <c r="BQ104" s="141">
        <f t="shared" si="2"/>
        <v>80</v>
      </c>
      <c r="BR104" s="142">
        <f>SUMIF($D$7:$BG$7,"4",$D104:$BG104)</f>
        <v>9</v>
      </c>
      <c r="BS104" s="140">
        <f>SUMIFS($D$9:$BG$9,$D$7:$BG$7,"4",$D104:$BG104,"&gt;"&amp;-1)</f>
        <v>15</v>
      </c>
      <c r="BT104" s="141">
        <f t="shared" si="3"/>
        <v>60</v>
      </c>
      <c r="BU104" s="142">
        <f>SUMIF($D$7:$BG$7,"5",$D104:$BG104)</f>
        <v>5</v>
      </c>
      <c r="BV104" s="140">
        <f>SUMIFS($D$9:$BG$9,$D$7:$BG$7,"5",$D104:$BG104,"&gt;"&amp;-1)</f>
        <v>10</v>
      </c>
      <c r="BW104" s="141">
        <f t="shared" si="4"/>
        <v>50</v>
      </c>
      <c r="BX104" s="142">
        <f>SUMIF($D$7:$BG$7,"6",$D104:$BG104)</f>
        <v>0</v>
      </c>
      <c r="BY104" s="140">
        <f>SUMIFS($D$9:$BG$9,$D$7:$BG$7,"6",$D104:$BG104,"&gt;"&amp;-1)</f>
        <v>0</v>
      </c>
      <c r="BZ104" s="141">
        <f t="shared" si="5"/>
        <v>0</v>
      </c>
    </row>
    <row r="105" ht="15.75" customHeight="1" spans="1:78" x14ac:dyDescent="0.25">
      <c r="A105" s="150" t="s">
        <v>163</v>
      </c>
      <c r="B105" s="150"/>
      <c r="C105" s="117"/>
      <c r="D105" s="132">
        <v>1</v>
      </c>
      <c r="E105" s="133"/>
      <c r="F105" s="134"/>
      <c r="G105" s="134"/>
      <c r="H105" s="135"/>
      <c r="I105" s="135"/>
      <c r="J105" s="136">
        <v>2</v>
      </c>
      <c r="K105" s="137">
        <v>2</v>
      </c>
      <c r="L105" s="134"/>
      <c r="M105" s="134">
        <v>1</v>
      </c>
      <c r="N105" s="135"/>
      <c r="O105" s="135"/>
      <c r="P105" s="136"/>
      <c r="Q105" s="136">
        <v>1</v>
      </c>
      <c r="R105" s="135"/>
      <c r="S105" s="135"/>
      <c r="T105" s="138"/>
      <c r="U105" s="132"/>
      <c r="V105" s="133"/>
      <c r="W105" s="134"/>
      <c r="X105" s="134"/>
      <c r="Y105" s="135"/>
      <c r="Z105" s="135"/>
      <c r="AA105" s="136"/>
      <c r="AB105" s="137"/>
      <c r="AC105" s="134"/>
      <c r="AD105" s="134"/>
      <c r="AE105" s="135"/>
      <c r="AF105" s="135"/>
      <c r="AG105" s="136"/>
      <c r="AH105" s="136"/>
      <c r="AI105" s="135"/>
      <c r="AJ105" s="135"/>
      <c r="BA105" s="125">
        <v>2.5</v>
      </c>
      <c r="BB105" s="125">
        <v>2.5</v>
      </c>
      <c r="BC105" s="125">
        <v>2.5</v>
      </c>
      <c r="BD105" s="125">
        <v>2.5</v>
      </c>
      <c r="BE105" s="125">
        <v>2.5</v>
      </c>
      <c r="BF105" s="126"/>
      <c r="BG105" s="127"/>
      <c r="BH105" s="46"/>
      <c r="BI105" s="139">
        <f>SUMIF($D$7:$BG$7,"1",$D105:$BG105)</f>
        <v>6.5</v>
      </c>
      <c r="BJ105" s="140">
        <f>SUMIFS($D$9:$BG$9,$D$7:$BG$7,"1",$D105:$BG105,"&gt;"&amp;-1)</f>
        <v>15</v>
      </c>
      <c r="BK105" s="141">
        <f t="shared" si="0"/>
        <v>43.339999999999996</v>
      </c>
      <c r="BL105" s="142">
        <f>SUMIF($D$7:$BG$7,"2",$D105:$BG105)</f>
        <v>4.5</v>
      </c>
      <c r="BM105" s="140">
        <f>SUMIFS($D$9:$BG$9,$D$7:$BG$7,"2",$D105:$BG105,"&gt;"&amp;-1)</f>
        <v>17</v>
      </c>
      <c r="BN105" s="141">
        <f t="shared" si="1"/>
        <v>26.48</v>
      </c>
      <c r="BO105" s="142">
        <f>SUMIF($D$7:$BG$7,"3",$D105:$BG105)</f>
        <v>2.5</v>
      </c>
      <c r="BP105" s="140">
        <f>SUMIFS($D$9:$BG$9,$D$7:$BG$7,"3",$D105:$BG105,"&gt;"&amp;-1)</f>
        <v>10</v>
      </c>
      <c r="BQ105" s="141">
        <f t="shared" si="2"/>
        <v>25</v>
      </c>
      <c r="BR105" s="142">
        <f>SUMIF($D$7:$BG$7,"4",$D105:$BG105)</f>
        <v>2.5</v>
      </c>
      <c r="BS105" s="140">
        <f>SUMIFS($D$9:$BG$9,$D$7:$BG$7,"4",$D105:$BG105,"&gt;"&amp;-1)</f>
        <v>10</v>
      </c>
      <c r="BT105" s="141">
        <f t="shared" si="3"/>
        <v>25</v>
      </c>
      <c r="BU105" s="142">
        <f>SUMIF($D$7:$BG$7,"5",$D105:$BG105)</f>
        <v>3.5</v>
      </c>
      <c r="BV105" s="140">
        <f>SUMIFS($D$9:$BG$9,$D$7:$BG$7,"5",$D105:$BG105,"&gt;"&amp;-1)</f>
        <v>15</v>
      </c>
      <c r="BW105" s="141">
        <f t="shared" si="4"/>
        <v>23.34</v>
      </c>
      <c r="BX105" s="142">
        <f>SUMIF($D$7:$BG$7,"6",$D105:$BG105)</f>
        <v>0</v>
      </c>
      <c r="BY105" s="140">
        <f>SUMIFS($D$9:$BG$9,$D$7:$BG$7,"6",$D105:$BG105,"&gt;"&amp;-1)</f>
        <v>0</v>
      </c>
      <c r="BZ105" s="141">
        <f t="shared" si="5"/>
        <v>0</v>
      </c>
    </row>
    <row r="106" ht="15.75" customHeight="1" spans="1:78" x14ac:dyDescent="0.25">
      <c r="A106" s="150" t="s">
        <v>164</v>
      </c>
      <c r="B106" s="150"/>
      <c r="C106" s="117"/>
      <c r="D106" s="132"/>
      <c r="E106" s="133"/>
      <c r="F106" s="134"/>
      <c r="G106" s="134"/>
      <c r="H106" s="135"/>
      <c r="I106" s="135"/>
      <c r="J106" s="136"/>
      <c r="K106" s="137"/>
      <c r="L106" s="134"/>
      <c r="M106" s="134"/>
      <c r="N106" s="135"/>
      <c r="O106" s="135"/>
      <c r="P106" s="136"/>
      <c r="Q106" s="136"/>
      <c r="R106" s="135"/>
      <c r="S106" s="135"/>
      <c r="T106" s="138"/>
      <c r="U106" s="132"/>
      <c r="V106" s="133"/>
      <c r="W106" s="134"/>
      <c r="X106" s="134"/>
      <c r="Y106" s="135">
        <v>2</v>
      </c>
      <c r="Z106" s="135"/>
      <c r="AA106" s="136">
        <v>1</v>
      </c>
      <c r="AB106" s="137"/>
      <c r="AC106" s="134"/>
      <c r="AD106" s="134"/>
      <c r="AE106" s="135"/>
      <c r="AF106" s="135"/>
      <c r="AG106" s="136"/>
      <c r="AH106" s="136"/>
      <c r="AI106" s="135"/>
      <c r="AJ106" s="135"/>
      <c r="BA106" s="125">
        <v>7.5</v>
      </c>
      <c r="BB106" s="125">
        <v>7.5</v>
      </c>
      <c r="BC106" s="125">
        <v>7.5</v>
      </c>
      <c r="BD106" s="125">
        <v>7.5</v>
      </c>
      <c r="BE106" s="125">
        <v>7.5</v>
      </c>
      <c r="BF106" s="126"/>
      <c r="BG106" s="127"/>
      <c r="BH106" s="46"/>
      <c r="BI106" s="139">
        <f>SUMIF($D$7:$BG$7,"1",$D106:$BG106)</f>
        <v>7.5</v>
      </c>
      <c r="BJ106" s="140">
        <f>SUMIFS($D$9:$BG$9,$D$7:$BG$7,"1",$D106:$BG106,"&gt;"&amp;-1)</f>
        <v>10</v>
      </c>
      <c r="BK106" s="141">
        <f t="shared" si="0"/>
        <v>75</v>
      </c>
      <c r="BL106" s="142">
        <f>SUMIF($D$7:$BG$7,"2",$D106:$BG106)</f>
        <v>7.5</v>
      </c>
      <c r="BM106" s="140">
        <f>SUMIFS($D$9:$BG$9,$D$7:$BG$7,"2",$D106:$BG106,"&gt;"&amp;-1)</f>
        <v>10</v>
      </c>
      <c r="BN106" s="141">
        <f t="shared" si="1"/>
        <v>75</v>
      </c>
      <c r="BO106" s="142">
        <f>SUMIF($D$7:$BG$7,"3",$D106:$BG106)</f>
        <v>9.5</v>
      </c>
      <c r="BP106" s="140">
        <f>SUMIFS($D$9:$BG$9,$D$7:$BG$7,"3",$D106:$BG106,"&gt;"&amp;-1)</f>
        <v>15</v>
      </c>
      <c r="BQ106" s="141">
        <f t="shared" si="2"/>
        <v>63.339999999999996</v>
      </c>
      <c r="BR106" s="142">
        <f>SUMIF($D$7:$BG$7,"4",$D106:$BG106)</f>
        <v>8.5</v>
      </c>
      <c r="BS106" s="140">
        <f>SUMIFS($D$9:$BG$9,$D$7:$BG$7,"4",$D106:$BG106,"&gt;"&amp;-1)</f>
        <v>15</v>
      </c>
      <c r="BT106" s="141">
        <f t="shared" si="3"/>
        <v>56.669999999999995</v>
      </c>
      <c r="BU106" s="142">
        <f>SUMIF($D$7:$BG$7,"5",$D106:$BG106)</f>
        <v>7.5</v>
      </c>
      <c r="BV106" s="140">
        <f>SUMIFS($D$9:$BG$9,$D$7:$BG$7,"5",$D106:$BG106,"&gt;"&amp;-1)</f>
        <v>10</v>
      </c>
      <c r="BW106" s="141">
        <f t="shared" si="4"/>
        <v>75</v>
      </c>
      <c r="BX106" s="142">
        <f>SUMIF($D$7:$BG$7,"6",$D106:$BG106)</f>
        <v>0</v>
      </c>
      <c r="BY106" s="140">
        <f>SUMIFS($D$9:$BG$9,$D$7:$BG$7,"6",$D106:$BG106,"&gt;"&amp;-1)</f>
        <v>0</v>
      </c>
      <c r="BZ106" s="141">
        <f t="shared" si="5"/>
        <v>0</v>
      </c>
    </row>
    <row r="107" ht="15.75" customHeight="1" spans="1:78" x14ac:dyDescent="0.25">
      <c r="A107" s="150" t="s">
        <v>165</v>
      </c>
      <c r="B107" s="150"/>
      <c r="C107" s="117"/>
      <c r="D107" s="132">
        <v>5</v>
      </c>
      <c r="E107" s="133"/>
      <c r="F107" s="134">
        <v>5</v>
      </c>
      <c r="G107" s="134"/>
      <c r="H107" s="135"/>
      <c r="I107" s="135"/>
      <c r="J107" s="136">
        <v>2.5</v>
      </c>
      <c r="K107" s="137">
        <v>2.5</v>
      </c>
      <c r="L107" s="134">
        <v>2</v>
      </c>
      <c r="M107" s="134">
        <v>3</v>
      </c>
      <c r="N107" s="135"/>
      <c r="O107" s="135"/>
      <c r="P107" s="136">
        <v>2</v>
      </c>
      <c r="Q107" s="136">
        <v>3</v>
      </c>
      <c r="R107" s="135"/>
      <c r="S107" s="135"/>
      <c r="T107" s="138"/>
      <c r="U107" s="132">
        <v>5</v>
      </c>
      <c r="V107" s="133"/>
      <c r="W107" s="134">
        <v>3</v>
      </c>
      <c r="X107" s="134">
        <v>2</v>
      </c>
      <c r="Y107" s="135">
        <v>5</v>
      </c>
      <c r="Z107" s="135"/>
      <c r="AA107" s="136">
        <v>5</v>
      </c>
      <c r="AB107" s="137"/>
      <c r="AC107" s="134">
        <v>4</v>
      </c>
      <c r="AD107" s="134"/>
      <c r="AE107" s="135"/>
      <c r="AF107" s="135"/>
      <c r="AG107" s="136"/>
      <c r="AH107" s="136"/>
      <c r="AI107" s="135"/>
      <c r="AJ107" s="135"/>
      <c r="BA107" s="125">
        <v>10</v>
      </c>
      <c r="BB107" s="125">
        <v>10</v>
      </c>
      <c r="BC107" s="125">
        <v>10</v>
      </c>
      <c r="BD107" s="125">
        <v>10</v>
      </c>
      <c r="BE107" s="125">
        <v>10</v>
      </c>
      <c r="BF107" s="126"/>
      <c r="BG107" s="127"/>
      <c r="BH107" s="46"/>
      <c r="BI107" s="139">
        <f>SUMIF($D$7:$BG$7,"1",$D107:$BG107)</f>
        <v>15</v>
      </c>
      <c r="BJ107" s="140">
        <f>SUMIFS($D$9:$BG$9,$D$7:$BG$7,"1",$D107:$BG107,"&gt;"&amp;-1)</f>
        <v>15</v>
      </c>
      <c r="BK107" s="141">
        <f t="shared" si="0"/>
        <v>100</v>
      </c>
      <c r="BL107" s="142">
        <f>SUMIF($D$7:$BG$7,"2",$D107:$BG107)</f>
        <v>25</v>
      </c>
      <c r="BM107" s="140">
        <f>SUMIFS($D$9:$BG$9,$D$7:$BG$7,"2",$D107:$BG107,"&gt;"&amp;-1)</f>
        <v>25</v>
      </c>
      <c r="BN107" s="141">
        <f t="shared" si="1"/>
        <v>100</v>
      </c>
      <c r="BO107" s="142">
        <f>SUMIF($D$7:$BG$7,"3",$D107:$BG107)</f>
        <v>29</v>
      </c>
      <c r="BP107" s="140">
        <f>SUMIFS($D$9:$BG$9,$D$7:$BG$7,"3",$D107:$BG107,"&gt;"&amp;-1)</f>
        <v>30</v>
      </c>
      <c r="BQ107" s="141">
        <f t="shared" si="2"/>
        <v>96.67</v>
      </c>
      <c r="BR107" s="142">
        <f>SUMIF($D$7:$BG$7,"4",$D107:$BG107)</f>
        <v>15</v>
      </c>
      <c r="BS107" s="140">
        <f>SUMIFS($D$9:$BG$9,$D$7:$BG$7,"4",$D107:$BG107,"&gt;"&amp;-1)</f>
        <v>15</v>
      </c>
      <c r="BT107" s="141">
        <f t="shared" si="3"/>
        <v>100</v>
      </c>
      <c r="BU107" s="142">
        <f>SUMIF($D$7:$BG$7,"5",$D107:$BG107)</f>
        <v>15</v>
      </c>
      <c r="BV107" s="140">
        <f>SUMIFS($D$9:$BG$9,$D$7:$BG$7,"5",$D107:$BG107,"&gt;"&amp;-1)</f>
        <v>20</v>
      </c>
      <c r="BW107" s="141">
        <f t="shared" si="4"/>
        <v>75</v>
      </c>
      <c r="BX107" s="142">
        <f>SUMIF($D$7:$BG$7,"6",$D107:$BG107)</f>
        <v>0</v>
      </c>
      <c r="BY107" s="140">
        <f>SUMIFS($D$9:$BG$9,$D$7:$BG$7,"6",$D107:$BG107,"&gt;"&amp;-1)</f>
        <v>0</v>
      </c>
      <c r="BZ107" s="141">
        <f t="shared" si="5"/>
        <v>0</v>
      </c>
    </row>
    <row r="108" ht="15.75" customHeight="1" spans="1:78" x14ac:dyDescent="0.25">
      <c r="A108" s="150" t="s">
        <v>166</v>
      </c>
      <c r="B108" s="150"/>
      <c r="C108" s="117"/>
      <c r="D108" s="132"/>
      <c r="E108" s="133"/>
      <c r="F108" s="134"/>
      <c r="G108" s="134"/>
      <c r="H108" s="135"/>
      <c r="I108" s="135"/>
      <c r="J108" s="136"/>
      <c r="K108" s="137"/>
      <c r="L108" s="134"/>
      <c r="M108" s="134"/>
      <c r="N108" s="135"/>
      <c r="O108" s="135"/>
      <c r="P108" s="136"/>
      <c r="Q108" s="136"/>
      <c r="R108" s="135"/>
      <c r="S108" s="135"/>
      <c r="T108" s="138"/>
      <c r="U108" s="132">
        <v>2</v>
      </c>
      <c r="V108" s="133"/>
      <c r="W108" s="134"/>
      <c r="X108" s="134">
        <v>2</v>
      </c>
      <c r="Y108" s="135"/>
      <c r="Z108" s="135"/>
      <c r="AA108" s="136"/>
      <c r="AB108" s="137"/>
      <c r="AC108" s="134"/>
      <c r="AD108" s="134"/>
      <c r="AE108" s="135"/>
      <c r="AF108" s="135"/>
      <c r="AG108" s="136"/>
      <c r="AH108" s="136"/>
      <c r="AI108" s="135"/>
      <c r="AJ108" s="135"/>
      <c r="BA108" s="125">
        <v>6.5</v>
      </c>
      <c r="BB108" s="125">
        <v>6.5</v>
      </c>
      <c r="BC108" s="125">
        <v>6.5</v>
      </c>
      <c r="BD108" s="125">
        <v>6.5</v>
      </c>
      <c r="BE108" s="125">
        <v>6.5</v>
      </c>
      <c r="BF108" s="126"/>
      <c r="BG108" s="127"/>
      <c r="BH108" s="46"/>
      <c r="BI108" s="139">
        <f>SUMIF($D$7:$BG$7,"1",$D108:$BG108)</f>
        <v>6.5</v>
      </c>
      <c r="BJ108" s="140">
        <f>SUMIFS($D$9:$BG$9,$D$7:$BG$7,"1",$D108:$BG108,"&gt;"&amp;-1)</f>
        <v>10</v>
      </c>
      <c r="BK108" s="141">
        <f t="shared" si="0"/>
        <v>65</v>
      </c>
      <c r="BL108" s="142">
        <f>SUMIF($D$7:$BG$7,"2",$D108:$BG108)</f>
        <v>8.5</v>
      </c>
      <c r="BM108" s="140">
        <f>SUMIFS($D$9:$BG$9,$D$7:$BG$7,"2",$D108:$BG108,"&gt;"&amp;-1)</f>
        <v>12</v>
      </c>
      <c r="BN108" s="141">
        <f t="shared" si="1"/>
        <v>70.84</v>
      </c>
      <c r="BO108" s="142">
        <f>SUMIF($D$7:$BG$7,"3",$D108:$BG108)</f>
        <v>8.5</v>
      </c>
      <c r="BP108" s="140">
        <f>SUMIFS($D$9:$BG$9,$D$7:$BG$7,"3",$D108:$BG108,"&gt;"&amp;-1)</f>
        <v>15</v>
      </c>
      <c r="BQ108" s="141">
        <f t="shared" si="2"/>
        <v>56.669999999999995</v>
      </c>
      <c r="BR108" s="142">
        <f>SUMIF($D$7:$BG$7,"4",$D108:$BG108)</f>
        <v>6.5</v>
      </c>
      <c r="BS108" s="140">
        <f>SUMIFS($D$9:$BG$9,$D$7:$BG$7,"4",$D108:$BG108,"&gt;"&amp;-1)</f>
        <v>10</v>
      </c>
      <c r="BT108" s="141">
        <f t="shared" si="3"/>
        <v>65</v>
      </c>
      <c r="BU108" s="142">
        <f>SUMIF($D$7:$BG$7,"5",$D108:$BG108)</f>
        <v>6.5</v>
      </c>
      <c r="BV108" s="140">
        <f>SUMIFS($D$9:$BG$9,$D$7:$BG$7,"5",$D108:$BG108,"&gt;"&amp;-1)</f>
        <v>10</v>
      </c>
      <c r="BW108" s="141">
        <f t="shared" si="4"/>
        <v>65</v>
      </c>
      <c r="BX108" s="142">
        <f>SUMIF($D$7:$BG$7,"6",$D108:$BG108)</f>
        <v>0</v>
      </c>
      <c r="BY108" s="140">
        <f>SUMIFS($D$9:$BG$9,$D$7:$BG$7,"6",$D108:$BG108,"&gt;"&amp;-1)</f>
        <v>0</v>
      </c>
      <c r="BZ108" s="141">
        <f t="shared" si="5"/>
        <v>0</v>
      </c>
    </row>
    <row r="109" ht="15.75" customHeight="1" spans="1:78" x14ac:dyDescent="0.25">
      <c r="A109" s="150" t="s">
        <v>167</v>
      </c>
      <c r="B109" s="150"/>
      <c r="C109" s="117"/>
      <c r="D109" s="132">
        <v>3</v>
      </c>
      <c r="E109" s="133"/>
      <c r="F109" s="134"/>
      <c r="G109" s="134"/>
      <c r="H109" s="135"/>
      <c r="I109" s="135"/>
      <c r="J109" s="136"/>
      <c r="K109" s="137">
        <v>2.5</v>
      </c>
      <c r="L109" s="134">
        <v>2</v>
      </c>
      <c r="M109" s="134"/>
      <c r="N109" s="135"/>
      <c r="O109" s="135"/>
      <c r="P109" s="136">
        <v>2</v>
      </c>
      <c r="Q109" s="136"/>
      <c r="R109" s="135"/>
      <c r="S109" s="135"/>
      <c r="T109" s="138"/>
      <c r="U109" s="132">
        <v>4</v>
      </c>
      <c r="V109" s="133"/>
      <c r="W109" s="134">
        <v>3</v>
      </c>
      <c r="X109" s="134">
        <v>2</v>
      </c>
      <c r="Y109" s="135"/>
      <c r="Z109" s="135"/>
      <c r="AA109" s="136"/>
      <c r="AB109" s="137"/>
      <c r="AC109" s="134"/>
      <c r="AD109" s="134"/>
      <c r="AE109" s="135"/>
      <c r="AF109" s="135"/>
      <c r="AG109" s="136"/>
      <c r="AH109" s="136"/>
      <c r="AI109" s="135"/>
      <c r="AJ109" s="135"/>
      <c r="BA109" s="125">
        <v>4.5</v>
      </c>
      <c r="BB109" s="125">
        <v>4.5</v>
      </c>
      <c r="BC109" s="125">
        <v>4.5</v>
      </c>
      <c r="BD109" s="125">
        <v>4.5</v>
      </c>
      <c r="BE109" s="125">
        <v>4.5</v>
      </c>
      <c r="BF109" s="126"/>
      <c r="BG109" s="127"/>
      <c r="BH109" s="46"/>
      <c r="BI109" s="139">
        <f>SUMIF($D$7:$BG$7,"1",$D109:$BG109)</f>
        <v>7</v>
      </c>
      <c r="BJ109" s="140">
        <f>SUMIFS($D$9:$BG$9,$D$7:$BG$7,"1",$D109:$BG109,"&gt;"&amp;-1)</f>
        <v>12.5</v>
      </c>
      <c r="BK109" s="141">
        <f t="shared" si="0"/>
        <v>56</v>
      </c>
      <c r="BL109" s="142">
        <f>SUMIF($D$7:$BG$7,"2",$D109:$BG109)</f>
        <v>14.5</v>
      </c>
      <c r="BM109" s="140">
        <f>SUMIFS($D$9:$BG$9,$D$7:$BG$7,"2",$D109:$BG109,"&gt;"&amp;-1)</f>
        <v>23</v>
      </c>
      <c r="BN109" s="141">
        <f t="shared" si="1"/>
        <v>63.05</v>
      </c>
      <c r="BO109" s="142">
        <f>SUMIF($D$7:$BG$7,"3",$D109:$BG109)</f>
        <v>8.5</v>
      </c>
      <c r="BP109" s="140">
        <f>SUMIFS($D$9:$BG$9,$D$7:$BG$7,"3",$D109:$BG109,"&gt;"&amp;-1)</f>
        <v>15</v>
      </c>
      <c r="BQ109" s="141">
        <f t="shared" si="2"/>
        <v>56.669999999999995</v>
      </c>
      <c r="BR109" s="142">
        <f>SUMIF($D$7:$BG$7,"4",$D109:$BG109)</f>
        <v>4.5</v>
      </c>
      <c r="BS109" s="140">
        <f>SUMIFS($D$9:$BG$9,$D$7:$BG$7,"4",$D109:$BG109,"&gt;"&amp;-1)</f>
        <v>10</v>
      </c>
      <c r="BT109" s="141">
        <f t="shared" si="3"/>
        <v>45</v>
      </c>
      <c r="BU109" s="142">
        <f>SUMIF($D$7:$BG$7,"5",$D109:$BG109)</f>
        <v>6.5</v>
      </c>
      <c r="BV109" s="140">
        <f>SUMIFS($D$9:$BG$9,$D$7:$BG$7,"5",$D109:$BG109,"&gt;"&amp;-1)</f>
        <v>15</v>
      </c>
      <c r="BW109" s="141">
        <f t="shared" si="4"/>
        <v>43.339999999999996</v>
      </c>
      <c r="BX109" s="142">
        <f>SUMIF($D$7:$BG$7,"6",$D109:$BG109)</f>
        <v>0</v>
      </c>
      <c r="BY109" s="140">
        <f>SUMIFS($D$9:$BG$9,$D$7:$BG$7,"6",$D109:$BG109,"&gt;"&amp;-1)</f>
        <v>0</v>
      </c>
      <c r="BZ109" s="141">
        <f t="shared" si="5"/>
        <v>0</v>
      </c>
    </row>
    <row r="110" ht="15.75" customHeight="1" spans="1:78" x14ac:dyDescent="0.25">
      <c r="A110" s="150" t="s">
        <v>168</v>
      </c>
      <c r="B110" s="150"/>
      <c r="C110" s="117"/>
      <c r="D110" s="132">
        <v>5</v>
      </c>
      <c r="E110" s="133"/>
      <c r="F110" s="134">
        <v>3</v>
      </c>
      <c r="G110" s="134"/>
      <c r="H110" s="135"/>
      <c r="I110" s="135"/>
      <c r="J110" s="136"/>
      <c r="K110" s="137"/>
      <c r="L110" s="134"/>
      <c r="M110" s="134"/>
      <c r="N110" s="135"/>
      <c r="O110" s="135"/>
      <c r="P110" s="136"/>
      <c r="Q110" s="136"/>
      <c r="R110" s="135"/>
      <c r="S110" s="135"/>
      <c r="T110" s="138"/>
      <c r="U110" s="132">
        <v>5</v>
      </c>
      <c r="V110" s="133"/>
      <c r="W110" s="134"/>
      <c r="X110" s="134"/>
      <c r="Y110" s="135">
        <v>1</v>
      </c>
      <c r="Z110" s="135"/>
      <c r="AA110" s="136"/>
      <c r="AB110" s="137"/>
      <c r="AC110" s="134"/>
      <c r="AD110" s="134"/>
      <c r="AE110" s="135"/>
      <c r="AF110" s="135"/>
      <c r="AG110" s="136"/>
      <c r="AH110" s="136"/>
      <c r="AI110" s="135"/>
      <c r="AJ110" s="135"/>
      <c r="BA110" s="125">
        <v>0</v>
      </c>
      <c r="BB110" s="125">
        <v>0</v>
      </c>
      <c r="BC110" s="125">
        <v>0</v>
      </c>
      <c r="BD110" s="125">
        <v>0</v>
      </c>
      <c r="BE110" s="125">
        <v>0</v>
      </c>
      <c r="BF110" s="126"/>
      <c r="BG110" s="127"/>
      <c r="BH110" s="46"/>
      <c r="BI110" s="139">
        <f>SUMIF($D$7:$BG$7,"1",$D110:$BG110)</f>
        <v>0</v>
      </c>
      <c r="BJ110" s="140">
        <f>SUMIFS($D$9:$BG$9,$D$7:$BG$7,"1",$D110:$BG110,"&gt;"&amp;-1)</f>
        <v>10</v>
      </c>
      <c r="BK110" s="141">
        <f t="shared" si="0"/>
        <v>0</v>
      </c>
      <c r="BL110" s="142">
        <f>SUMIF($D$7:$BG$7,"2",$D110:$BG110)</f>
        <v>5</v>
      </c>
      <c r="BM110" s="140">
        <f>SUMIFS($D$9:$BG$9,$D$7:$BG$7,"2",$D110:$BG110,"&gt;"&amp;-1)</f>
        <v>15</v>
      </c>
      <c r="BN110" s="141">
        <f t="shared" si="1"/>
        <v>33.339999999999996</v>
      </c>
      <c r="BO110" s="142">
        <f>SUMIF($D$7:$BG$7,"3",$D110:$BG110)</f>
        <v>9</v>
      </c>
      <c r="BP110" s="140">
        <f>SUMIFS($D$9:$BG$9,$D$7:$BG$7,"3",$D110:$BG110,"&gt;"&amp;-1)</f>
        <v>25</v>
      </c>
      <c r="BQ110" s="141">
        <f t="shared" si="2"/>
        <v>36</v>
      </c>
      <c r="BR110" s="142">
        <f>SUMIF($D$7:$BG$7,"4",$D110:$BG110)</f>
        <v>0</v>
      </c>
      <c r="BS110" s="140">
        <f>SUMIFS($D$9:$BG$9,$D$7:$BG$7,"4",$D110:$BG110,"&gt;"&amp;-1)</f>
        <v>10</v>
      </c>
      <c r="BT110" s="141">
        <f t="shared" si="3"/>
        <v>0</v>
      </c>
      <c r="BU110" s="142">
        <f>SUMIF($D$7:$BG$7,"5",$D110:$BG110)</f>
        <v>0</v>
      </c>
      <c r="BV110" s="140">
        <f>SUMIFS($D$9:$BG$9,$D$7:$BG$7,"5",$D110:$BG110,"&gt;"&amp;-1)</f>
        <v>10</v>
      </c>
      <c r="BW110" s="141">
        <f t="shared" si="4"/>
        <v>0</v>
      </c>
      <c r="BX110" s="142">
        <f>SUMIF($D$7:$BG$7,"6",$D110:$BG110)</f>
        <v>0</v>
      </c>
      <c r="BY110" s="140">
        <f>SUMIFS($D$9:$BG$9,$D$7:$BG$7,"6",$D110:$BG110,"&gt;"&amp;-1)</f>
        <v>0</v>
      </c>
      <c r="BZ110" s="141">
        <f t="shared" si="5"/>
        <v>0</v>
      </c>
    </row>
    <row r="111" ht="15.75" customHeight="1" spans="1:78" x14ac:dyDescent="0.25">
      <c r="A111" s="150" t="s">
        <v>169</v>
      </c>
      <c r="B111" s="150"/>
      <c r="C111" s="117"/>
      <c r="D111" s="132">
        <v>5</v>
      </c>
      <c r="E111" s="133"/>
      <c r="F111" s="134"/>
      <c r="G111" s="134"/>
      <c r="H111" s="135"/>
      <c r="I111" s="135"/>
      <c r="J111" s="136"/>
      <c r="K111" s="137"/>
      <c r="L111" s="134">
        <v>2</v>
      </c>
      <c r="M111" s="134">
        <v>2</v>
      </c>
      <c r="N111" s="135"/>
      <c r="O111" s="135"/>
      <c r="P111" s="136">
        <v>2</v>
      </c>
      <c r="Q111" s="136">
        <v>2</v>
      </c>
      <c r="R111" s="135"/>
      <c r="S111" s="135"/>
      <c r="T111" s="138"/>
      <c r="U111" s="132">
        <v>2</v>
      </c>
      <c r="V111" s="133"/>
      <c r="W111" s="134">
        <v>3</v>
      </c>
      <c r="X111" s="134">
        <v>2</v>
      </c>
      <c r="Y111" s="135"/>
      <c r="Z111" s="135"/>
      <c r="AA111" s="136">
        <v>2</v>
      </c>
      <c r="AB111" s="137"/>
      <c r="AC111" s="134">
        <v>1</v>
      </c>
      <c r="AD111" s="134"/>
      <c r="AE111" s="135"/>
      <c r="AF111" s="135"/>
      <c r="AG111" s="136"/>
      <c r="AH111" s="136"/>
      <c r="AI111" s="135"/>
      <c r="AJ111" s="135"/>
      <c r="BA111" s="125">
        <v>5</v>
      </c>
      <c r="BB111" s="125">
        <v>5</v>
      </c>
      <c r="BC111" s="125">
        <v>5</v>
      </c>
      <c r="BD111" s="125">
        <v>5</v>
      </c>
      <c r="BE111" s="125">
        <v>5</v>
      </c>
      <c r="BF111" s="126"/>
      <c r="BG111" s="127"/>
      <c r="BH111" s="46"/>
      <c r="BI111" s="139">
        <f>SUMIF($D$7:$BG$7,"1",$D111:$BG111)</f>
        <v>5</v>
      </c>
      <c r="BJ111" s="140">
        <f>SUMIFS($D$9:$BG$9,$D$7:$BG$7,"1",$D111:$BG111,"&gt;"&amp;-1)</f>
        <v>10</v>
      </c>
      <c r="BK111" s="141">
        <f t="shared" si="0"/>
        <v>50</v>
      </c>
      <c r="BL111" s="142">
        <f>SUMIF($D$7:$BG$7,"2",$D111:$BG111)</f>
        <v>19</v>
      </c>
      <c r="BM111" s="140">
        <f>SUMIFS($D$9:$BG$9,$D$7:$BG$7,"2",$D111:$BG111,"&gt;"&amp;-1)</f>
        <v>25</v>
      </c>
      <c r="BN111" s="141">
        <f t="shared" si="1"/>
        <v>76</v>
      </c>
      <c r="BO111" s="142">
        <f>SUMIF($D$7:$BG$7,"3",$D111:$BG111)</f>
        <v>8</v>
      </c>
      <c r="BP111" s="140">
        <f>SUMIFS($D$9:$BG$9,$D$7:$BG$7,"3",$D111:$BG111,"&gt;"&amp;-1)</f>
        <v>20</v>
      </c>
      <c r="BQ111" s="141">
        <f t="shared" si="2"/>
        <v>40</v>
      </c>
      <c r="BR111" s="142">
        <f>SUMIF($D$7:$BG$7,"4",$D111:$BG111)</f>
        <v>7</v>
      </c>
      <c r="BS111" s="140">
        <f>SUMIFS($D$9:$BG$9,$D$7:$BG$7,"4",$D111:$BG111,"&gt;"&amp;-1)</f>
        <v>15</v>
      </c>
      <c r="BT111" s="141">
        <f t="shared" si="3"/>
        <v>46.669999999999995</v>
      </c>
      <c r="BU111" s="142">
        <f>SUMIF($D$7:$BG$7,"5",$D111:$BG111)</f>
        <v>9</v>
      </c>
      <c r="BV111" s="140">
        <f>SUMIFS($D$9:$BG$9,$D$7:$BG$7,"5",$D111:$BG111,"&gt;"&amp;-1)</f>
        <v>20</v>
      </c>
      <c r="BW111" s="141">
        <f t="shared" si="4"/>
        <v>45</v>
      </c>
      <c r="BX111" s="142">
        <f>SUMIF($D$7:$BG$7,"6",$D111:$BG111)</f>
        <v>0</v>
      </c>
      <c r="BY111" s="140">
        <f>SUMIFS($D$9:$BG$9,$D$7:$BG$7,"6",$D111:$BG111,"&gt;"&amp;-1)</f>
        <v>0</v>
      </c>
      <c r="BZ111" s="141">
        <f t="shared" si="5"/>
        <v>0</v>
      </c>
    </row>
    <row r="112" ht="15.75" customHeight="1" spans="1:78" x14ac:dyDescent="0.25">
      <c r="A112" s="150" t="s">
        <v>170</v>
      </c>
      <c r="B112" s="150"/>
      <c r="C112" s="117"/>
      <c r="D112" s="132">
        <v>3</v>
      </c>
      <c r="E112" s="133"/>
      <c r="F112" s="134">
        <v>1</v>
      </c>
      <c r="G112" s="134"/>
      <c r="H112" s="135"/>
      <c r="I112" s="135"/>
      <c r="J112" s="136"/>
      <c r="K112" s="137"/>
      <c r="L112" s="134"/>
      <c r="M112" s="134">
        <v>1</v>
      </c>
      <c r="N112" s="135"/>
      <c r="O112" s="135"/>
      <c r="P112" s="136"/>
      <c r="Q112" s="136">
        <v>1</v>
      </c>
      <c r="R112" s="135"/>
      <c r="S112" s="135"/>
      <c r="T112" s="138"/>
      <c r="U112" s="132">
        <v>5</v>
      </c>
      <c r="V112" s="133"/>
      <c r="W112" s="134">
        <v>3</v>
      </c>
      <c r="X112" s="134">
        <v>2</v>
      </c>
      <c r="Y112" s="135">
        <v>4</v>
      </c>
      <c r="Z112" s="135"/>
      <c r="AA112" s="136">
        <v>2</v>
      </c>
      <c r="AB112" s="137"/>
      <c r="AC112" s="134"/>
      <c r="AD112" s="134"/>
      <c r="AE112" s="135"/>
      <c r="AF112" s="135"/>
      <c r="AG112" s="136"/>
      <c r="AH112" s="136"/>
      <c r="AI112" s="135"/>
      <c r="AJ112" s="135"/>
      <c r="BA112" s="125">
        <v>5</v>
      </c>
      <c r="BB112" s="125">
        <v>5</v>
      </c>
      <c r="BC112" s="125">
        <v>5</v>
      </c>
      <c r="BD112" s="125">
        <v>5</v>
      </c>
      <c r="BE112" s="125">
        <v>5</v>
      </c>
      <c r="BF112" s="126"/>
      <c r="BG112" s="127"/>
      <c r="BH112" s="46"/>
      <c r="BI112" s="139">
        <f>SUMIF($D$7:$BG$7,"1",$D112:$BG112)</f>
        <v>5</v>
      </c>
      <c r="BJ112" s="140">
        <f>SUMIFS($D$9:$BG$9,$D$7:$BG$7,"1",$D112:$BG112,"&gt;"&amp;-1)</f>
        <v>10</v>
      </c>
      <c r="BK112" s="141">
        <f t="shared" si="0"/>
        <v>50</v>
      </c>
      <c r="BL112" s="142">
        <f>SUMIF($D$7:$BG$7,"2",$D112:$BG112)</f>
        <v>14</v>
      </c>
      <c r="BM112" s="140">
        <f>SUMIFS($D$9:$BG$9,$D$7:$BG$7,"2",$D112:$BG112,"&gt;"&amp;-1)</f>
        <v>22</v>
      </c>
      <c r="BN112" s="141">
        <f t="shared" si="1"/>
        <v>63.64</v>
      </c>
      <c r="BO112" s="142">
        <f>SUMIF($D$7:$BG$7,"3",$D112:$BG112)</f>
        <v>15</v>
      </c>
      <c r="BP112" s="140">
        <f>SUMIFS($D$9:$BG$9,$D$7:$BG$7,"3",$D112:$BG112,"&gt;"&amp;-1)</f>
        <v>25</v>
      </c>
      <c r="BQ112" s="141">
        <f t="shared" si="2"/>
        <v>60</v>
      </c>
      <c r="BR112" s="142">
        <f>SUMIF($D$7:$BG$7,"4",$D112:$BG112)</f>
        <v>7</v>
      </c>
      <c r="BS112" s="140">
        <f>SUMIFS($D$9:$BG$9,$D$7:$BG$7,"4",$D112:$BG112,"&gt;"&amp;-1)</f>
        <v>15</v>
      </c>
      <c r="BT112" s="141">
        <f t="shared" si="3"/>
        <v>46.669999999999995</v>
      </c>
      <c r="BU112" s="142">
        <f>SUMIF($D$7:$BG$7,"5",$D112:$BG112)</f>
        <v>6</v>
      </c>
      <c r="BV112" s="140">
        <f>SUMIFS($D$9:$BG$9,$D$7:$BG$7,"5",$D112:$BG112,"&gt;"&amp;-1)</f>
        <v>15</v>
      </c>
      <c r="BW112" s="141">
        <f t="shared" si="4"/>
        <v>40</v>
      </c>
      <c r="BX112" s="142">
        <f>SUMIF($D$7:$BG$7,"6",$D112:$BG112)</f>
        <v>0</v>
      </c>
      <c r="BY112" s="140">
        <f>SUMIFS($D$9:$BG$9,$D$7:$BG$7,"6",$D112:$BG112,"&gt;"&amp;-1)</f>
        <v>0</v>
      </c>
      <c r="BZ112" s="141">
        <f t="shared" si="5"/>
        <v>0</v>
      </c>
    </row>
    <row r="113" ht="15.75" customHeight="1" spans="1:78" x14ac:dyDescent="0.25">
      <c r="A113" s="150" t="s">
        <v>171</v>
      </c>
      <c r="B113" s="150"/>
      <c r="C113" s="117"/>
      <c r="D113" s="132">
        <v>3</v>
      </c>
      <c r="E113" s="133"/>
      <c r="F113" s="134"/>
      <c r="G113" s="134"/>
      <c r="H113" s="135"/>
      <c r="I113" s="135"/>
      <c r="J113" s="136"/>
      <c r="K113" s="137"/>
      <c r="L113" s="134"/>
      <c r="M113" s="134"/>
      <c r="N113" s="135"/>
      <c r="O113" s="135"/>
      <c r="P113" s="136"/>
      <c r="Q113" s="136"/>
      <c r="R113" s="135"/>
      <c r="S113" s="135"/>
      <c r="T113" s="138"/>
      <c r="U113" s="132">
        <v>2</v>
      </c>
      <c r="V113" s="133"/>
      <c r="W113" s="134"/>
      <c r="X113" s="134"/>
      <c r="Y113" s="135"/>
      <c r="Z113" s="135"/>
      <c r="AA113" s="136"/>
      <c r="AB113" s="137"/>
      <c r="AC113" s="134"/>
      <c r="AD113" s="134"/>
      <c r="AE113" s="135"/>
      <c r="AF113" s="135"/>
      <c r="AG113" s="136"/>
      <c r="AH113" s="136"/>
      <c r="AI113" s="135"/>
      <c r="AJ113" s="135"/>
      <c r="BA113" s="125">
        <v>8</v>
      </c>
      <c r="BB113" s="125">
        <v>8</v>
      </c>
      <c r="BC113" s="125">
        <v>8</v>
      </c>
      <c r="BD113" s="125">
        <v>8</v>
      </c>
      <c r="BE113" s="125">
        <v>8</v>
      </c>
      <c r="BF113" s="126"/>
      <c r="BG113" s="127"/>
      <c r="BH113" s="46"/>
      <c r="BI113" s="139">
        <f>SUMIF($D$7:$BG$7,"1",$D113:$BG113)</f>
        <v>8</v>
      </c>
      <c r="BJ113" s="140">
        <f>SUMIFS($D$9:$BG$9,$D$7:$BG$7,"1",$D113:$BG113,"&gt;"&amp;-1)</f>
        <v>10</v>
      </c>
      <c r="BK113" s="141">
        <f t="shared" si="0"/>
        <v>80</v>
      </c>
      <c r="BL113" s="142">
        <f>SUMIF($D$7:$BG$7,"2",$D113:$BG113)</f>
        <v>11</v>
      </c>
      <c r="BM113" s="140">
        <f>SUMIFS($D$9:$BG$9,$D$7:$BG$7,"2",$D113:$BG113,"&gt;"&amp;-1)</f>
        <v>15</v>
      </c>
      <c r="BN113" s="141">
        <f t="shared" si="1"/>
        <v>73.34</v>
      </c>
      <c r="BO113" s="142">
        <f>SUMIF($D$7:$BG$7,"3",$D113:$BG113)</f>
        <v>10</v>
      </c>
      <c r="BP113" s="140">
        <f>SUMIFS($D$9:$BG$9,$D$7:$BG$7,"3",$D113:$BG113,"&gt;"&amp;-1)</f>
        <v>15</v>
      </c>
      <c r="BQ113" s="141">
        <f t="shared" si="2"/>
        <v>66.67</v>
      </c>
      <c r="BR113" s="142">
        <f>SUMIF($D$7:$BG$7,"4",$D113:$BG113)</f>
        <v>8</v>
      </c>
      <c r="BS113" s="140">
        <f>SUMIFS($D$9:$BG$9,$D$7:$BG$7,"4",$D113:$BG113,"&gt;"&amp;-1)</f>
        <v>10</v>
      </c>
      <c r="BT113" s="141">
        <f t="shared" si="3"/>
        <v>80</v>
      </c>
      <c r="BU113" s="142">
        <f>SUMIF($D$7:$BG$7,"5",$D113:$BG113)</f>
        <v>8</v>
      </c>
      <c r="BV113" s="140">
        <f>SUMIFS($D$9:$BG$9,$D$7:$BG$7,"5",$D113:$BG113,"&gt;"&amp;-1)</f>
        <v>10</v>
      </c>
      <c r="BW113" s="141">
        <f t="shared" si="4"/>
        <v>80</v>
      </c>
      <c r="BX113" s="142">
        <f>SUMIF($D$7:$BG$7,"6",$D113:$BG113)</f>
        <v>0</v>
      </c>
      <c r="BY113" s="140">
        <f>SUMIFS($D$9:$BG$9,$D$7:$BG$7,"6",$D113:$BG113,"&gt;"&amp;-1)</f>
        <v>0</v>
      </c>
      <c r="BZ113" s="141">
        <f t="shared" si="5"/>
        <v>0</v>
      </c>
    </row>
    <row r="114" ht="15.75" customHeight="1" spans="1:78" x14ac:dyDescent="0.25">
      <c r="A114" s="150" t="s">
        <v>172</v>
      </c>
      <c r="B114" s="150"/>
      <c r="C114" s="117"/>
      <c r="D114" s="132">
        <v>5</v>
      </c>
      <c r="E114" s="133"/>
      <c r="F114" s="134"/>
      <c r="G114" s="134"/>
      <c r="H114" s="135">
        <v>5</v>
      </c>
      <c r="I114" s="135"/>
      <c r="J114" s="136">
        <v>1.5</v>
      </c>
      <c r="K114" s="137">
        <v>1.5</v>
      </c>
      <c r="L114" s="134"/>
      <c r="M114" s="134"/>
      <c r="N114" s="135"/>
      <c r="O114" s="135"/>
      <c r="P114" s="136"/>
      <c r="Q114" s="136"/>
      <c r="R114" s="135"/>
      <c r="S114" s="135"/>
      <c r="T114" s="138"/>
      <c r="U114" s="132">
        <v>3</v>
      </c>
      <c r="V114" s="133"/>
      <c r="W114" s="134">
        <v>3</v>
      </c>
      <c r="X114" s="134">
        <v>2</v>
      </c>
      <c r="Y114" s="135">
        <v>1</v>
      </c>
      <c r="Z114" s="135"/>
      <c r="AA114" s="136"/>
      <c r="AB114" s="137"/>
      <c r="AC114" s="134"/>
      <c r="AD114" s="134"/>
      <c r="AE114" s="135"/>
      <c r="AF114" s="135"/>
      <c r="AG114" s="136"/>
      <c r="AH114" s="136"/>
      <c r="AI114" s="135"/>
      <c r="AJ114" s="135"/>
      <c r="BA114" s="125">
        <v>5</v>
      </c>
      <c r="BB114" s="125">
        <v>5</v>
      </c>
      <c r="BC114" s="125">
        <v>5</v>
      </c>
      <c r="BD114" s="125">
        <v>5</v>
      </c>
      <c r="BE114" s="125">
        <v>5</v>
      </c>
      <c r="BF114" s="126"/>
      <c r="BG114" s="127"/>
      <c r="BH114" s="46"/>
      <c r="BI114" s="139">
        <f>SUMIF($D$7:$BG$7,"1",$D114:$BG114)</f>
        <v>8</v>
      </c>
      <c r="BJ114" s="140">
        <f>SUMIFS($D$9:$BG$9,$D$7:$BG$7,"1",$D114:$BG114,"&gt;"&amp;-1)</f>
        <v>15</v>
      </c>
      <c r="BK114" s="141">
        <f t="shared" si="0"/>
        <v>53.339999999999996</v>
      </c>
      <c r="BL114" s="142">
        <f>SUMIF($D$7:$BG$7,"2",$D114:$BG114)</f>
        <v>20</v>
      </c>
      <c r="BM114" s="140">
        <f>SUMIFS($D$9:$BG$9,$D$7:$BG$7,"2",$D114:$BG114,"&gt;"&amp;-1)</f>
        <v>25</v>
      </c>
      <c r="BN114" s="141">
        <f t="shared" si="1"/>
        <v>80</v>
      </c>
      <c r="BO114" s="142">
        <f>SUMIF($D$7:$BG$7,"3",$D114:$BG114)</f>
        <v>9</v>
      </c>
      <c r="BP114" s="140">
        <f>SUMIFS($D$9:$BG$9,$D$7:$BG$7,"3",$D114:$BG114,"&gt;"&amp;-1)</f>
        <v>20</v>
      </c>
      <c r="BQ114" s="141">
        <f t="shared" si="2"/>
        <v>45</v>
      </c>
      <c r="BR114" s="142">
        <f>SUMIF($D$7:$BG$7,"4",$D114:$BG114)</f>
        <v>5</v>
      </c>
      <c r="BS114" s="140">
        <f>SUMIFS($D$9:$BG$9,$D$7:$BG$7,"4",$D114:$BG114,"&gt;"&amp;-1)</f>
        <v>10</v>
      </c>
      <c r="BT114" s="141">
        <f t="shared" si="3"/>
        <v>50</v>
      </c>
      <c r="BU114" s="142">
        <f>SUMIF($D$7:$BG$7,"5",$D114:$BG114)</f>
        <v>5</v>
      </c>
      <c r="BV114" s="140">
        <f>SUMIFS($D$9:$BG$9,$D$7:$BG$7,"5",$D114:$BG114,"&gt;"&amp;-1)</f>
        <v>10</v>
      </c>
      <c r="BW114" s="141">
        <f t="shared" si="4"/>
        <v>50</v>
      </c>
      <c r="BX114" s="142">
        <f>SUMIF($D$7:$BG$7,"6",$D114:$BG114)</f>
        <v>0</v>
      </c>
      <c r="BY114" s="140">
        <f>SUMIFS($D$9:$BG$9,$D$7:$BG$7,"6",$D114:$BG114,"&gt;"&amp;-1)</f>
        <v>0</v>
      </c>
      <c r="BZ114" s="141">
        <f t="shared" si="5"/>
        <v>0</v>
      </c>
    </row>
    <row r="115" ht="15.75" customHeight="1" spans="1:78" x14ac:dyDescent="0.25">
      <c r="A115" s="150" t="s">
        <v>173</v>
      </c>
      <c r="B115" s="150"/>
      <c r="C115" s="117"/>
      <c r="D115" s="132">
        <v>5</v>
      </c>
      <c r="E115" s="133"/>
      <c r="F115" s="134"/>
      <c r="G115" s="134"/>
      <c r="H115" s="135">
        <v>3</v>
      </c>
      <c r="I115" s="135"/>
      <c r="J115" s="136">
        <v>2</v>
      </c>
      <c r="K115" s="137">
        <v>2</v>
      </c>
      <c r="L115" s="134">
        <v>2</v>
      </c>
      <c r="M115" s="134">
        <v>2</v>
      </c>
      <c r="N115" s="135"/>
      <c r="O115" s="135"/>
      <c r="P115" s="136">
        <v>2</v>
      </c>
      <c r="Q115" s="136">
        <v>2</v>
      </c>
      <c r="R115" s="135"/>
      <c r="S115" s="135"/>
      <c r="T115" s="138"/>
      <c r="U115" s="132">
        <v>5</v>
      </c>
      <c r="V115" s="133"/>
      <c r="W115" s="134">
        <v>3</v>
      </c>
      <c r="X115" s="134">
        <v>2</v>
      </c>
      <c r="Y115" s="135">
        <v>5</v>
      </c>
      <c r="Z115" s="135"/>
      <c r="AA115" s="136">
        <v>4</v>
      </c>
      <c r="AB115" s="137"/>
      <c r="AC115" s="134"/>
      <c r="AD115" s="134"/>
      <c r="AE115" s="135"/>
      <c r="AF115" s="135"/>
      <c r="AG115" s="136"/>
      <c r="AH115" s="136"/>
      <c r="AI115" s="135"/>
      <c r="AJ115" s="135"/>
      <c r="BA115" s="125">
        <v>10</v>
      </c>
      <c r="BB115" s="125">
        <v>10</v>
      </c>
      <c r="BC115" s="125">
        <v>10</v>
      </c>
      <c r="BD115" s="125">
        <v>10</v>
      </c>
      <c r="BE115" s="125">
        <v>10</v>
      </c>
      <c r="BF115" s="126"/>
      <c r="BG115" s="127"/>
      <c r="BH115" s="46"/>
      <c r="BI115" s="139">
        <f>SUMIF($D$7:$BG$7,"1",$D115:$BG115)</f>
        <v>14</v>
      </c>
      <c r="BJ115" s="140">
        <f>SUMIFS($D$9:$BG$9,$D$7:$BG$7,"1",$D115:$BG115,"&gt;"&amp;-1)</f>
        <v>15</v>
      </c>
      <c r="BK115" s="141">
        <f t="shared" si="0"/>
        <v>93.34</v>
      </c>
      <c r="BL115" s="142">
        <f>SUMIF($D$7:$BG$7,"2",$D115:$BG115)</f>
        <v>27</v>
      </c>
      <c r="BM115" s="140">
        <f>SUMIFS($D$9:$BG$9,$D$7:$BG$7,"2",$D115:$BG115,"&gt;"&amp;-1)</f>
        <v>30</v>
      </c>
      <c r="BN115" s="141">
        <f t="shared" si="1"/>
        <v>90</v>
      </c>
      <c r="BO115" s="142">
        <f>SUMIF($D$7:$BG$7,"3",$D115:$BG115)</f>
        <v>20</v>
      </c>
      <c r="BP115" s="140">
        <f>SUMIFS($D$9:$BG$9,$D$7:$BG$7,"3",$D115:$BG115,"&gt;"&amp;-1)</f>
        <v>20</v>
      </c>
      <c r="BQ115" s="141">
        <f t="shared" si="2"/>
        <v>100</v>
      </c>
      <c r="BR115" s="142">
        <f>SUMIF($D$7:$BG$7,"4",$D115:$BG115)</f>
        <v>14</v>
      </c>
      <c r="BS115" s="140">
        <f>SUMIFS($D$9:$BG$9,$D$7:$BG$7,"4",$D115:$BG115,"&gt;"&amp;-1)</f>
        <v>15</v>
      </c>
      <c r="BT115" s="141">
        <f t="shared" si="3"/>
        <v>93.34</v>
      </c>
      <c r="BU115" s="142">
        <f>SUMIF($D$7:$BG$7,"5",$D115:$BG115)</f>
        <v>14</v>
      </c>
      <c r="BV115" s="140">
        <f>SUMIFS($D$9:$BG$9,$D$7:$BG$7,"5",$D115:$BG115,"&gt;"&amp;-1)</f>
        <v>20</v>
      </c>
      <c r="BW115" s="141">
        <f t="shared" si="4"/>
        <v>70</v>
      </c>
      <c r="BX115" s="142">
        <f>SUMIF($D$7:$BG$7,"6",$D115:$BG115)</f>
        <v>0</v>
      </c>
      <c r="BY115" s="140">
        <f>SUMIFS($D$9:$BG$9,$D$7:$BG$7,"6",$D115:$BG115,"&gt;"&amp;-1)</f>
        <v>0</v>
      </c>
      <c r="BZ115" s="141">
        <f t="shared" si="5"/>
        <v>0</v>
      </c>
    </row>
    <row r="116" ht="15.75" customHeight="1" spans="1:78" x14ac:dyDescent="0.25">
      <c r="A116" s="150" t="s">
        <v>174</v>
      </c>
      <c r="B116" s="150"/>
      <c r="C116" s="117"/>
      <c r="D116" s="132">
        <v>5</v>
      </c>
      <c r="E116" s="133"/>
      <c r="F116" s="134"/>
      <c r="G116" s="134"/>
      <c r="H116" s="135">
        <v>5</v>
      </c>
      <c r="I116" s="135"/>
      <c r="J116" s="136">
        <v>2</v>
      </c>
      <c r="K116" s="137">
        <v>2</v>
      </c>
      <c r="L116" s="134"/>
      <c r="M116" s="134">
        <v>2</v>
      </c>
      <c r="N116" s="135"/>
      <c r="O116" s="135"/>
      <c r="P116" s="136"/>
      <c r="Q116" s="136">
        <v>2</v>
      </c>
      <c r="R116" s="135"/>
      <c r="S116" s="135"/>
      <c r="T116" s="138"/>
      <c r="U116" s="132">
        <v>5</v>
      </c>
      <c r="V116" s="133"/>
      <c r="W116" s="134">
        <v>3</v>
      </c>
      <c r="X116" s="134">
        <v>2</v>
      </c>
      <c r="Y116" s="135">
        <v>2</v>
      </c>
      <c r="Z116" s="135"/>
      <c r="AA116" s="136">
        <v>3</v>
      </c>
      <c r="AB116" s="137"/>
      <c r="AC116" s="134">
        <v>2</v>
      </c>
      <c r="AD116" s="134"/>
      <c r="AE116" s="135"/>
      <c r="AF116" s="135"/>
      <c r="AG116" s="136"/>
      <c r="AH116" s="136"/>
      <c r="AI116" s="135"/>
      <c r="AJ116" s="135"/>
      <c r="BA116" s="125">
        <v>10</v>
      </c>
      <c r="BB116" s="125">
        <v>10</v>
      </c>
      <c r="BC116" s="125">
        <v>10</v>
      </c>
      <c r="BD116" s="125">
        <v>10</v>
      </c>
      <c r="BE116" s="125">
        <v>10</v>
      </c>
      <c r="BF116" s="126"/>
      <c r="BG116" s="127"/>
      <c r="BH116" s="46"/>
      <c r="BI116" s="139">
        <f>SUMIF($D$7:$BG$7,"1",$D116:$BG116)</f>
        <v>14</v>
      </c>
      <c r="BJ116" s="140">
        <f>SUMIFS($D$9:$BG$9,$D$7:$BG$7,"1",$D116:$BG116,"&gt;"&amp;-1)</f>
        <v>15</v>
      </c>
      <c r="BK116" s="141">
        <f t="shared" si="0"/>
        <v>93.34</v>
      </c>
      <c r="BL116" s="142">
        <f>SUMIF($D$7:$BG$7,"2",$D116:$BG116)</f>
        <v>27</v>
      </c>
      <c r="BM116" s="140">
        <f>SUMIFS($D$9:$BG$9,$D$7:$BG$7,"2",$D116:$BG116,"&gt;"&amp;-1)</f>
        <v>27</v>
      </c>
      <c r="BN116" s="141">
        <f t="shared" si="1"/>
        <v>100</v>
      </c>
      <c r="BO116" s="142">
        <f>SUMIF($D$7:$BG$7,"3",$D116:$BG116)</f>
        <v>19</v>
      </c>
      <c r="BP116" s="140">
        <f>SUMIFS($D$9:$BG$9,$D$7:$BG$7,"3",$D116:$BG116,"&gt;"&amp;-1)</f>
        <v>25</v>
      </c>
      <c r="BQ116" s="141">
        <f t="shared" si="2"/>
        <v>76</v>
      </c>
      <c r="BR116" s="142">
        <f>SUMIF($D$7:$BG$7,"4",$D116:$BG116)</f>
        <v>13</v>
      </c>
      <c r="BS116" s="140">
        <f>SUMIFS($D$9:$BG$9,$D$7:$BG$7,"4",$D116:$BG116,"&gt;"&amp;-1)</f>
        <v>15</v>
      </c>
      <c r="BT116" s="141">
        <f t="shared" si="3"/>
        <v>86.67</v>
      </c>
      <c r="BU116" s="142">
        <f>SUMIF($D$7:$BG$7,"5",$D116:$BG116)</f>
        <v>12</v>
      </c>
      <c r="BV116" s="140">
        <f>SUMIFS($D$9:$BG$9,$D$7:$BG$7,"5",$D116:$BG116,"&gt;"&amp;-1)</f>
        <v>15</v>
      </c>
      <c r="BW116" s="141">
        <f t="shared" si="4"/>
        <v>80</v>
      </c>
      <c r="BX116" s="142">
        <f>SUMIF($D$7:$BG$7,"6",$D116:$BG116)</f>
        <v>0</v>
      </c>
      <c r="BY116" s="140">
        <f>SUMIFS($D$9:$BG$9,$D$7:$BG$7,"6",$D116:$BG116,"&gt;"&amp;-1)</f>
        <v>0</v>
      </c>
      <c r="BZ116" s="141">
        <f t="shared" si="5"/>
        <v>0</v>
      </c>
    </row>
    <row r="117" ht="15.75" customHeight="1" spans="1:78" x14ac:dyDescent="0.25">
      <c r="A117" s="150" t="s">
        <v>175</v>
      </c>
      <c r="B117" s="150"/>
      <c r="C117" s="117"/>
      <c r="D117" s="132">
        <v>5</v>
      </c>
      <c r="E117" s="133"/>
      <c r="F117" s="134"/>
      <c r="G117" s="134"/>
      <c r="H117" s="135">
        <v>5</v>
      </c>
      <c r="I117" s="135"/>
      <c r="J117" s="136">
        <v>2</v>
      </c>
      <c r="K117" s="137">
        <v>2</v>
      </c>
      <c r="L117" s="134"/>
      <c r="M117" s="134">
        <v>3</v>
      </c>
      <c r="N117" s="135"/>
      <c r="O117" s="135"/>
      <c r="P117" s="136"/>
      <c r="Q117" s="136">
        <v>3</v>
      </c>
      <c r="R117" s="135"/>
      <c r="S117" s="135"/>
      <c r="T117" s="138"/>
      <c r="U117" s="132"/>
      <c r="V117" s="133"/>
      <c r="W117" s="134">
        <v>2</v>
      </c>
      <c r="X117" s="134">
        <v>1</v>
      </c>
      <c r="Y117" s="135">
        <v>2</v>
      </c>
      <c r="Z117" s="135"/>
      <c r="AA117" s="136"/>
      <c r="AB117" s="137"/>
      <c r="AC117" s="134">
        <v>1</v>
      </c>
      <c r="AD117" s="134"/>
      <c r="AE117" s="135"/>
      <c r="AF117" s="135"/>
      <c r="AG117" s="136"/>
      <c r="AH117" s="136"/>
      <c r="AI117" s="135"/>
      <c r="AJ117" s="135"/>
      <c r="BA117" s="125">
        <v>10</v>
      </c>
      <c r="BB117" s="125">
        <v>10</v>
      </c>
      <c r="BC117" s="125">
        <v>10</v>
      </c>
      <c r="BD117" s="125">
        <v>10</v>
      </c>
      <c r="BE117" s="125">
        <v>10</v>
      </c>
      <c r="BF117" s="126"/>
      <c r="BG117" s="127"/>
      <c r="BH117" s="46"/>
      <c r="BI117" s="139">
        <f>SUMIF($D$7:$BG$7,"1",$D117:$BG117)</f>
        <v>14</v>
      </c>
      <c r="BJ117" s="140">
        <f>SUMIFS($D$9:$BG$9,$D$7:$BG$7,"1",$D117:$BG117,"&gt;"&amp;-1)</f>
        <v>15</v>
      </c>
      <c r="BK117" s="141">
        <f t="shared" si="0"/>
        <v>93.34</v>
      </c>
      <c r="BL117" s="142">
        <f>SUMIF($D$7:$BG$7,"2",$D117:$BG117)</f>
        <v>26</v>
      </c>
      <c r="BM117" s="140">
        <f>SUMIFS($D$9:$BG$9,$D$7:$BG$7,"2",$D117:$BG117,"&gt;"&amp;-1)</f>
        <v>27</v>
      </c>
      <c r="BN117" s="141">
        <f t="shared" si="1"/>
        <v>96.30000000000001</v>
      </c>
      <c r="BO117" s="142">
        <f>SUMIF($D$7:$BG$7,"3",$D117:$BG117)</f>
        <v>13</v>
      </c>
      <c r="BP117" s="140">
        <f>SUMIFS($D$9:$BG$9,$D$7:$BG$7,"3",$D117:$BG117,"&gt;"&amp;-1)</f>
        <v>20</v>
      </c>
      <c r="BQ117" s="141">
        <f t="shared" si="2"/>
        <v>65</v>
      </c>
      <c r="BR117" s="142">
        <f>SUMIF($D$7:$BG$7,"4",$D117:$BG117)</f>
        <v>10</v>
      </c>
      <c r="BS117" s="140">
        <f>SUMIFS($D$9:$BG$9,$D$7:$BG$7,"4",$D117:$BG117,"&gt;"&amp;-1)</f>
        <v>10</v>
      </c>
      <c r="BT117" s="141">
        <f t="shared" si="3"/>
        <v>100</v>
      </c>
      <c r="BU117" s="142">
        <f>SUMIF($D$7:$BG$7,"5",$D117:$BG117)</f>
        <v>13</v>
      </c>
      <c r="BV117" s="140">
        <f>SUMIFS($D$9:$BG$9,$D$7:$BG$7,"5",$D117:$BG117,"&gt;"&amp;-1)</f>
        <v>15</v>
      </c>
      <c r="BW117" s="141">
        <f t="shared" si="4"/>
        <v>86.67</v>
      </c>
      <c r="BX117" s="142">
        <f>SUMIF($D$7:$BG$7,"6",$D117:$BG117)</f>
        <v>0</v>
      </c>
      <c r="BY117" s="140">
        <f>SUMIFS($D$9:$BG$9,$D$7:$BG$7,"6",$D117:$BG117,"&gt;"&amp;-1)</f>
        <v>0</v>
      </c>
      <c r="BZ117" s="141">
        <f t="shared" si="5"/>
        <v>0</v>
      </c>
    </row>
    <row r="118" ht="15.75" customHeight="1" spans="1:78" x14ac:dyDescent="0.25">
      <c r="A118" s="150" t="s">
        <v>176</v>
      </c>
      <c r="B118" s="150"/>
      <c r="C118" s="117"/>
      <c r="D118" s="132">
        <v>5</v>
      </c>
      <c r="E118" s="133"/>
      <c r="F118" s="134"/>
      <c r="G118" s="134"/>
      <c r="H118" s="135"/>
      <c r="I118" s="135"/>
      <c r="J118" s="136"/>
      <c r="K118" s="137"/>
      <c r="L118" s="134"/>
      <c r="M118" s="134">
        <v>3</v>
      </c>
      <c r="N118" s="135"/>
      <c r="O118" s="135"/>
      <c r="P118" s="136"/>
      <c r="Q118" s="136">
        <v>3</v>
      </c>
      <c r="R118" s="135"/>
      <c r="S118" s="135"/>
      <c r="T118" s="138"/>
      <c r="U118" s="132">
        <v>3</v>
      </c>
      <c r="V118" s="133"/>
      <c r="W118" s="134">
        <v>3</v>
      </c>
      <c r="X118" s="134">
        <v>2</v>
      </c>
      <c r="Y118" s="135"/>
      <c r="Z118" s="135"/>
      <c r="AA118" s="136">
        <v>0</v>
      </c>
      <c r="AB118" s="137"/>
      <c r="AC118" s="134"/>
      <c r="AD118" s="134"/>
      <c r="AE118" s="135"/>
      <c r="AF118" s="135"/>
      <c r="AG118" s="136"/>
      <c r="AH118" s="136"/>
      <c r="AI118" s="135"/>
      <c r="AJ118" s="135"/>
      <c r="BA118" s="125">
        <v>9.5</v>
      </c>
      <c r="BB118" s="125">
        <v>9.5</v>
      </c>
      <c r="BC118" s="125">
        <v>9.5</v>
      </c>
      <c r="BD118" s="125">
        <v>9.5</v>
      </c>
      <c r="BE118" s="125">
        <v>9.5</v>
      </c>
      <c r="BF118" s="126"/>
      <c r="BG118" s="127"/>
      <c r="BH118" s="46"/>
      <c r="BI118" s="139">
        <f>SUMIF($D$7:$BG$7,"1",$D118:$BG118)</f>
        <v>9.5</v>
      </c>
      <c r="BJ118" s="140">
        <f>SUMIFS($D$9:$BG$9,$D$7:$BG$7,"1",$D118:$BG118,"&gt;"&amp;-1)</f>
        <v>10</v>
      </c>
      <c r="BK118" s="141">
        <f t="shared" si="0"/>
        <v>95</v>
      </c>
      <c r="BL118" s="142">
        <f>SUMIF($D$7:$BG$7,"2",$D118:$BG118)</f>
        <v>22.5</v>
      </c>
      <c r="BM118" s="140">
        <f>SUMIFS($D$9:$BG$9,$D$7:$BG$7,"2",$D118:$BG118,"&gt;"&amp;-1)</f>
        <v>22</v>
      </c>
      <c r="BN118" s="141">
        <f t="shared" si="1"/>
        <v>102.28</v>
      </c>
      <c r="BO118" s="142">
        <f>SUMIF($D$7:$BG$7,"3",$D118:$BG118)</f>
        <v>12.5</v>
      </c>
      <c r="BP118" s="140">
        <f>SUMIFS($D$9:$BG$9,$D$7:$BG$7,"3",$D118:$BG118,"&gt;"&amp;-1)</f>
        <v>15</v>
      </c>
      <c r="BQ118" s="141">
        <f t="shared" si="2"/>
        <v>83.34</v>
      </c>
      <c r="BR118" s="142">
        <f>SUMIF($D$7:$BG$7,"4",$D118:$BG118)</f>
        <v>9.5</v>
      </c>
      <c r="BS118" s="140">
        <f>SUMIFS($D$9:$BG$9,$D$7:$BG$7,"4",$D118:$BG118,"&gt;"&amp;-1)</f>
        <v>15</v>
      </c>
      <c r="BT118" s="141">
        <f t="shared" si="3"/>
        <v>63.339999999999996</v>
      </c>
      <c r="BU118" s="142">
        <f>SUMIF($D$7:$BG$7,"5",$D118:$BG118)</f>
        <v>12.5</v>
      </c>
      <c r="BV118" s="140">
        <f>SUMIFS($D$9:$BG$9,$D$7:$BG$7,"5",$D118:$BG118,"&gt;"&amp;-1)</f>
        <v>15</v>
      </c>
      <c r="BW118" s="141">
        <f t="shared" si="4"/>
        <v>83.34</v>
      </c>
      <c r="BX118" s="142">
        <f>SUMIF($D$7:$BG$7,"6",$D118:$BG118)</f>
        <v>0</v>
      </c>
      <c r="BY118" s="140">
        <f>SUMIFS($D$9:$BG$9,$D$7:$BG$7,"6",$D118:$BG118,"&gt;"&amp;-1)</f>
        <v>0</v>
      </c>
      <c r="BZ118" s="141">
        <f t="shared" si="5"/>
        <v>0</v>
      </c>
    </row>
    <row r="119" ht="15.75" customHeight="1" spans="1:78" x14ac:dyDescent="0.25">
      <c r="A119" s="150" t="s">
        <v>177</v>
      </c>
      <c r="B119" s="150"/>
      <c r="C119" s="117"/>
      <c r="D119" s="132">
        <v>5</v>
      </c>
      <c r="E119" s="133"/>
      <c r="F119" s="134">
        <v>5</v>
      </c>
      <c r="G119" s="134"/>
      <c r="H119" s="135"/>
      <c r="I119" s="135"/>
      <c r="J119" s="136"/>
      <c r="K119" s="137"/>
      <c r="L119" s="134">
        <v>2</v>
      </c>
      <c r="M119" s="134">
        <v>3</v>
      </c>
      <c r="N119" s="135"/>
      <c r="O119" s="135"/>
      <c r="P119" s="136">
        <v>2</v>
      </c>
      <c r="Q119" s="136">
        <v>3</v>
      </c>
      <c r="R119" s="135"/>
      <c r="S119" s="135"/>
      <c r="T119" s="138"/>
      <c r="U119" s="132">
        <v>4</v>
      </c>
      <c r="V119" s="133"/>
      <c r="W119" s="134">
        <v>3</v>
      </c>
      <c r="X119" s="134">
        <v>2</v>
      </c>
      <c r="Y119" s="135"/>
      <c r="Z119" s="135"/>
      <c r="AA119" s="136">
        <v>5</v>
      </c>
      <c r="AB119" s="137"/>
      <c r="AC119" s="134">
        <v>5</v>
      </c>
      <c r="AD119" s="134"/>
      <c r="AE119" s="135">
        <v>3</v>
      </c>
      <c r="AF119" s="135"/>
      <c r="AG119" s="136"/>
      <c r="AH119" s="136"/>
      <c r="AI119" s="135"/>
      <c r="AJ119" s="135"/>
      <c r="BA119" s="125">
        <v>10</v>
      </c>
      <c r="BB119" s="125">
        <v>10</v>
      </c>
      <c r="BC119" s="125">
        <v>10</v>
      </c>
      <c r="BD119" s="125">
        <v>10</v>
      </c>
      <c r="BE119" s="125">
        <v>10</v>
      </c>
      <c r="BF119" s="126"/>
      <c r="BG119" s="127"/>
      <c r="BH119" s="46"/>
      <c r="BI119" s="139">
        <f>SUMIF($D$7:$BG$7,"1",$D119:$BG119)</f>
        <v>10</v>
      </c>
      <c r="BJ119" s="140">
        <f>SUMIFS($D$9:$BG$9,$D$7:$BG$7,"1",$D119:$BG119,"&gt;"&amp;-1)</f>
        <v>10</v>
      </c>
      <c r="BK119" s="141">
        <f t="shared" si="0"/>
        <v>100</v>
      </c>
      <c r="BL119" s="142">
        <f>SUMIF($D$7:$BG$7,"2",$D119:$BG119)</f>
        <v>25</v>
      </c>
      <c r="BM119" s="140">
        <f>SUMIFS($D$9:$BG$9,$D$7:$BG$7,"2",$D119:$BG119,"&gt;"&amp;-1)</f>
        <v>25</v>
      </c>
      <c r="BN119" s="141">
        <f t="shared" si="1"/>
        <v>100</v>
      </c>
      <c r="BO119" s="142">
        <f>SUMIF($D$7:$BG$7,"3",$D119:$BG119)</f>
        <v>27</v>
      </c>
      <c r="BP119" s="140">
        <f>SUMIFS($D$9:$BG$9,$D$7:$BG$7,"3",$D119:$BG119,"&gt;"&amp;-1)</f>
        <v>30</v>
      </c>
      <c r="BQ119" s="141">
        <f t="shared" si="2"/>
        <v>90</v>
      </c>
      <c r="BR119" s="142">
        <f>SUMIF($D$7:$BG$7,"4",$D119:$BG119)</f>
        <v>15</v>
      </c>
      <c r="BS119" s="140">
        <f>SUMIFS($D$9:$BG$9,$D$7:$BG$7,"4",$D119:$BG119,"&gt;"&amp;-1)</f>
        <v>15</v>
      </c>
      <c r="BT119" s="141">
        <f t="shared" si="3"/>
        <v>100</v>
      </c>
      <c r="BU119" s="142">
        <f>SUMIF($D$7:$BG$7,"5",$D119:$BG119)</f>
        <v>15</v>
      </c>
      <c r="BV119" s="140">
        <f>SUMIFS($D$9:$BG$9,$D$7:$BG$7,"5",$D119:$BG119,"&gt;"&amp;-1)</f>
        <v>20</v>
      </c>
      <c r="BW119" s="141">
        <f t="shared" si="4"/>
        <v>75</v>
      </c>
      <c r="BX119" s="142">
        <f>SUMIF($D$7:$BG$7,"6",$D119:$BG119)</f>
        <v>0</v>
      </c>
      <c r="BY119" s="140">
        <f>SUMIFS($D$9:$BG$9,$D$7:$BG$7,"6",$D119:$BG119,"&gt;"&amp;-1)</f>
        <v>0</v>
      </c>
      <c r="BZ119" s="141">
        <f t="shared" si="5"/>
        <v>0</v>
      </c>
    </row>
    <row r="120" ht="15.75" customHeight="1" spans="1:78" x14ac:dyDescent="0.25">
      <c r="A120" s="150" t="s">
        <v>178</v>
      </c>
      <c r="B120" s="150"/>
      <c r="C120" s="117"/>
      <c r="D120" s="132">
        <v>5</v>
      </c>
      <c r="E120" s="133"/>
      <c r="F120" s="134"/>
      <c r="G120" s="134"/>
      <c r="H120" s="135">
        <v>5</v>
      </c>
      <c r="I120" s="135"/>
      <c r="J120" s="136">
        <v>1</v>
      </c>
      <c r="K120" s="137"/>
      <c r="L120" s="134">
        <v>2</v>
      </c>
      <c r="M120" s="134">
        <v>2</v>
      </c>
      <c r="N120" s="135"/>
      <c r="O120" s="135"/>
      <c r="P120" s="136">
        <v>2</v>
      </c>
      <c r="Q120" s="136">
        <v>2</v>
      </c>
      <c r="R120" s="135"/>
      <c r="S120" s="135"/>
      <c r="T120" s="138"/>
      <c r="U120" s="132">
        <v>3</v>
      </c>
      <c r="V120" s="133"/>
      <c r="W120" s="134">
        <v>3</v>
      </c>
      <c r="X120" s="134">
        <v>2</v>
      </c>
      <c r="Y120" s="135">
        <v>2</v>
      </c>
      <c r="Z120" s="135"/>
      <c r="AA120" s="136">
        <v>4</v>
      </c>
      <c r="AB120" s="137"/>
      <c r="AC120" s="134">
        <v>4</v>
      </c>
      <c r="AD120" s="134"/>
      <c r="AE120" s="135">
        <v>1</v>
      </c>
      <c r="AF120" s="135"/>
      <c r="AG120" s="136"/>
      <c r="AH120" s="136"/>
      <c r="AI120" s="135"/>
      <c r="AJ120" s="135"/>
      <c r="BA120" s="125">
        <v>10</v>
      </c>
      <c r="BB120" s="125">
        <v>10</v>
      </c>
      <c r="BC120" s="125">
        <v>10</v>
      </c>
      <c r="BD120" s="125">
        <v>10</v>
      </c>
      <c r="BE120" s="125">
        <v>10</v>
      </c>
      <c r="BF120" s="126"/>
      <c r="BG120" s="127"/>
      <c r="BH120" s="46"/>
      <c r="BI120" s="139">
        <f>SUMIF($D$7:$BG$7,"1",$D120:$BG120)</f>
        <v>11</v>
      </c>
      <c r="BJ120" s="140">
        <f>SUMIFS($D$9:$BG$9,$D$7:$BG$7,"1",$D120:$BG120,"&gt;"&amp;-1)</f>
        <v>12.5</v>
      </c>
      <c r="BK120" s="141">
        <f t="shared" si="0"/>
        <v>88</v>
      </c>
      <c r="BL120" s="142">
        <f>SUMIF($D$7:$BG$7,"2",$D120:$BG120)</f>
        <v>29</v>
      </c>
      <c r="BM120" s="140">
        <f>SUMIFS($D$9:$BG$9,$D$7:$BG$7,"2",$D120:$BG120,"&gt;"&amp;-1)</f>
        <v>30</v>
      </c>
      <c r="BN120" s="141">
        <f t="shared" si="1"/>
        <v>96.67</v>
      </c>
      <c r="BO120" s="142">
        <f>SUMIF($D$7:$BG$7,"3",$D120:$BG120)</f>
        <v>20</v>
      </c>
      <c r="BP120" s="140">
        <f>SUMIFS($D$9:$BG$9,$D$7:$BG$7,"3",$D120:$BG120,"&gt;"&amp;-1)</f>
        <v>30</v>
      </c>
      <c r="BQ120" s="141">
        <f t="shared" si="2"/>
        <v>66.67</v>
      </c>
      <c r="BR120" s="142">
        <f>SUMIF($D$7:$BG$7,"4",$D120:$BG120)</f>
        <v>14</v>
      </c>
      <c r="BS120" s="140">
        <f>SUMIFS($D$9:$BG$9,$D$7:$BG$7,"4",$D120:$BG120,"&gt;"&amp;-1)</f>
        <v>15</v>
      </c>
      <c r="BT120" s="141">
        <f t="shared" si="3"/>
        <v>93.34</v>
      </c>
      <c r="BU120" s="142">
        <f>SUMIF($D$7:$BG$7,"5",$D120:$BG120)</f>
        <v>14</v>
      </c>
      <c r="BV120" s="140">
        <f>SUMIFS($D$9:$BG$9,$D$7:$BG$7,"5",$D120:$BG120,"&gt;"&amp;-1)</f>
        <v>20</v>
      </c>
      <c r="BW120" s="141">
        <f t="shared" si="4"/>
        <v>70</v>
      </c>
      <c r="BX120" s="142">
        <f>SUMIF($D$7:$BG$7,"6",$D120:$BG120)</f>
        <v>0</v>
      </c>
      <c r="BY120" s="140">
        <f>SUMIFS($D$9:$BG$9,$D$7:$BG$7,"6",$D120:$BG120,"&gt;"&amp;-1)</f>
        <v>0</v>
      </c>
      <c r="BZ120" s="141">
        <f t="shared" si="5"/>
        <v>0</v>
      </c>
    </row>
    <row r="121" ht="15.75" customHeight="1" spans="1:78" x14ac:dyDescent="0.25">
      <c r="A121" s="149" t="s">
        <v>179</v>
      </c>
      <c r="B121" s="147"/>
      <c r="C121" s="117"/>
      <c r="D121" s="132">
        <v>5</v>
      </c>
      <c r="E121" s="133"/>
      <c r="F121" s="134">
        <v>2</v>
      </c>
      <c r="G121" s="134"/>
      <c r="H121" s="135"/>
      <c r="I121" s="135"/>
      <c r="J121" s="136"/>
      <c r="K121" s="137"/>
      <c r="L121" s="134"/>
      <c r="M121" s="134">
        <v>1</v>
      </c>
      <c r="N121" s="135">
        <v>1</v>
      </c>
      <c r="O121" s="135"/>
      <c r="P121" s="136"/>
      <c r="Q121" s="136">
        <v>1</v>
      </c>
      <c r="R121" s="135"/>
      <c r="S121" s="135"/>
      <c r="T121" s="138"/>
      <c r="U121" s="132">
        <v>5</v>
      </c>
      <c r="V121" s="133"/>
      <c r="W121" s="134">
        <v>3</v>
      </c>
      <c r="X121" s="134">
        <v>2</v>
      </c>
      <c r="Y121" s="135"/>
      <c r="Z121" s="135"/>
      <c r="AA121" s="136">
        <v>5</v>
      </c>
      <c r="AB121" s="137"/>
      <c r="AC121" s="134"/>
      <c r="AD121" s="134"/>
      <c r="AE121" s="135">
        <v>5</v>
      </c>
      <c r="AF121" s="135"/>
      <c r="AG121" s="136"/>
      <c r="AH121" s="136"/>
      <c r="AI121" s="135"/>
      <c r="AJ121" s="135"/>
      <c r="BA121" s="125">
        <v>10</v>
      </c>
      <c r="BB121" s="125">
        <v>10</v>
      </c>
      <c r="BC121" s="125">
        <v>10</v>
      </c>
      <c r="BD121" s="125">
        <v>10</v>
      </c>
      <c r="BE121" s="125">
        <v>10</v>
      </c>
      <c r="BF121" s="126"/>
      <c r="BG121" s="127"/>
      <c r="BH121" s="46"/>
      <c r="BI121" s="139">
        <f>SUMIF($D$7:$BG$7,"1",$D121:$BG121)</f>
        <v>10</v>
      </c>
      <c r="BJ121" s="140">
        <f>SUMIFS($D$9:$BG$9,$D$7:$BG$7,"1",$D121:$BG121,"&gt;"&amp;-1)</f>
        <v>10</v>
      </c>
      <c r="BK121" s="141">
        <f t="shared" si="0"/>
        <v>100</v>
      </c>
      <c r="BL121" s="142">
        <f>SUMIF($D$7:$BG$7,"2",$D121:$BG121)</f>
        <v>21</v>
      </c>
      <c r="BM121" s="140">
        <f>SUMIFS($D$9:$BG$9,$D$7:$BG$7,"2",$D121:$BG121,"&gt;"&amp;-1)</f>
        <v>22</v>
      </c>
      <c r="BN121" s="141">
        <f t="shared" si="1"/>
        <v>95.46000000000001</v>
      </c>
      <c r="BO121" s="142">
        <f>SUMIF($D$7:$BG$7,"3",$D121:$BG121)</f>
        <v>23</v>
      </c>
      <c r="BP121" s="140">
        <f>SUMIFS($D$9:$BG$9,$D$7:$BG$7,"3",$D121:$BG121,"&gt;"&amp;-1)</f>
        <v>30</v>
      </c>
      <c r="BQ121" s="141">
        <f t="shared" si="2"/>
        <v>76.67</v>
      </c>
      <c r="BR121" s="142">
        <f>SUMIF($D$7:$BG$7,"4",$D121:$BG121)</f>
        <v>15</v>
      </c>
      <c r="BS121" s="140">
        <f>SUMIFS($D$9:$BG$9,$D$7:$BG$7,"4",$D121:$BG121,"&gt;"&amp;-1)</f>
        <v>15</v>
      </c>
      <c r="BT121" s="141">
        <f t="shared" si="3"/>
        <v>100</v>
      </c>
      <c r="BU121" s="142">
        <f>SUMIF($D$7:$BG$7,"5",$D121:$BG121)</f>
        <v>11</v>
      </c>
      <c r="BV121" s="140">
        <f>SUMIFS($D$9:$BG$9,$D$7:$BG$7,"5",$D121:$BG121,"&gt;"&amp;-1)</f>
        <v>15</v>
      </c>
      <c r="BW121" s="141">
        <f t="shared" si="4"/>
        <v>73.34</v>
      </c>
      <c r="BX121" s="142">
        <f>SUMIF($D$7:$BG$7,"6",$D121:$BG121)</f>
        <v>0</v>
      </c>
      <c r="BY121" s="140">
        <f>SUMIFS($D$9:$BG$9,$D$7:$BG$7,"6",$D121:$BG121,"&gt;"&amp;-1)</f>
        <v>0</v>
      </c>
      <c r="BZ121" s="141">
        <f t="shared" si="5"/>
        <v>0</v>
      </c>
    </row>
    <row r="122" ht="15.75" customHeight="1" spans="1:78" x14ac:dyDescent="0.25">
      <c r="A122" s="149" t="s">
        <v>180</v>
      </c>
      <c r="B122" s="147"/>
      <c r="C122" s="117"/>
      <c r="D122" s="132">
        <v>5</v>
      </c>
      <c r="E122" s="133"/>
      <c r="F122" s="134">
        <v>3</v>
      </c>
      <c r="G122" s="134"/>
      <c r="H122" s="135"/>
      <c r="I122" s="135"/>
      <c r="J122" s="136"/>
      <c r="K122" s="137"/>
      <c r="L122" s="134">
        <v>2</v>
      </c>
      <c r="M122" s="134">
        <v>3</v>
      </c>
      <c r="N122" s="135"/>
      <c r="O122" s="135"/>
      <c r="P122" s="136">
        <v>2</v>
      </c>
      <c r="Q122" s="136">
        <v>3</v>
      </c>
      <c r="R122" s="135"/>
      <c r="S122" s="135"/>
      <c r="T122" s="138"/>
      <c r="U122" s="132">
        <v>5</v>
      </c>
      <c r="V122" s="133"/>
      <c r="W122" s="134"/>
      <c r="X122" s="134"/>
      <c r="Y122" s="135">
        <v>5</v>
      </c>
      <c r="Z122" s="135"/>
      <c r="AA122" s="136">
        <v>5</v>
      </c>
      <c r="AB122" s="137"/>
      <c r="AC122" s="134">
        <v>3</v>
      </c>
      <c r="AD122" s="134"/>
      <c r="AE122" s="135"/>
      <c r="AF122" s="135"/>
      <c r="AG122" s="136"/>
      <c r="AH122" s="136"/>
      <c r="AI122" s="135"/>
      <c r="AJ122" s="135"/>
      <c r="BA122" s="125">
        <v>10</v>
      </c>
      <c r="BB122" s="125">
        <v>10</v>
      </c>
      <c r="BC122" s="125">
        <v>10</v>
      </c>
      <c r="BD122" s="125">
        <v>10</v>
      </c>
      <c r="BE122" s="125">
        <v>10</v>
      </c>
      <c r="BF122" s="126"/>
      <c r="BG122" s="127"/>
      <c r="BH122" s="46"/>
      <c r="BI122" s="139">
        <f>SUMIF($D$7:$BG$7,"1",$D122:$BG122)</f>
        <v>10</v>
      </c>
      <c r="BJ122" s="140">
        <f>SUMIFS($D$9:$BG$9,$D$7:$BG$7,"1",$D122:$BG122,"&gt;"&amp;-1)</f>
        <v>10</v>
      </c>
      <c r="BK122" s="141">
        <f t="shared" si="0"/>
        <v>100</v>
      </c>
      <c r="BL122" s="142">
        <f>SUMIF($D$7:$BG$7,"2",$D122:$BG122)</f>
        <v>20</v>
      </c>
      <c r="BM122" s="140">
        <f>SUMIFS($D$9:$BG$9,$D$7:$BG$7,"2",$D122:$BG122,"&gt;"&amp;-1)</f>
        <v>20</v>
      </c>
      <c r="BN122" s="141">
        <f t="shared" si="1"/>
        <v>100</v>
      </c>
      <c r="BO122" s="142">
        <f>SUMIF($D$7:$BG$7,"3",$D122:$BG122)</f>
        <v>26</v>
      </c>
      <c r="BP122" s="140">
        <f>SUMIFS($D$9:$BG$9,$D$7:$BG$7,"3",$D122:$BG122,"&gt;"&amp;-1)</f>
        <v>30</v>
      </c>
      <c r="BQ122" s="141">
        <f t="shared" si="2"/>
        <v>86.67</v>
      </c>
      <c r="BR122" s="142">
        <f>SUMIF($D$7:$BG$7,"4",$D122:$BG122)</f>
        <v>15</v>
      </c>
      <c r="BS122" s="140">
        <f>SUMIFS($D$9:$BG$9,$D$7:$BG$7,"4",$D122:$BG122,"&gt;"&amp;-1)</f>
        <v>15</v>
      </c>
      <c r="BT122" s="141">
        <f t="shared" si="3"/>
        <v>100</v>
      </c>
      <c r="BU122" s="142">
        <f>SUMIF($D$7:$BG$7,"5",$D122:$BG122)</f>
        <v>15</v>
      </c>
      <c r="BV122" s="140">
        <f>SUMIFS($D$9:$BG$9,$D$7:$BG$7,"5",$D122:$BG122,"&gt;"&amp;-1)</f>
        <v>20</v>
      </c>
      <c r="BW122" s="141">
        <f t="shared" si="4"/>
        <v>75</v>
      </c>
      <c r="BX122" s="142">
        <f>SUMIF($D$7:$BG$7,"6",$D122:$BG122)</f>
        <v>0</v>
      </c>
      <c r="BY122" s="140">
        <f>SUMIFS($D$9:$BG$9,$D$7:$BG$7,"6",$D122:$BG122,"&gt;"&amp;-1)</f>
        <v>0</v>
      </c>
      <c r="BZ122" s="141">
        <f t="shared" si="5"/>
        <v>0</v>
      </c>
    </row>
    <row r="123" ht="15.75" customHeight="1" spans="1:78" x14ac:dyDescent="0.25">
      <c r="A123" s="151" t="s">
        <v>181</v>
      </c>
      <c r="B123" s="152"/>
      <c r="C123" s="117"/>
      <c r="D123" s="132">
        <v>5</v>
      </c>
      <c r="E123" s="133"/>
      <c r="F123" s="134"/>
      <c r="G123" s="134"/>
      <c r="H123" s="135"/>
      <c r="I123" s="135"/>
      <c r="J123" s="136">
        <v>2.5</v>
      </c>
      <c r="K123" s="137">
        <v>2.5</v>
      </c>
      <c r="L123" s="134"/>
      <c r="M123" s="134">
        <v>3</v>
      </c>
      <c r="N123" s="135"/>
      <c r="O123" s="135"/>
      <c r="P123" s="136"/>
      <c r="Q123" s="136">
        <v>3</v>
      </c>
      <c r="R123" s="135"/>
      <c r="S123" s="135"/>
      <c r="T123" s="138"/>
      <c r="U123" s="132">
        <v>5</v>
      </c>
      <c r="V123" s="133"/>
      <c r="W123" s="134">
        <v>3</v>
      </c>
      <c r="X123" s="134">
        <v>2</v>
      </c>
      <c r="Y123" s="135"/>
      <c r="Z123" s="135"/>
      <c r="AA123" s="136"/>
      <c r="AB123" s="137"/>
      <c r="AC123" s="134">
        <v>4</v>
      </c>
      <c r="AD123" s="134"/>
      <c r="AE123" s="135"/>
      <c r="AF123" s="135"/>
      <c r="AG123" s="136"/>
      <c r="AH123" s="136"/>
      <c r="AI123" s="135"/>
      <c r="AJ123" s="135"/>
      <c r="BA123" s="125">
        <v>8</v>
      </c>
      <c r="BB123" s="125">
        <v>8</v>
      </c>
      <c r="BC123" s="125">
        <v>8</v>
      </c>
      <c r="BD123" s="125">
        <v>8</v>
      </c>
      <c r="BE123" s="125">
        <v>8</v>
      </c>
      <c r="BF123" s="126"/>
      <c r="BG123" s="127"/>
      <c r="BH123" s="46"/>
      <c r="BI123" s="139">
        <f>SUMIF($D$7:$BG$7,"1",$D123:$BG123)</f>
        <v>13</v>
      </c>
      <c r="BJ123" s="140">
        <f>SUMIFS($D$9:$BG$9,$D$7:$BG$7,"1",$D123:$BG123,"&gt;"&amp;-1)</f>
        <v>15</v>
      </c>
      <c r="BK123" s="141">
        <f t="shared" si="0"/>
        <v>86.67</v>
      </c>
      <c r="BL123" s="142">
        <f>SUMIF($D$7:$BG$7,"2",$D123:$BG123)</f>
        <v>21</v>
      </c>
      <c r="BM123" s="140">
        <f>SUMIFS($D$9:$BG$9,$D$7:$BG$7,"2",$D123:$BG123,"&gt;"&amp;-1)</f>
        <v>22</v>
      </c>
      <c r="BN123" s="141">
        <f t="shared" si="1"/>
        <v>95.46000000000001</v>
      </c>
      <c r="BO123" s="142">
        <f>SUMIF($D$7:$BG$7,"3",$D123:$BG123)</f>
        <v>17</v>
      </c>
      <c r="BP123" s="140">
        <f>SUMIFS($D$9:$BG$9,$D$7:$BG$7,"3",$D123:$BG123,"&gt;"&amp;-1)</f>
        <v>20</v>
      </c>
      <c r="BQ123" s="141">
        <f t="shared" si="2"/>
        <v>85</v>
      </c>
      <c r="BR123" s="142">
        <f>SUMIF($D$7:$BG$7,"4",$D123:$BG123)</f>
        <v>8</v>
      </c>
      <c r="BS123" s="140">
        <f>SUMIFS($D$9:$BG$9,$D$7:$BG$7,"4",$D123:$BG123,"&gt;"&amp;-1)</f>
        <v>10</v>
      </c>
      <c r="BT123" s="141">
        <f t="shared" si="3"/>
        <v>80</v>
      </c>
      <c r="BU123" s="142">
        <f>SUMIF($D$7:$BG$7,"5",$D123:$BG123)</f>
        <v>11</v>
      </c>
      <c r="BV123" s="140">
        <f>SUMIFS($D$9:$BG$9,$D$7:$BG$7,"5",$D123:$BG123,"&gt;"&amp;-1)</f>
        <v>15</v>
      </c>
      <c r="BW123" s="141">
        <f t="shared" si="4"/>
        <v>73.34</v>
      </c>
      <c r="BX123" s="142">
        <f>SUMIF($D$7:$BG$7,"6",$D123:$BG123)</f>
        <v>0</v>
      </c>
      <c r="BY123" s="140">
        <f>SUMIFS($D$9:$BG$9,$D$7:$BG$7,"6",$D123:$BG123,"&gt;"&amp;-1)</f>
        <v>0</v>
      </c>
      <c r="BZ123" s="141">
        <f t="shared" si="5"/>
        <v>0</v>
      </c>
    </row>
    <row r="124" ht="15.75" customHeight="1" spans="1:78" x14ac:dyDescent="0.25">
      <c r="A124" s="151" t="s">
        <v>182</v>
      </c>
      <c r="B124" s="152"/>
      <c r="C124" s="117"/>
      <c r="D124" s="132">
        <v>5</v>
      </c>
      <c r="E124" s="133"/>
      <c r="F124" s="134">
        <v>2</v>
      </c>
      <c r="G124" s="134"/>
      <c r="H124" s="135"/>
      <c r="I124" s="135"/>
      <c r="J124" s="136">
        <v>2</v>
      </c>
      <c r="K124" s="137"/>
      <c r="L124" s="134"/>
      <c r="M124" s="134"/>
      <c r="N124" s="135"/>
      <c r="O124" s="135"/>
      <c r="P124" s="136"/>
      <c r="Q124" s="136"/>
      <c r="R124" s="135"/>
      <c r="S124" s="135"/>
      <c r="T124" s="138"/>
      <c r="U124" s="132">
        <v>5</v>
      </c>
      <c r="V124" s="133"/>
      <c r="W124" s="134">
        <v>3</v>
      </c>
      <c r="X124" s="134">
        <v>2</v>
      </c>
      <c r="Y124" s="135"/>
      <c r="Z124" s="135"/>
      <c r="AA124" s="136">
        <v>3</v>
      </c>
      <c r="AB124" s="137"/>
      <c r="AC124" s="134">
        <v>3</v>
      </c>
      <c r="AD124" s="134"/>
      <c r="AE124" s="135"/>
      <c r="AF124" s="135"/>
      <c r="AG124" s="136"/>
      <c r="AH124" s="136"/>
      <c r="AI124" s="135"/>
      <c r="AJ124" s="135"/>
      <c r="BA124" s="125">
        <v>2.5</v>
      </c>
      <c r="BB124" s="125">
        <v>2.5</v>
      </c>
      <c r="BC124" s="125">
        <v>2.5</v>
      </c>
      <c r="BD124" s="125">
        <v>2.5</v>
      </c>
      <c r="BE124" s="125">
        <v>2.5</v>
      </c>
      <c r="BF124" s="126"/>
      <c r="BG124" s="127"/>
      <c r="BH124" s="46"/>
      <c r="BI124" s="139">
        <f>SUMIF($D$7:$BG$7,"1",$D124:$BG124)</f>
        <v>4.5</v>
      </c>
      <c r="BJ124" s="140">
        <f>SUMIFS($D$9:$BG$9,$D$7:$BG$7,"1",$D124:$BG124,"&gt;"&amp;-1)</f>
        <v>12.5</v>
      </c>
      <c r="BK124" s="141">
        <f t="shared" si="0"/>
        <v>36</v>
      </c>
      <c r="BL124" s="142">
        <f>SUMIF($D$7:$BG$7,"2",$D124:$BG124)</f>
        <v>12.5</v>
      </c>
      <c r="BM124" s="140">
        <f>SUMIFS($D$9:$BG$9,$D$7:$BG$7,"2",$D124:$BG124,"&gt;"&amp;-1)</f>
        <v>20</v>
      </c>
      <c r="BN124" s="141">
        <f t="shared" si="1"/>
        <v>62.5</v>
      </c>
      <c r="BO124" s="142">
        <f>SUMIF($D$7:$BG$7,"3",$D124:$BG124)</f>
        <v>12.5</v>
      </c>
      <c r="BP124" s="140">
        <f>SUMIFS($D$9:$BG$9,$D$7:$BG$7,"3",$D124:$BG124,"&gt;"&amp;-1)</f>
        <v>25</v>
      </c>
      <c r="BQ124" s="141">
        <f t="shared" si="2"/>
        <v>50</v>
      </c>
      <c r="BR124" s="142">
        <f>SUMIF($D$7:$BG$7,"4",$D124:$BG124)</f>
        <v>5.5</v>
      </c>
      <c r="BS124" s="140">
        <f>SUMIFS($D$9:$BG$9,$D$7:$BG$7,"4",$D124:$BG124,"&gt;"&amp;-1)</f>
        <v>15</v>
      </c>
      <c r="BT124" s="141">
        <f t="shared" si="3"/>
        <v>36.669999999999995</v>
      </c>
      <c r="BU124" s="142">
        <f>SUMIF($D$7:$BG$7,"5",$D124:$BG124)</f>
        <v>2.5</v>
      </c>
      <c r="BV124" s="140">
        <f>SUMIFS($D$9:$BG$9,$D$7:$BG$7,"5",$D124:$BG124,"&gt;"&amp;-1)</f>
        <v>10</v>
      </c>
      <c r="BW124" s="141">
        <f t="shared" si="4"/>
        <v>25</v>
      </c>
      <c r="BX124" s="142">
        <f>SUMIF($D$7:$BG$7,"6",$D124:$BG124)</f>
        <v>0</v>
      </c>
      <c r="BY124" s="140">
        <f>SUMIFS($D$9:$BG$9,$D$7:$BG$7,"6",$D124:$BG124,"&gt;"&amp;-1)</f>
        <v>0</v>
      </c>
      <c r="BZ124" s="141">
        <f t="shared" si="5"/>
        <v>0</v>
      </c>
    </row>
    <row r="125" ht="15.75" customHeight="1" spans="1:78" x14ac:dyDescent="0.25">
      <c r="A125" s="151" t="s">
        <v>183</v>
      </c>
      <c r="B125" s="152"/>
      <c r="C125" s="117"/>
      <c r="D125" s="132">
        <v>5</v>
      </c>
      <c r="E125" s="133"/>
      <c r="F125" s="134"/>
      <c r="G125" s="134"/>
      <c r="H125" s="135"/>
      <c r="I125" s="135"/>
      <c r="J125" s="136"/>
      <c r="K125" s="137"/>
      <c r="L125" s="134"/>
      <c r="M125" s="134"/>
      <c r="N125" s="135"/>
      <c r="O125" s="135"/>
      <c r="P125" s="136"/>
      <c r="Q125" s="136"/>
      <c r="R125" s="135"/>
      <c r="S125" s="135"/>
      <c r="T125" s="138"/>
      <c r="U125" s="132">
        <v>5</v>
      </c>
      <c r="V125" s="133"/>
      <c r="W125" s="134">
        <v>3</v>
      </c>
      <c r="X125" s="134">
        <v>2</v>
      </c>
      <c r="Y125" s="135">
        <v>2</v>
      </c>
      <c r="Z125" s="135"/>
      <c r="AA125" s="136"/>
      <c r="AB125" s="137"/>
      <c r="AC125" s="134">
        <v>1</v>
      </c>
      <c r="AD125" s="134"/>
      <c r="AE125" s="135">
        <v>1</v>
      </c>
      <c r="AF125" s="135"/>
      <c r="AG125" s="136"/>
      <c r="AH125" s="136"/>
      <c r="AI125" s="135"/>
      <c r="AJ125" s="135"/>
      <c r="BA125" s="125">
        <v>7</v>
      </c>
      <c r="BB125" s="125">
        <v>7</v>
      </c>
      <c r="BC125" s="125">
        <v>7</v>
      </c>
      <c r="BD125" s="125">
        <v>7</v>
      </c>
      <c r="BE125" s="125">
        <v>7</v>
      </c>
      <c r="BF125" s="126"/>
      <c r="BG125" s="127"/>
      <c r="BH125" s="46"/>
      <c r="BI125" s="139">
        <f>SUMIF($D$7:$BG$7,"1",$D125:$BG125)</f>
        <v>7</v>
      </c>
      <c r="BJ125" s="140">
        <f>SUMIFS($D$9:$BG$9,$D$7:$BG$7,"1",$D125:$BG125,"&gt;"&amp;-1)</f>
        <v>10</v>
      </c>
      <c r="BK125" s="141">
        <f t="shared" si="0"/>
        <v>70</v>
      </c>
      <c r="BL125" s="142">
        <f>SUMIF($D$7:$BG$7,"2",$D125:$BG125)</f>
        <v>17</v>
      </c>
      <c r="BM125" s="140">
        <f>SUMIFS($D$9:$BG$9,$D$7:$BG$7,"2",$D125:$BG125,"&gt;"&amp;-1)</f>
        <v>20</v>
      </c>
      <c r="BN125" s="141">
        <f t="shared" si="1"/>
        <v>85</v>
      </c>
      <c r="BO125" s="142">
        <f>SUMIF($D$7:$BG$7,"3",$D125:$BG125)</f>
        <v>16</v>
      </c>
      <c r="BP125" s="140">
        <f>SUMIFS($D$9:$BG$9,$D$7:$BG$7,"3",$D125:$BG125,"&gt;"&amp;-1)</f>
        <v>30</v>
      </c>
      <c r="BQ125" s="141">
        <f t="shared" si="2"/>
        <v>53.339999999999996</v>
      </c>
      <c r="BR125" s="142">
        <f>SUMIF($D$7:$BG$7,"4",$D125:$BG125)</f>
        <v>7</v>
      </c>
      <c r="BS125" s="140">
        <f>SUMIFS($D$9:$BG$9,$D$7:$BG$7,"4",$D125:$BG125,"&gt;"&amp;-1)</f>
        <v>10</v>
      </c>
      <c r="BT125" s="141">
        <f t="shared" si="3"/>
        <v>70</v>
      </c>
      <c r="BU125" s="142">
        <f>SUMIF($D$7:$BG$7,"5",$D125:$BG125)</f>
        <v>7</v>
      </c>
      <c r="BV125" s="140">
        <f>SUMIFS($D$9:$BG$9,$D$7:$BG$7,"5",$D125:$BG125,"&gt;"&amp;-1)</f>
        <v>10</v>
      </c>
      <c r="BW125" s="141">
        <f t="shared" si="4"/>
        <v>70</v>
      </c>
      <c r="BX125" s="142">
        <f>SUMIF($D$7:$BG$7,"6",$D125:$BG125)</f>
        <v>0</v>
      </c>
      <c r="BY125" s="140">
        <f>SUMIFS($D$9:$BG$9,$D$7:$BG$7,"6",$D125:$BG125,"&gt;"&amp;-1)</f>
        <v>0</v>
      </c>
      <c r="BZ125" s="141">
        <f t="shared" si="5"/>
        <v>0</v>
      </c>
    </row>
    <row r="126" ht="15.75" customHeight="1" spans="1:78" x14ac:dyDescent="0.25">
      <c r="A126" s="151" t="s">
        <v>184</v>
      </c>
      <c r="B126" s="152"/>
      <c r="C126" s="117"/>
      <c r="D126" s="132">
        <v>5</v>
      </c>
      <c r="E126" s="133"/>
      <c r="F126" s="134"/>
      <c r="G126" s="134"/>
      <c r="H126" s="135"/>
      <c r="I126" s="135"/>
      <c r="J126" s="136"/>
      <c r="K126" s="137"/>
      <c r="L126" s="134">
        <v>1</v>
      </c>
      <c r="M126" s="134"/>
      <c r="N126" s="135"/>
      <c r="O126" s="135"/>
      <c r="P126" s="136">
        <v>1</v>
      </c>
      <c r="Q126" s="136"/>
      <c r="R126" s="135"/>
      <c r="S126" s="135"/>
      <c r="T126" s="138"/>
      <c r="U126" s="132">
        <v>5</v>
      </c>
      <c r="V126" s="133"/>
      <c r="W126" s="134">
        <v>3</v>
      </c>
      <c r="X126" s="134">
        <v>2</v>
      </c>
      <c r="Y126" s="135"/>
      <c r="Z126" s="135"/>
      <c r="AA126" s="136"/>
      <c r="AB126" s="137"/>
      <c r="AC126" s="134">
        <v>5</v>
      </c>
      <c r="AD126" s="134"/>
      <c r="AE126" s="135"/>
      <c r="AF126" s="135"/>
      <c r="AG126" s="136"/>
      <c r="AH126" s="136"/>
      <c r="AI126" s="135"/>
      <c r="AJ126" s="135"/>
      <c r="BA126" s="125">
        <v>10</v>
      </c>
      <c r="BB126" s="125">
        <v>10</v>
      </c>
      <c r="BC126" s="125">
        <v>10</v>
      </c>
      <c r="BD126" s="125">
        <v>10</v>
      </c>
      <c r="BE126" s="125">
        <v>10</v>
      </c>
      <c r="BF126" s="126"/>
      <c r="BG126" s="127"/>
      <c r="BH126" s="46"/>
      <c r="BI126" s="139">
        <f>SUMIF($D$7:$BG$7,"1",$D126:$BG126)</f>
        <v>10</v>
      </c>
      <c r="BJ126" s="140">
        <f>SUMIFS($D$9:$BG$9,$D$7:$BG$7,"1",$D126:$BG126,"&gt;"&amp;-1)</f>
        <v>10</v>
      </c>
      <c r="BK126" s="141">
        <f t="shared" si="0"/>
        <v>100</v>
      </c>
      <c r="BL126" s="142">
        <f>SUMIF($D$7:$BG$7,"2",$D126:$BG126)</f>
        <v>21</v>
      </c>
      <c r="BM126" s="140">
        <f>SUMIFS($D$9:$BG$9,$D$7:$BG$7,"2",$D126:$BG126,"&gt;"&amp;-1)</f>
        <v>23</v>
      </c>
      <c r="BN126" s="141">
        <f t="shared" si="1"/>
        <v>91.31</v>
      </c>
      <c r="BO126" s="142">
        <f>SUMIF($D$7:$BG$7,"3",$D126:$BG126)</f>
        <v>20</v>
      </c>
      <c r="BP126" s="140">
        <f>SUMIFS($D$9:$BG$9,$D$7:$BG$7,"3",$D126:$BG126,"&gt;"&amp;-1)</f>
        <v>20</v>
      </c>
      <c r="BQ126" s="141">
        <f t="shared" si="2"/>
        <v>100</v>
      </c>
      <c r="BR126" s="142">
        <f>SUMIF($D$7:$BG$7,"4",$D126:$BG126)</f>
        <v>10</v>
      </c>
      <c r="BS126" s="140">
        <f>SUMIFS($D$9:$BG$9,$D$7:$BG$7,"4",$D126:$BG126,"&gt;"&amp;-1)</f>
        <v>10</v>
      </c>
      <c r="BT126" s="141">
        <f t="shared" si="3"/>
        <v>100</v>
      </c>
      <c r="BU126" s="142">
        <f>SUMIF($D$7:$BG$7,"5",$D126:$BG126)</f>
        <v>11</v>
      </c>
      <c r="BV126" s="140">
        <f>SUMIFS($D$9:$BG$9,$D$7:$BG$7,"5",$D126:$BG126,"&gt;"&amp;-1)</f>
        <v>15</v>
      </c>
      <c r="BW126" s="141">
        <f t="shared" si="4"/>
        <v>73.34</v>
      </c>
      <c r="BX126" s="142">
        <f>SUMIF($D$7:$BG$7,"6",$D126:$BG126)</f>
        <v>0</v>
      </c>
      <c r="BY126" s="140">
        <f>SUMIFS($D$9:$BG$9,$D$7:$BG$7,"6",$D126:$BG126,"&gt;"&amp;-1)</f>
        <v>0</v>
      </c>
      <c r="BZ126" s="141">
        <f t="shared" si="5"/>
        <v>0</v>
      </c>
    </row>
    <row r="127" ht="15.75" customHeight="1" spans="1:78" x14ac:dyDescent="0.25">
      <c r="A127" s="151" t="s">
        <v>185</v>
      </c>
      <c r="B127" s="152"/>
      <c r="C127" s="117"/>
      <c r="D127" s="132">
        <v>3</v>
      </c>
      <c r="E127" s="133"/>
      <c r="F127" s="134"/>
      <c r="G127" s="134"/>
      <c r="H127" s="135"/>
      <c r="I127" s="135"/>
      <c r="J127" s="136"/>
      <c r="K127" s="137"/>
      <c r="L127" s="134"/>
      <c r="M127" s="134"/>
      <c r="N127" s="135"/>
      <c r="O127" s="135"/>
      <c r="P127" s="136"/>
      <c r="Q127" s="136"/>
      <c r="R127" s="135"/>
      <c r="S127" s="135"/>
      <c r="T127" s="138"/>
      <c r="U127" s="132">
        <v>5</v>
      </c>
      <c r="V127" s="133"/>
      <c r="W127" s="134">
        <v>3</v>
      </c>
      <c r="X127" s="134">
        <v>2</v>
      </c>
      <c r="Y127" s="135">
        <v>1</v>
      </c>
      <c r="Z127" s="135"/>
      <c r="AA127" s="136"/>
      <c r="AB127" s="137"/>
      <c r="AC127" s="134"/>
      <c r="AD127" s="134"/>
      <c r="AE127" s="135"/>
      <c r="AF127" s="135"/>
      <c r="AG127" s="136"/>
      <c r="AH127" s="136"/>
      <c r="AI127" s="135"/>
      <c r="AJ127" s="135"/>
      <c r="BA127" s="125">
        <v>3</v>
      </c>
      <c r="BB127" s="125">
        <v>3</v>
      </c>
      <c r="BC127" s="125">
        <v>3</v>
      </c>
      <c r="BD127" s="125">
        <v>3</v>
      </c>
      <c r="BE127" s="125">
        <v>3</v>
      </c>
      <c r="BF127" s="126"/>
      <c r="BG127" s="127"/>
      <c r="BH127" s="46"/>
      <c r="BI127" s="139">
        <f>SUMIF($D$7:$BG$7,"1",$D127:$BG127)</f>
        <v>3</v>
      </c>
      <c r="BJ127" s="140">
        <f>SUMIFS($D$9:$BG$9,$D$7:$BG$7,"1",$D127:$BG127,"&gt;"&amp;-1)</f>
        <v>10</v>
      </c>
      <c r="BK127" s="141">
        <f t="shared" si="0"/>
        <v>30</v>
      </c>
      <c r="BL127" s="142">
        <f>SUMIF($D$7:$BG$7,"2",$D127:$BG127)</f>
        <v>11</v>
      </c>
      <c r="BM127" s="140">
        <f>SUMIFS($D$9:$BG$9,$D$7:$BG$7,"2",$D127:$BG127,"&gt;"&amp;-1)</f>
        <v>20</v>
      </c>
      <c r="BN127" s="141">
        <f t="shared" si="1"/>
        <v>55</v>
      </c>
      <c r="BO127" s="142">
        <f>SUMIF($D$7:$BG$7,"3",$D127:$BG127)</f>
        <v>9</v>
      </c>
      <c r="BP127" s="140">
        <f>SUMIFS($D$9:$BG$9,$D$7:$BG$7,"3",$D127:$BG127,"&gt;"&amp;-1)</f>
        <v>20</v>
      </c>
      <c r="BQ127" s="141">
        <f t="shared" si="2"/>
        <v>45</v>
      </c>
      <c r="BR127" s="142">
        <f>SUMIF($D$7:$BG$7,"4",$D127:$BG127)</f>
        <v>3</v>
      </c>
      <c r="BS127" s="140">
        <f>SUMIFS($D$9:$BG$9,$D$7:$BG$7,"4",$D127:$BG127,"&gt;"&amp;-1)</f>
        <v>10</v>
      </c>
      <c r="BT127" s="141">
        <f t="shared" si="3"/>
        <v>30</v>
      </c>
      <c r="BU127" s="142">
        <f>SUMIF($D$7:$BG$7,"5",$D127:$BG127)</f>
        <v>3</v>
      </c>
      <c r="BV127" s="140">
        <f>SUMIFS($D$9:$BG$9,$D$7:$BG$7,"5",$D127:$BG127,"&gt;"&amp;-1)</f>
        <v>10</v>
      </c>
      <c r="BW127" s="141">
        <f t="shared" si="4"/>
        <v>30</v>
      </c>
      <c r="BX127" s="142">
        <f>SUMIF($D$7:$BG$7,"6",$D127:$BG127)</f>
        <v>0</v>
      </c>
      <c r="BY127" s="140">
        <f>SUMIFS($D$9:$BG$9,$D$7:$BG$7,"6",$D127:$BG127,"&gt;"&amp;-1)</f>
        <v>0</v>
      </c>
      <c r="BZ127" s="141">
        <f t="shared" si="5"/>
        <v>0</v>
      </c>
    </row>
    <row r="128" ht="15.75" customHeight="1" spans="1:78" x14ac:dyDescent="0.25">
      <c r="A128" s="151" t="s">
        <v>186</v>
      </c>
      <c r="B128" s="152"/>
      <c r="C128" s="117"/>
      <c r="D128" s="132"/>
      <c r="E128" s="133"/>
      <c r="F128" s="134"/>
      <c r="G128" s="134"/>
      <c r="H128" s="135"/>
      <c r="I128" s="135"/>
      <c r="J128" s="136"/>
      <c r="K128" s="137"/>
      <c r="L128" s="134"/>
      <c r="M128" s="134"/>
      <c r="N128" s="135"/>
      <c r="O128" s="135"/>
      <c r="P128" s="136"/>
      <c r="Q128" s="136"/>
      <c r="R128" s="135"/>
      <c r="S128" s="135"/>
      <c r="T128" s="138"/>
      <c r="U128" s="132">
        <v>5</v>
      </c>
      <c r="V128" s="133"/>
      <c r="W128" s="134">
        <v>3</v>
      </c>
      <c r="X128" s="134">
        <v>2</v>
      </c>
      <c r="Y128" s="135">
        <v>1</v>
      </c>
      <c r="Z128" s="135"/>
      <c r="AA128" s="136"/>
      <c r="AB128" s="137"/>
      <c r="AC128" s="134">
        <v>3</v>
      </c>
      <c r="AD128" s="134"/>
      <c r="AE128" s="135"/>
      <c r="AF128" s="135"/>
      <c r="AG128" s="136"/>
      <c r="AH128" s="136"/>
      <c r="AI128" s="135"/>
      <c r="AJ128" s="135"/>
      <c r="BA128" s="125">
        <v>4.5</v>
      </c>
      <c r="BB128" s="125">
        <v>4.5</v>
      </c>
      <c r="BC128" s="125">
        <v>4.5</v>
      </c>
      <c r="BD128" s="125">
        <v>4.5</v>
      </c>
      <c r="BE128" s="125">
        <v>4.5</v>
      </c>
      <c r="BF128" s="126"/>
      <c r="BG128" s="127"/>
      <c r="BH128" s="46"/>
      <c r="BI128" s="139">
        <f>SUMIF($D$7:$BG$7,"1",$D128:$BG128)</f>
        <v>4.5</v>
      </c>
      <c r="BJ128" s="140">
        <f>SUMIFS($D$9:$BG$9,$D$7:$BG$7,"1",$D128:$BG128,"&gt;"&amp;-1)</f>
        <v>10</v>
      </c>
      <c r="BK128" s="141">
        <f t="shared" si="0"/>
        <v>45</v>
      </c>
      <c r="BL128" s="142">
        <f>SUMIF($D$7:$BG$7,"2",$D128:$BG128)</f>
        <v>9.5</v>
      </c>
      <c r="BM128" s="140">
        <f>SUMIFS($D$9:$BG$9,$D$7:$BG$7,"2",$D128:$BG128,"&gt;"&amp;-1)</f>
        <v>15</v>
      </c>
      <c r="BN128" s="141">
        <f t="shared" si="1"/>
        <v>63.339999999999996</v>
      </c>
      <c r="BO128" s="142">
        <f>SUMIF($D$7:$BG$7,"3",$D128:$BG128)</f>
        <v>13.5</v>
      </c>
      <c r="BP128" s="140">
        <f>SUMIFS($D$9:$BG$9,$D$7:$BG$7,"3",$D128:$BG128,"&gt;"&amp;-1)</f>
        <v>25</v>
      </c>
      <c r="BQ128" s="141">
        <f t="shared" si="2"/>
        <v>54</v>
      </c>
      <c r="BR128" s="142">
        <f>SUMIF($D$7:$BG$7,"4",$D128:$BG128)</f>
        <v>4.5</v>
      </c>
      <c r="BS128" s="140">
        <f>SUMIFS($D$9:$BG$9,$D$7:$BG$7,"4",$D128:$BG128,"&gt;"&amp;-1)</f>
        <v>10</v>
      </c>
      <c r="BT128" s="141">
        <f t="shared" si="3"/>
        <v>45</v>
      </c>
      <c r="BU128" s="142">
        <f>SUMIF($D$7:$BG$7,"5",$D128:$BG128)</f>
        <v>4.5</v>
      </c>
      <c r="BV128" s="140">
        <f>SUMIFS($D$9:$BG$9,$D$7:$BG$7,"5",$D128:$BG128,"&gt;"&amp;-1)</f>
        <v>10</v>
      </c>
      <c r="BW128" s="141">
        <f t="shared" si="4"/>
        <v>45</v>
      </c>
      <c r="BX128" s="142">
        <f>SUMIF($D$7:$BG$7,"6",$D128:$BG128)</f>
        <v>0</v>
      </c>
      <c r="BY128" s="140">
        <f>SUMIFS($D$9:$BG$9,$D$7:$BG$7,"6",$D128:$BG128,"&gt;"&amp;-1)</f>
        <v>0</v>
      </c>
      <c r="BZ128" s="141">
        <f t="shared" si="5"/>
        <v>0</v>
      </c>
    </row>
    <row r="129" ht="15.75" customHeight="1" spans="1:78" x14ac:dyDescent="0.25">
      <c r="A129" s="151" t="s">
        <v>187</v>
      </c>
      <c r="B129" s="152"/>
      <c r="C129" s="117"/>
      <c r="D129" s="132">
        <v>5</v>
      </c>
      <c r="E129" s="133"/>
      <c r="F129" s="134"/>
      <c r="G129" s="134"/>
      <c r="H129" s="135"/>
      <c r="I129" s="135"/>
      <c r="J129" s="136"/>
      <c r="K129" s="137"/>
      <c r="L129" s="134"/>
      <c r="M129" s="134"/>
      <c r="N129" s="135"/>
      <c r="O129" s="135"/>
      <c r="P129" s="136"/>
      <c r="Q129" s="136"/>
      <c r="R129" s="135"/>
      <c r="S129" s="135"/>
      <c r="T129" s="138"/>
      <c r="U129" s="132">
        <v>5</v>
      </c>
      <c r="V129" s="133"/>
      <c r="W129" s="134">
        <v>3</v>
      </c>
      <c r="X129" s="134">
        <v>2</v>
      </c>
      <c r="Y129" s="135">
        <v>3</v>
      </c>
      <c r="Z129" s="135"/>
      <c r="AA129" s="136">
        <v>2</v>
      </c>
      <c r="AB129" s="137"/>
      <c r="AC129" s="134"/>
      <c r="AD129" s="134"/>
      <c r="AE129" s="135"/>
      <c r="AF129" s="135"/>
      <c r="AG129" s="136"/>
      <c r="AH129" s="136"/>
      <c r="AI129" s="135"/>
      <c r="AJ129" s="135"/>
      <c r="BA129" s="125">
        <v>5</v>
      </c>
      <c r="BB129" s="125">
        <v>5</v>
      </c>
      <c r="BC129" s="125">
        <v>5</v>
      </c>
      <c r="BD129" s="125">
        <v>5</v>
      </c>
      <c r="BE129" s="125">
        <v>5</v>
      </c>
      <c r="BF129" s="126"/>
      <c r="BG129" s="127"/>
      <c r="BH129" s="46"/>
      <c r="BI129" s="139">
        <f>SUMIF($D$7:$BG$7,"1",$D129:$BG129)</f>
        <v>5</v>
      </c>
      <c r="BJ129" s="140">
        <f>SUMIFS($D$9:$BG$9,$D$7:$BG$7,"1",$D129:$BG129,"&gt;"&amp;-1)</f>
        <v>10</v>
      </c>
      <c r="BK129" s="141">
        <f t="shared" si="0"/>
        <v>50</v>
      </c>
      <c r="BL129" s="142">
        <f>SUMIF($D$7:$BG$7,"2",$D129:$BG129)</f>
        <v>15</v>
      </c>
      <c r="BM129" s="140">
        <f>SUMIFS($D$9:$BG$9,$D$7:$BG$7,"2",$D129:$BG129,"&gt;"&amp;-1)</f>
        <v>20</v>
      </c>
      <c r="BN129" s="141">
        <f t="shared" si="1"/>
        <v>75</v>
      </c>
      <c r="BO129" s="142">
        <f>SUMIF($D$7:$BG$7,"3",$D129:$BG129)</f>
        <v>13</v>
      </c>
      <c r="BP129" s="140">
        <f>SUMIFS($D$9:$BG$9,$D$7:$BG$7,"3",$D129:$BG129,"&gt;"&amp;-1)</f>
        <v>20</v>
      </c>
      <c r="BQ129" s="141">
        <f t="shared" si="2"/>
        <v>65</v>
      </c>
      <c r="BR129" s="142">
        <f>SUMIF($D$7:$BG$7,"4",$D129:$BG129)</f>
        <v>7</v>
      </c>
      <c r="BS129" s="140">
        <f>SUMIFS($D$9:$BG$9,$D$7:$BG$7,"4",$D129:$BG129,"&gt;"&amp;-1)</f>
        <v>15</v>
      </c>
      <c r="BT129" s="141">
        <f t="shared" si="3"/>
        <v>46.669999999999995</v>
      </c>
      <c r="BU129" s="142">
        <f>SUMIF($D$7:$BG$7,"5",$D129:$BG129)</f>
        <v>5</v>
      </c>
      <c r="BV129" s="140">
        <f>SUMIFS($D$9:$BG$9,$D$7:$BG$7,"5",$D129:$BG129,"&gt;"&amp;-1)</f>
        <v>10</v>
      </c>
      <c r="BW129" s="141">
        <f t="shared" si="4"/>
        <v>50</v>
      </c>
      <c r="BX129" s="142">
        <f>SUMIF($D$7:$BG$7,"6",$D129:$BG129)</f>
        <v>0</v>
      </c>
      <c r="BY129" s="140">
        <f>SUMIFS($D$9:$BG$9,$D$7:$BG$7,"6",$D129:$BG129,"&gt;"&amp;-1)</f>
        <v>0</v>
      </c>
      <c r="BZ129" s="141">
        <f t="shared" si="5"/>
        <v>0</v>
      </c>
    </row>
    <row r="130" ht="15.75" customHeight="1" spans="1:78" x14ac:dyDescent="0.25">
      <c r="A130" s="151" t="s">
        <v>188</v>
      </c>
      <c r="B130" s="152"/>
      <c r="C130" s="117"/>
      <c r="D130" s="132">
        <v>5</v>
      </c>
      <c r="E130" s="133"/>
      <c r="F130" s="134"/>
      <c r="G130" s="134"/>
      <c r="H130" s="135"/>
      <c r="I130" s="135"/>
      <c r="J130" s="136"/>
      <c r="K130" s="137"/>
      <c r="L130" s="134">
        <v>1</v>
      </c>
      <c r="M130" s="134"/>
      <c r="N130" s="135"/>
      <c r="O130" s="135"/>
      <c r="P130" s="136">
        <v>1</v>
      </c>
      <c r="Q130" s="136"/>
      <c r="R130" s="135"/>
      <c r="S130" s="135"/>
      <c r="T130" s="138"/>
      <c r="U130" s="132">
        <v>3</v>
      </c>
      <c r="V130" s="133"/>
      <c r="W130" s="134">
        <v>0</v>
      </c>
      <c r="X130" s="134"/>
      <c r="Y130" s="135"/>
      <c r="Z130" s="135"/>
      <c r="AA130" s="136">
        <v>2</v>
      </c>
      <c r="AB130" s="137"/>
      <c r="AC130" s="134"/>
      <c r="AD130" s="134"/>
      <c r="AE130" s="135">
        <v>1</v>
      </c>
      <c r="AF130" s="135"/>
      <c r="AG130" s="136"/>
      <c r="AH130" s="136"/>
      <c r="AI130" s="135"/>
      <c r="AJ130" s="135"/>
      <c r="BA130" s="125">
        <v>2.5</v>
      </c>
      <c r="BB130" s="125">
        <v>2.5</v>
      </c>
      <c r="BC130" s="125">
        <v>2.5</v>
      </c>
      <c r="BD130" s="125">
        <v>2.5</v>
      </c>
      <c r="BE130" s="125">
        <v>2.5</v>
      </c>
      <c r="BF130" s="126"/>
      <c r="BG130" s="127"/>
      <c r="BH130" s="46"/>
      <c r="BI130" s="139">
        <f>SUMIF($D$7:$BG$7,"1",$D130:$BG130)</f>
        <v>2.5</v>
      </c>
      <c r="BJ130" s="140">
        <f>SUMIFS($D$9:$BG$9,$D$7:$BG$7,"1",$D130:$BG130,"&gt;"&amp;-1)</f>
        <v>10</v>
      </c>
      <c r="BK130" s="141">
        <f t="shared" si="0"/>
        <v>25</v>
      </c>
      <c r="BL130" s="142">
        <f>SUMIF($D$7:$BG$7,"2",$D130:$BG130)</f>
        <v>8.5</v>
      </c>
      <c r="BM130" s="140">
        <f>SUMIFS($D$9:$BG$9,$D$7:$BG$7,"2",$D130:$BG130,"&gt;"&amp;-1)</f>
        <v>21</v>
      </c>
      <c r="BN130" s="141">
        <f t="shared" si="1"/>
        <v>40.48</v>
      </c>
      <c r="BO130" s="142">
        <f>SUMIF($D$7:$BG$7,"3",$D130:$BG130)</f>
        <v>6.5</v>
      </c>
      <c r="BP130" s="140">
        <f>SUMIFS($D$9:$BG$9,$D$7:$BG$7,"3",$D130:$BG130,"&gt;"&amp;-1)</f>
        <v>20</v>
      </c>
      <c r="BQ130" s="141">
        <f t="shared" si="2"/>
        <v>32.5</v>
      </c>
      <c r="BR130" s="142">
        <f>SUMIF($D$7:$BG$7,"4",$D130:$BG130)</f>
        <v>4.5</v>
      </c>
      <c r="BS130" s="140">
        <f>SUMIFS($D$9:$BG$9,$D$7:$BG$7,"4",$D130:$BG130,"&gt;"&amp;-1)</f>
        <v>15</v>
      </c>
      <c r="BT130" s="141">
        <f t="shared" si="3"/>
        <v>30</v>
      </c>
      <c r="BU130" s="142">
        <f>SUMIF($D$7:$BG$7,"5",$D130:$BG130)</f>
        <v>3.5</v>
      </c>
      <c r="BV130" s="140">
        <f>SUMIFS($D$9:$BG$9,$D$7:$BG$7,"5",$D130:$BG130,"&gt;"&amp;-1)</f>
        <v>15</v>
      </c>
      <c r="BW130" s="141">
        <f t="shared" si="4"/>
        <v>23.34</v>
      </c>
      <c r="BX130" s="142">
        <f>SUMIF($D$7:$BG$7,"6",$D130:$BG130)</f>
        <v>0</v>
      </c>
      <c r="BY130" s="140">
        <f>SUMIFS($D$9:$BG$9,$D$7:$BG$7,"6",$D130:$BG130,"&gt;"&amp;-1)</f>
        <v>0</v>
      </c>
      <c r="BZ130" s="141">
        <f t="shared" si="5"/>
        <v>0</v>
      </c>
    </row>
    <row r="131" ht="15.75" customHeight="1" spans="1:78" x14ac:dyDescent="0.25">
      <c r="A131" s="151" t="s">
        <v>189</v>
      </c>
      <c r="B131" s="152"/>
      <c r="C131" s="117"/>
      <c r="D131" s="132"/>
      <c r="E131" s="133"/>
      <c r="F131" s="134"/>
      <c r="G131" s="134"/>
      <c r="H131" s="135"/>
      <c r="I131" s="135"/>
      <c r="J131" s="136"/>
      <c r="K131" s="137"/>
      <c r="L131" s="134"/>
      <c r="M131" s="134"/>
      <c r="N131" s="135"/>
      <c r="O131" s="135"/>
      <c r="P131" s="136"/>
      <c r="Q131" s="136"/>
      <c r="R131" s="135"/>
      <c r="S131" s="135"/>
      <c r="T131" s="138"/>
      <c r="U131" s="132">
        <v>5</v>
      </c>
      <c r="V131" s="133"/>
      <c r="W131" s="134">
        <v>2</v>
      </c>
      <c r="X131" s="134"/>
      <c r="Y131" s="135">
        <v>4</v>
      </c>
      <c r="Z131" s="135"/>
      <c r="AA131" s="136"/>
      <c r="AB131" s="137"/>
      <c r="AC131" s="134"/>
      <c r="AD131" s="134"/>
      <c r="AE131" s="135"/>
      <c r="AF131" s="135"/>
      <c r="AG131" s="136"/>
      <c r="AH131" s="136"/>
      <c r="AI131" s="135"/>
      <c r="AJ131" s="135"/>
      <c r="BA131" s="125">
        <v>2.5</v>
      </c>
      <c r="BB131" s="125">
        <v>2.5</v>
      </c>
      <c r="BC131" s="125">
        <v>2.5</v>
      </c>
      <c r="BD131" s="125">
        <v>2.5</v>
      </c>
      <c r="BE131" s="125">
        <v>2.5</v>
      </c>
      <c r="BF131" s="126"/>
      <c r="BG131" s="127"/>
      <c r="BH131" s="46"/>
      <c r="BI131" s="153">
        <f>SUMIF($D$7:$BG$7,"1",$D131:$BG131)</f>
        <v>2.5</v>
      </c>
      <c r="BJ131" s="140">
        <f>SUMIFS($D$9:$BG$9,$D$7:$BG$7,"1",$D131:$BG131,"&gt;"&amp;-1)</f>
        <v>10</v>
      </c>
      <c r="BK131" s="141">
        <f t="shared" si="0"/>
        <v>25</v>
      </c>
      <c r="BL131" s="142">
        <f>SUMIF($D$7:$BG$7,"2",$D131:$BG131)</f>
        <v>4.5</v>
      </c>
      <c r="BM131" s="140">
        <f>SUMIFS($D$9:$BG$9,$D$7:$BG$7,"2",$D131:$BG131,"&gt;"&amp;-1)</f>
        <v>13</v>
      </c>
      <c r="BN131" s="141">
        <f t="shared" si="1"/>
        <v>34.62</v>
      </c>
      <c r="BO131" s="142">
        <f>SUMIF($D$7:$BG$7,"3",$D131:$BG131)</f>
        <v>11.5</v>
      </c>
      <c r="BP131" s="140">
        <f>SUMIFS($D$9:$BG$9,$D$7:$BG$7,"3",$D131:$BG131,"&gt;"&amp;-1)</f>
        <v>20</v>
      </c>
      <c r="BQ131" s="141">
        <f t="shared" si="2"/>
        <v>57.5</v>
      </c>
      <c r="BR131" s="142">
        <f>SUMIF($D$7:$BG$7,"4",$D131:$BG131)</f>
        <v>2.5</v>
      </c>
      <c r="BS131" s="140">
        <f>SUMIFS($D$9:$BG$9,$D$7:$BG$7,"4",$D131:$BG131,"&gt;"&amp;-1)</f>
        <v>10</v>
      </c>
      <c r="BT131" s="141">
        <f t="shared" si="3"/>
        <v>25</v>
      </c>
      <c r="BU131" s="142">
        <f>SUMIF($D$7:$BG$7,"5",$D131:$BG131)</f>
        <v>2.5</v>
      </c>
      <c r="BV131" s="140">
        <f>SUMIFS($D$9:$BG$9,$D$7:$BG$7,"5",$D131:$BG131,"&gt;"&amp;-1)</f>
        <v>10</v>
      </c>
      <c r="BW131" s="141">
        <f t="shared" si="4"/>
        <v>25</v>
      </c>
      <c r="BX131" s="142">
        <f>SUMIF($D$7:$BG$7,"6",$D131:$BG131)</f>
        <v>0</v>
      </c>
      <c r="BY131" s="140">
        <f>SUMIFS($D$9:$BG$9,$D$7:$BG$7,"6",$D131:$BG131,"&gt;"&amp;-1)</f>
        <v>0</v>
      </c>
      <c r="BZ131" s="141">
        <f t="shared" si="5"/>
        <v>0</v>
      </c>
    </row>
    <row r="132" ht="15.75" customHeight="1" spans="1:78" x14ac:dyDescent="0.25">
      <c r="A132" s="151" t="s">
        <v>190</v>
      </c>
      <c r="B132" s="152"/>
      <c r="C132" s="117"/>
      <c r="D132" s="132"/>
      <c r="E132" s="133"/>
      <c r="F132" s="134"/>
      <c r="G132" s="134"/>
      <c r="H132" s="135"/>
      <c r="I132" s="135"/>
      <c r="J132" s="136"/>
      <c r="K132" s="137"/>
      <c r="L132" s="134"/>
      <c r="M132" s="134"/>
      <c r="N132" s="135"/>
      <c r="O132" s="135"/>
      <c r="P132" s="136"/>
      <c r="Q132" s="136"/>
      <c r="R132" s="135"/>
      <c r="S132" s="135"/>
      <c r="T132" s="138"/>
      <c r="U132" s="132">
        <v>4</v>
      </c>
      <c r="V132" s="133"/>
      <c r="W132" s="134">
        <v>1</v>
      </c>
      <c r="X132" s="134">
        <v>2</v>
      </c>
      <c r="Y132" s="135"/>
      <c r="Z132" s="135"/>
      <c r="AA132" s="136">
        <v>4</v>
      </c>
      <c r="AB132" s="137"/>
      <c r="AC132" s="134"/>
      <c r="AD132" s="134"/>
      <c r="AE132" s="135"/>
      <c r="AF132" s="135"/>
      <c r="AG132" s="136"/>
      <c r="AH132" s="136"/>
      <c r="AI132" s="135"/>
      <c r="AJ132" s="135"/>
      <c r="BA132" s="125">
        <v>2.5</v>
      </c>
      <c r="BB132" s="125">
        <v>2.5</v>
      </c>
      <c r="BC132" s="125">
        <v>2.5</v>
      </c>
      <c r="BD132" s="125">
        <v>2.5</v>
      </c>
      <c r="BE132" s="125">
        <v>2.5</v>
      </c>
      <c r="BF132" s="126"/>
      <c r="BG132" s="127"/>
      <c r="BH132" s="46"/>
      <c r="BI132" s="153">
        <f>SUMIF($D$7:$BG$7,"1",$D132:$BG132)</f>
        <v>2.5</v>
      </c>
      <c r="BJ132" s="140">
        <f>SUMIFS($D$9:$BG$9,$D$7:$BG$7,"1",$D132:$BG132,"&gt;"&amp;-1)</f>
        <v>10</v>
      </c>
      <c r="BK132" s="141">
        <f t="shared" si="0"/>
        <v>25</v>
      </c>
      <c r="BL132" s="142">
        <f>SUMIF($D$7:$BG$7,"2",$D132:$BG132)</f>
        <v>5.5</v>
      </c>
      <c r="BM132" s="140">
        <f>SUMIFS($D$9:$BG$9,$D$7:$BG$7,"2",$D132:$BG132,"&gt;"&amp;-1)</f>
        <v>15</v>
      </c>
      <c r="BN132" s="141">
        <f t="shared" si="1"/>
        <v>36.669999999999995</v>
      </c>
      <c r="BO132" s="142">
        <f>SUMIF($D$7:$BG$7,"3",$D132:$BG132)</f>
        <v>6.5</v>
      </c>
      <c r="BP132" s="140">
        <f>SUMIFS($D$9:$BG$9,$D$7:$BG$7,"3",$D132:$BG132,"&gt;"&amp;-1)</f>
        <v>15</v>
      </c>
      <c r="BQ132" s="141">
        <f t="shared" si="2"/>
        <v>43.339999999999996</v>
      </c>
      <c r="BR132" s="142">
        <f>SUMIF($D$7:$BG$7,"4",$D132:$BG132)</f>
        <v>6.5</v>
      </c>
      <c r="BS132" s="140">
        <f>SUMIFS($D$9:$BG$9,$D$7:$BG$7,"4",$D132:$BG132,"&gt;"&amp;-1)</f>
        <v>15</v>
      </c>
      <c r="BT132" s="141">
        <f t="shared" si="3"/>
        <v>43.339999999999996</v>
      </c>
      <c r="BU132" s="142">
        <f>SUMIF($D$7:$BG$7,"5",$D132:$BG132)</f>
        <v>2.5</v>
      </c>
      <c r="BV132" s="140">
        <f>SUMIFS($D$9:$BG$9,$D$7:$BG$7,"5",$D132:$BG132,"&gt;"&amp;-1)</f>
        <v>10</v>
      </c>
      <c r="BW132" s="141">
        <f t="shared" si="4"/>
        <v>25</v>
      </c>
      <c r="BX132" s="142">
        <f>SUMIF($D$7:$BG$7,"6",$D132:$BG132)</f>
        <v>0</v>
      </c>
      <c r="BY132" s="140">
        <f>SUMIFS($D$9:$BG$9,$D$7:$BG$7,"6",$D132:$BG132,"&gt;"&amp;-1)</f>
        <v>0</v>
      </c>
      <c r="BZ132" s="141">
        <f t="shared" si="5"/>
        <v>0</v>
      </c>
    </row>
    <row r="133" ht="15.75" customHeight="1" spans="1:78" x14ac:dyDescent="0.25">
      <c r="A133" s="151" t="s">
        <v>191</v>
      </c>
      <c r="B133" s="152"/>
      <c r="C133" s="117"/>
      <c r="D133" s="132">
        <v>5</v>
      </c>
      <c r="E133" s="133"/>
      <c r="F133" s="134"/>
      <c r="G133" s="134"/>
      <c r="H133" s="135"/>
      <c r="I133" s="135"/>
      <c r="J133" s="136"/>
      <c r="K133" s="137">
        <v>1</v>
      </c>
      <c r="L133" s="134"/>
      <c r="M133" s="134">
        <v>1</v>
      </c>
      <c r="N133" s="135"/>
      <c r="O133" s="135"/>
      <c r="P133" s="136"/>
      <c r="Q133" s="136">
        <v>1</v>
      </c>
      <c r="R133" s="135"/>
      <c r="S133" s="135"/>
      <c r="T133" s="138"/>
      <c r="U133" s="132">
        <v>5</v>
      </c>
      <c r="V133" s="133"/>
      <c r="W133" s="134">
        <v>3</v>
      </c>
      <c r="X133" s="134">
        <v>2</v>
      </c>
      <c r="Y133" s="135">
        <v>2</v>
      </c>
      <c r="Z133" s="135"/>
      <c r="AA133" s="136">
        <v>2</v>
      </c>
      <c r="AB133" s="137"/>
      <c r="AC133" s="134">
        <v>2</v>
      </c>
      <c r="AD133" s="134"/>
      <c r="AE133" s="135"/>
      <c r="AF133" s="135"/>
      <c r="AG133" s="136"/>
      <c r="AH133" s="136"/>
      <c r="AI133" s="135"/>
      <c r="AJ133" s="135"/>
      <c r="BA133" s="125">
        <v>10</v>
      </c>
      <c r="BB133" s="125">
        <v>10</v>
      </c>
      <c r="BC133" s="125">
        <v>10</v>
      </c>
      <c r="BD133" s="125">
        <v>10</v>
      </c>
      <c r="BE133" s="125">
        <v>10</v>
      </c>
      <c r="BF133" s="126"/>
      <c r="BG133" s="127"/>
      <c r="BH133" s="46"/>
      <c r="BI133" s="153">
        <f>SUMIF($D$7:$BG$7,"1",$D133:$BG133)</f>
        <v>11</v>
      </c>
      <c r="BJ133" s="140">
        <f>SUMIFS($D$9:$BG$9,$D$7:$BG$7,"1",$D133:$BG133,"&gt;"&amp;-1)</f>
        <v>12.5</v>
      </c>
      <c r="BK133" s="141">
        <f t="shared" si="0"/>
        <v>88</v>
      </c>
      <c r="BL133" s="142">
        <f>SUMIF($D$7:$BG$7,"2",$D133:$BG133)</f>
        <v>21</v>
      </c>
      <c r="BM133" s="140">
        <f>SUMIFS($D$9:$BG$9,$D$7:$BG$7,"2",$D133:$BG133,"&gt;"&amp;-1)</f>
        <v>22</v>
      </c>
      <c r="BN133" s="141">
        <f t="shared" si="1"/>
        <v>95.46000000000001</v>
      </c>
      <c r="BO133" s="142">
        <f>SUMIF($D$7:$BG$7,"3",$D133:$BG133)</f>
        <v>19</v>
      </c>
      <c r="BP133" s="140">
        <f>SUMIFS($D$9:$BG$9,$D$7:$BG$7,"3",$D133:$BG133,"&gt;"&amp;-1)</f>
        <v>25</v>
      </c>
      <c r="BQ133" s="141">
        <f t="shared" si="2"/>
        <v>76</v>
      </c>
      <c r="BR133" s="142">
        <f>SUMIF($D$7:$BG$7,"4",$D133:$BG133)</f>
        <v>12</v>
      </c>
      <c r="BS133" s="140">
        <f>SUMIFS($D$9:$BG$9,$D$7:$BG$7,"4",$D133:$BG133,"&gt;"&amp;-1)</f>
        <v>15</v>
      </c>
      <c r="BT133" s="141">
        <f t="shared" si="3"/>
        <v>80</v>
      </c>
      <c r="BU133" s="142">
        <f>SUMIF($D$7:$BG$7,"5",$D133:$BG133)</f>
        <v>11</v>
      </c>
      <c r="BV133" s="140">
        <f>SUMIFS($D$9:$BG$9,$D$7:$BG$7,"5",$D133:$BG133,"&gt;"&amp;-1)</f>
        <v>15</v>
      </c>
      <c r="BW133" s="141">
        <f t="shared" si="4"/>
        <v>73.34</v>
      </c>
      <c r="BX133" s="142">
        <f>SUMIF($D$7:$BG$7,"6",$D133:$BG133)</f>
        <v>0</v>
      </c>
      <c r="BY133" s="140">
        <f>SUMIFS($D$9:$BG$9,$D$7:$BG$7,"6",$D133:$BG133,"&gt;"&amp;-1)</f>
        <v>0</v>
      </c>
      <c r="BZ133" s="141">
        <f t="shared" si="5"/>
        <v>0</v>
      </c>
    </row>
    <row r="134" ht="15.75" customHeight="1" spans="1:78" x14ac:dyDescent="0.25">
      <c r="A134" s="151"/>
      <c r="B134" s="152"/>
      <c r="C134" s="117"/>
      <c r="D134" s="132"/>
      <c r="E134" s="133"/>
      <c r="F134" s="134"/>
      <c r="G134" s="134"/>
      <c r="H134" s="135"/>
      <c r="I134" s="135"/>
      <c r="J134" s="136"/>
      <c r="K134" s="137"/>
      <c r="L134" s="134"/>
      <c r="M134" s="134"/>
      <c r="N134" s="135"/>
      <c r="O134" s="135"/>
      <c r="P134" s="136"/>
      <c r="Q134" s="136"/>
      <c r="R134" s="135"/>
      <c r="S134" s="135"/>
      <c r="T134" s="138"/>
      <c r="U134" s="132"/>
      <c r="V134" s="133"/>
      <c r="W134" s="134"/>
      <c r="X134" s="134"/>
      <c r="Y134" s="135"/>
      <c r="Z134" s="135"/>
      <c r="AA134" s="136"/>
      <c r="AB134" s="137"/>
      <c r="AC134" s="134"/>
      <c r="AD134" s="134"/>
      <c r="AE134" s="135"/>
      <c r="AF134" s="135"/>
      <c r="AG134" s="136"/>
      <c r="AH134" s="136"/>
      <c r="AI134" s="135"/>
      <c r="AJ134" s="135"/>
      <c r="BA134" s="125"/>
      <c r="BB134" s="125"/>
      <c r="BC134" s="125"/>
      <c r="BD134" s="125"/>
      <c r="BE134" s="125"/>
      <c r="BF134" s="126"/>
      <c r="BG134" s="127"/>
      <c r="BH134" s="46"/>
      <c r="BI134" s="153">
        <f>SUMIF($D$7:$BG$7,"1",$D134:$BG134)</f>
        <v>0</v>
      </c>
      <c r="BJ134" s="140">
        <f>SUMIFS($D$9:$BG$9,$D$7:$BG$7,"1",$D134:$BG134,"&gt;"&amp;-1)</f>
        <v>0</v>
      </c>
      <c r="BK134" s="141">
        <f t="shared" si="0"/>
        <v>0</v>
      </c>
      <c r="BL134" s="142">
        <f>SUMIF($D$7:$BG$7,"2",$D134:$BG134)</f>
        <v>0</v>
      </c>
      <c r="BM134" s="140">
        <f>SUMIFS($D$9:$BG$9,$D$7:$BG$7,"2",$D134:$BG134,"&gt;"&amp;-1)</f>
        <v>0</v>
      </c>
      <c r="BN134" s="141">
        <f t="shared" si="1"/>
        <v>0</v>
      </c>
      <c r="BO134" s="142">
        <f>SUMIF($D$7:$BG$7,"3",$D134:$BG134)</f>
        <v>0</v>
      </c>
      <c r="BP134" s="140">
        <f>SUMIFS($D$9:$BG$9,$D$7:$BG$7,"3",$D134:$BG134,"&gt;"&amp;-1)</f>
        <v>0</v>
      </c>
      <c r="BQ134" s="141">
        <f t="shared" si="2"/>
        <v>0</v>
      </c>
      <c r="BR134" s="142">
        <f>SUMIF($D$7:$BG$7,"4",$D134:$BG134)</f>
        <v>0</v>
      </c>
      <c r="BS134" s="140">
        <f>SUMIFS($D$9:$BG$9,$D$7:$BG$7,"4",$D134:$BG134,"&gt;"&amp;-1)</f>
        <v>0</v>
      </c>
      <c r="BT134" s="141">
        <f t="shared" si="3"/>
        <v>0</v>
      </c>
      <c r="BU134" s="142">
        <f>SUMIF($D$7:$BG$7,"5",$D134:$BG134)</f>
        <v>0</v>
      </c>
      <c r="BV134" s="140">
        <f>SUMIFS($D$9:$BG$9,$D$7:$BG$7,"5",$D134:$BG134,"&gt;"&amp;-1)</f>
        <v>0</v>
      </c>
      <c r="BW134" s="141">
        <f t="shared" si="4"/>
        <v>0</v>
      </c>
      <c r="BX134" s="142">
        <f>SUMIF($D$7:$BG$7,"6",$D134:$BG134)</f>
        <v>0</v>
      </c>
      <c r="BY134" s="140">
        <f>SUMIFS($D$9:$BG$9,$D$7:$BG$7,"6",$D134:$BG134,"&gt;"&amp;-1)</f>
        <v>0</v>
      </c>
      <c r="BZ134" s="141">
        <f t="shared" si="5"/>
        <v>0</v>
      </c>
    </row>
    <row r="135" ht="15.75" customHeight="1" spans="1:78" x14ac:dyDescent="0.25">
      <c r="A135" s="151"/>
      <c r="B135" s="154"/>
      <c r="C135" s="117"/>
      <c r="D135" s="155"/>
      <c r="E135" s="156"/>
      <c r="F135" s="157"/>
      <c r="G135" s="157"/>
      <c r="H135" s="158"/>
      <c r="I135" s="158"/>
      <c r="J135" s="159"/>
      <c r="K135" s="160"/>
      <c r="L135" s="157"/>
      <c r="M135" s="157"/>
      <c r="N135" s="158"/>
      <c r="O135" s="158"/>
      <c r="P135" s="159"/>
      <c r="Q135" s="159"/>
      <c r="R135" s="158"/>
      <c r="S135" s="158"/>
      <c r="T135" s="161"/>
      <c r="U135" s="155"/>
      <c r="V135" s="156"/>
      <c r="W135" s="157"/>
      <c r="X135" s="157"/>
      <c r="Y135" s="158"/>
      <c r="Z135" s="158"/>
      <c r="AA135" s="159"/>
      <c r="AB135" s="160"/>
      <c r="AC135" s="157"/>
      <c r="AD135" s="157"/>
      <c r="AE135" s="158"/>
      <c r="AF135" s="158"/>
      <c r="AG135" s="159"/>
      <c r="AH135" s="159"/>
      <c r="AI135" s="158"/>
      <c r="AJ135" s="158"/>
      <c r="BA135" s="125"/>
      <c r="BB135" s="125"/>
      <c r="BC135" s="125"/>
      <c r="BD135" s="125"/>
      <c r="BE135" s="125"/>
      <c r="BF135" s="126"/>
      <c r="BG135" s="127"/>
      <c r="BH135" s="46"/>
      <c r="BI135" s="153">
        <f>SUMIF($D$7:$BG$7,"1",$D135:$BG135)</f>
        <v>0</v>
      </c>
      <c r="BJ135" s="140">
        <f>SUMIFS($D$9:$BG$9,$D$7:$BG$7,"1",$D135:$BG135,"&gt;"&amp;-1)</f>
        <v>0</v>
      </c>
      <c r="BK135" s="141">
        <f t="shared" si="0"/>
        <v>0</v>
      </c>
      <c r="BL135" s="142">
        <f>SUMIF($D$7:$BG$7,"2",$D135:$BG135)</f>
        <v>0</v>
      </c>
      <c r="BM135" s="140">
        <f>SUMIFS($D$9:$BG$9,$D$7:$BG$7,"2",$D135:$BG135,"&gt;"&amp;-1)</f>
        <v>0</v>
      </c>
      <c r="BN135" s="141">
        <f t="shared" si="1"/>
        <v>0</v>
      </c>
      <c r="BO135" s="142">
        <f>SUMIF($D$7:$BG$7,"3",$D135:$BG135)</f>
        <v>0</v>
      </c>
      <c r="BP135" s="140">
        <f>SUMIFS($D$9:$BG$9,$D$7:$BG$7,"3",$D135:$BG135,"&gt;"&amp;-1)</f>
        <v>0</v>
      </c>
      <c r="BQ135" s="141">
        <f t="shared" si="2"/>
        <v>0</v>
      </c>
      <c r="BR135" s="142">
        <f>SUMIF($D$7:$BG$7,"4",$D135:$BG135)</f>
        <v>0</v>
      </c>
      <c r="BS135" s="140">
        <f>SUMIFS($D$9:$BG$9,$D$7:$BG$7,"4",$D135:$BG135,"&gt;"&amp;-1)</f>
        <v>0</v>
      </c>
      <c r="BT135" s="141">
        <f t="shared" si="3"/>
        <v>0</v>
      </c>
      <c r="BU135" s="142">
        <f>SUMIF($D$7:$BG$7,"5",$D135:$BG135)</f>
        <v>0</v>
      </c>
      <c r="BV135" s="140">
        <f>SUMIFS($D$9:$BG$9,$D$7:$BG$7,"5",$D135:$BG135,"&gt;"&amp;-1)</f>
        <v>0</v>
      </c>
      <c r="BW135" s="141">
        <f t="shared" si="4"/>
        <v>0</v>
      </c>
      <c r="BX135" s="142">
        <f>SUMIF($D$7:$BG$7,"6",$D135:$BG135)</f>
        <v>0</v>
      </c>
      <c r="BY135" s="140">
        <f>SUMIFS($D$9:$BG$9,$D$7:$BG$7,"6",$D135:$BG135,"&gt;"&amp;-1)</f>
        <v>0</v>
      </c>
      <c r="BZ135" s="141">
        <f t="shared" si="5"/>
        <v>0</v>
      </c>
    </row>
    <row r="136" ht="15.75" customHeight="1" spans="1:78" x14ac:dyDescent="0.25">
      <c r="A136" s="162"/>
      <c r="B136" s="162"/>
      <c r="C136" s="1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4"/>
      <c r="AB136" s="164"/>
      <c r="AC136" s="163"/>
      <c r="AD136" s="163"/>
      <c r="AE136" s="164"/>
      <c r="AF136" s="164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4"/>
      <c r="AV136" s="164"/>
      <c r="AW136" s="163"/>
      <c r="AX136" s="163"/>
      <c r="AY136" s="163"/>
      <c r="AZ136" s="163"/>
      <c r="BA136" s="165"/>
      <c r="BB136" s="165"/>
      <c r="BC136" s="165"/>
      <c r="BD136" s="165"/>
      <c r="BE136" s="165"/>
      <c r="BF136" s="166"/>
      <c r="BG136" s="167"/>
      <c r="BH136" s="46"/>
      <c r="BI136" s="153">
        <f>SUMIF($D$7:$BG$7,"1",$D136:$BG136)</f>
        <v>0</v>
      </c>
      <c r="BJ136" s="140">
        <f>SUMIFS($D$9:$BG$9,$D$7:$BG$7,"1",$D136:$BG136,"&gt;"&amp;-1)</f>
        <v>0</v>
      </c>
      <c r="BK136" s="141">
        <f t="shared" si="0"/>
        <v>0</v>
      </c>
      <c r="BL136" s="142">
        <f>SUMIF($D$7:$BG$7,"2",$D136:$BG136)</f>
        <v>0</v>
      </c>
      <c r="BM136" s="140">
        <f>SUMIFS($D$9:$BG$9,$D$7:$BG$7,"2",$D136:$BG136,"&gt;"&amp;-1)</f>
        <v>0</v>
      </c>
      <c r="BN136" s="141">
        <f t="shared" si="1"/>
        <v>0</v>
      </c>
      <c r="BO136" s="142">
        <f>SUMIF($D$7:$BG$7,"3",$D136:$BG136)</f>
        <v>0</v>
      </c>
      <c r="BP136" s="140">
        <f>SUMIFS($D$9:$BG$9,$D$7:$BG$7,"3",$D136:$BG136,"&gt;"&amp;-1)</f>
        <v>0</v>
      </c>
      <c r="BQ136" s="141">
        <f t="shared" si="2"/>
        <v>0</v>
      </c>
      <c r="BR136" s="142">
        <f>SUMIF($D$7:$BG$7,"4",$D136:$BG136)</f>
        <v>0</v>
      </c>
      <c r="BS136" s="140">
        <f>SUMIFS($D$9:$BG$9,$D$7:$BG$7,"4",$D136:$BG136,"&gt;"&amp;-1)</f>
        <v>0</v>
      </c>
      <c r="BT136" s="141">
        <f t="shared" si="3"/>
        <v>0</v>
      </c>
      <c r="BU136" s="142">
        <f>SUMIF($D$7:$BG$7,"5",$D136:$BG136)</f>
        <v>0</v>
      </c>
      <c r="BV136" s="140">
        <f>SUMIFS($D$9:$BG$9,$D$7:$BG$7,"5",$D136:$BG136,"&gt;"&amp;-1)</f>
        <v>0</v>
      </c>
      <c r="BW136" s="141">
        <f t="shared" si="4"/>
        <v>0</v>
      </c>
      <c r="BX136" s="142">
        <f>SUMIF($D$7:$BG$7,"6",$D136:$BG136)</f>
        <v>0</v>
      </c>
      <c r="BY136" s="140">
        <f>SUMIFS($D$9:$BG$9,$D$7:$BG$7,"6",$D136:$BG136,"&gt;"&amp;-1)</f>
        <v>0</v>
      </c>
      <c r="BZ136" s="141">
        <f t="shared" si="5"/>
        <v>0</v>
      </c>
    </row>
    <row r="137" ht="15.75" customHeight="1" spans="1:78" x14ac:dyDescent="0.25">
      <c r="A137" s="162"/>
      <c r="B137" s="162"/>
      <c r="C137" s="1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4"/>
      <c r="AB137" s="164"/>
      <c r="AC137" s="163"/>
      <c r="AD137" s="163"/>
      <c r="AE137" s="164"/>
      <c r="AF137" s="164"/>
      <c r="AG137" s="163"/>
      <c r="AH137" s="163"/>
      <c r="AI137" s="163"/>
      <c r="AJ137" s="163"/>
      <c r="AK137" s="163"/>
      <c r="AL137" s="162"/>
      <c r="AM137" s="162"/>
      <c r="AN137" s="162"/>
      <c r="AO137" s="162"/>
      <c r="AP137" s="162"/>
      <c r="AQ137" s="162"/>
      <c r="AR137" s="162"/>
      <c r="AS137" s="162"/>
      <c r="AT137" s="162"/>
      <c r="AU137" s="164"/>
      <c r="AV137" s="164"/>
      <c r="AW137" s="162"/>
      <c r="AX137" s="162"/>
      <c r="AY137" s="162"/>
      <c r="AZ137" s="162"/>
      <c r="BA137" s="165"/>
      <c r="BB137" s="165"/>
      <c r="BC137" s="165"/>
      <c r="BD137" s="165"/>
      <c r="BE137" s="165"/>
      <c r="BF137" s="166"/>
      <c r="BG137" s="167"/>
      <c r="BH137" s="46"/>
      <c r="BI137" s="153">
        <f>SUMIF($D$7:$BG$7,"1",$D137:$BG137)</f>
        <v>0</v>
      </c>
      <c r="BJ137" s="140">
        <f>SUMIFS($D$9:$BG$9,$D$7:$BG$7,"1",$D137:$BG137,"&gt;"&amp;-1)</f>
        <v>0</v>
      </c>
      <c r="BK137" s="141">
        <f t="shared" si="0"/>
        <v>0</v>
      </c>
      <c r="BL137" s="142">
        <f>SUMIF($D$7:$BG$7,"2",$D137:$BG137)</f>
        <v>0</v>
      </c>
      <c r="BM137" s="140">
        <f>SUMIFS($D$9:$BG$9,$D$7:$BG$7,"2",$D137:$BG137,"&gt;"&amp;-1)</f>
        <v>0</v>
      </c>
      <c r="BN137" s="141">
        <f t="shared" si="1"/>
        <v>0</v>
      </c>
      <c r="BO137" s="142">
        <f>SUMIF($D$7:$BG$7,"3",$D137:$BG137)</f>
        <v>0</v>
      </c>
      <c r="BP137" s="140">
        <f>SUMIFS($D$9:$BG$9,$D$7:$BG$7,"3",$D137:$BG137,"&gt;"&amp;-1)</f>
        <v>0</v>
      </c>
      <c r="BQ137" s="141">
        <f t="shared" si="2"/>
        <v>0</v>
      </c>
      <c r="BR137" s="142">
        <f>SUMIF($D$7:$BG$7,"4",$D137:$BG137)</f>
        <v>0</v>
      </c>
      <c r="BS137" s="140">
        <f>SUMIFS($D$9:$BG$9,$D$7:$BG$7,"4",$D137:$BG137,"&gt;"&amp;-1)</f>
        <v>0</v>
      </c>
      <c r="BT137" s="141">
        <f t="shared" si="3"/>
        <v>0</v>
      </c>
      <c r="BU137" s="142">
        <f>SUMIF($D$7:$BG$7,"5",$D137:$BG137)</f>
        <v>0</v>
      </c>
      <c r="BV137" s="140">
        <f>SUMIFS($D$9:$BG$9,$D$7:$BG$7,"5",$D137:$BG137,"&gt;"&amp;-1)</f>
        <v>0</v>
      </c>
      <c r="BW137" s="141">
        <f t="shared" si="4"/>
        <v>0</v>
      </c>
      <c r="BX137" s="142">
        <f>SUMIF($D$7:$BG$7,"6",$D137:$BG137)</f>
        <v>0</v>
      </c>
      <c r="BY137" s="140">
        <f>SUMIFS($D$9:$BG$9,$D$7:$BG$7,"6",$D137:$BG137,"&gt;"&amp;-1)</f>
        <v>0</v>
      </c>
      <c r="BZ137" s="141">
        <f t="shared" si="5"/>
        <v>0</v>
      </c>
    </row>
    <row r="138" ht="15.75" customHeight="1" spans="1:78" x14ac:dyDescent="0.25">
      <c r="A138" s="162"/>
      <c r="B138" s="162"/>
      <c r="C138" s="1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4"/>
      <c r="AB138" s="164"/>
      <c r="AC138" s="163"/>
      <c r="AD138" s="163"/>
      <c r="AE138" s="164"/>
      <c r="AF138" s="164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4"/>
      <c r="AV138" s="164"/>
      <c r="AW138" s="163"/>
      <c r="AX138" s="163"/>
      <c r="AY138" s="163"/>
      <c r="AZ138" s="163"/>
      <c r="BA138" s="165"/>
      <c r="BB138" s="165"/>
      <c r="BC138" s="165"/>
      <c r="BD138" s="165"/>
      <c r="BE138" s="165"/>
      <c r="BF138" s="166"/>
      <c r="BG138" s="167"/>
      <c r="BH138" s="46"/>
      <c r="BI138" s="153">
        <f>SUMIF($D$7:$BG$7,"1",$D138:$BG138)</f>
        <v>0</v>
      </c>
      <c r="BJ138" s="140">
        <f>SUMIFS($D$9:$BG$9,$D$7:$BG$7,"1",$D138:$BG138,"&gt;"&amp;-1)</f>
        <v>0</v>
      </c>
      <c r="BK138" s="141">
        <f t="shared" si="0"/>
        <v>0</v>
      </c>
      <c r="BL138" s="142">
        <f>SUMIF($D$7:$BG$7,"2",$D138:$BG138)</f>
        <v>0</v>
      </c>
      <c r="BM138" s="140">
        <f>SUMIFS($D$9:$BG$9,$D$7:$BG$7,"2",$D138:$BG138,"&gt;"&amp;-1)</f>
        <v>0</v>
      </c>
      <c r="BN138" s="141">
        <f t="shared" si="1"/>
        <v>0</v>
      </c>
      <c r="BO138" s="142">
        <f>SUMIF($D$7:$BG$7,"3",$D138:$BG138)</f>
        <v>0</v>
      </c>
      <c r="BP138" s="140">
        <f>SUMIFS($D$9:$BG$9,$D$7:$BG$7,"3",$D138:$BG138,"&gt;"&amp;-1)</f>
        <v>0</v>
      </c>
      <c r="BQ138" s="141">
        <f t="shared" si="2"/>
        <v>0</v>
      </c>
      <c r="BR138" s="142">
        <f>SUMIF($D$7:$BG$7,"4",$D138:$BG138)</f>
        <v>0</v>
      </c>
      <c r="BS138" s="140">
        <f>SUMIFS($D$9:$BG$9,$D$7:$BG$7,"4",$D138:$BG138,"&gt;"&amp;-1)</f>
        <v>0</v>
      </c>
      <c r="BT138" s="141">
        <f t="shared" si="3"/>
        <v>0</v>
      </c>
      <c r="BU138" s="142">
        <f>SUMIF($D$7:$BG$7,"5",$D138:$BG138)</f>
        <v>0</v>
      </c>
      <c r="BV138" s="140">
        <f>SUMIFS($D$9:$BG$9,$D$7:$BG$7,"5",$D138:$BG138,"&gt;"&amp;-1)</f>
        <v>0</v>
      </c>
      <c r="BW138" s="141">
        <f t="shared" si="4"/>
        <v>0</v>
      </c>
      <c r="BX138" s="142">
        <f>SUMIF($D$7:$BG$7,"6",$D138:$BG138)</f>
        <v>0</v>
      </c>
      <c r="BY138" s="140">
        <f>SUMIFS($D$9:$BG$9,$D$7:$BG$7,"6",$D138:$BG138,"&gt;"&amp;-1)</f>
        <v>0</v>
      </c>
      <c r="BZ138" s="141">
        <f t="shared" si="5"/>
        <v>0</v>
      </c>
    </row>
    <row r="139" ht="15.75" customHeight="1" spans="1:78" x14ac:dyDescent="0.25">
      <c r="A139" s="162"/>
      <c r="B139" s="162"/>
      <c r="C139" s="1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4"/>
      <c r="AB139" s="164"/>
      <c r="AC139" s="163"/>
      <c r="AD139" s="163"/>
      <c r="AE139" s="164"/>
      <c r="AF139" s="164"/>
      <c r="AG139" s="163"/>
      <c r="AH139" s="163"/>
      <c r="AI139" s="163"/>
      <c r="AJ139" s="163"/>
      <c r="AK139" s="163"/>
      <c r="AL139" s="162"/>
      <c r="AM139" s="162"/>
      <c r="AN139" s="162"/>
      <c r="AO139" s="162"/>
      <c r="AP139" s="162"/>
      <c r="AQ139" s="162"/>
      <c r="AR139" s="162"/>
      <c r="AS139" s="162"/>
      <c r="AT139" s="162"/>
      <c r="AU139" s="164"/>
      <c r="AV139" s="164"/>
      <c r="AW139" s="162"/>
      <c r="AX139" s="162"/>
      <c r="AY139" s="162"/>
      <c r="AZ139" s="162"/>
      <c r="BA139" s="165"/>
      <c r="BB139" s="165"/>
      <c r="BC139" s="165"/>
      <c r="BD139" s="165"/>
      <c r="BE139" s="165"/>
      <c r="BF139" s="166"/>
      <c r="BG139" s="167"/>
      <c r="BH139" s="46"/>
      <c r="BI139" s="153">
        <f>SUMIF($D$7:$BG$7,"1",$D139:$BG139)</f>
        <v>0</v>
      </c>
      <c r="BJ139" s="140">
        <f>SUMIFS($D$9:$BG$9,$D$7:$BG$7,"1",$D139:$BG139,"&gt;"&amp;-1)</f>
        <v>0</v>
      </c>
      <c r="BK139" s="141">
        <f t="shared" si="0"/>
        <v>0</v>
      </c>
      <c r="BL139" s="142">
        <f>SUMIF($D$7:$BG$7,"2",$D139:$BG139)</f>
        <v>0</v>
      </c>
      <c r="BM139" s="140">
        <f>SUMIFS($D$9:$BG$9,$D$7:$BG$7,"2",$D139:$BG139,"&gt;"&amp;-1)</f>
        <v>0</v>
      </c>
      <c r="BN139" s="141">
        <f t="shared" si="1"/>
        <v>0</v>
      </c>
      <c r="BO139" s="142">
        <f>SUMIF($D$7:$BG$7,"3",$D139:$BG139)</f>
        <v>0</v>
      </c>
      <c r="BP139" s="140">
        <f>SUMIFS($D$9:$BG$9,$D$7:$BG$7,"3",$D139:$BG139,"&gt;"&amp;-1)</f>
        <v>0</v>
      </c>
      <c r="BQ139" s="141">
        <f t="shared" si="2"/>
        <v>0</v>
      </c>
      <c r="BR139" s="142">
        <f>SUMIF($D$7:$BG$7,"4",$D139:$BG139)</f>
        <v>0</v>
      </c>
      <c r="BS139" s="140">
        <f>SUMIFS($D$9:$BG$9,$D$7:$BG$7,"4",$D139:$BG139,"&gt;"&amp;-1)</f>
        <v>0</v>
      </c>
      <c r="BT139" s="141">
        <f t="shared" si="3"/>
        <v>0</v>
      </c>
      <c r="BU139" s="142">
        <f>SUMIF($D$7:$BG$7,"5",$D139:$BG139)</f>
        <v>0</v>
      </c>
      <c r="BV139" s="140">
        <f>SUMIFS($D$9:$BG$9,$D$7:$BG$7,"5",$D139:$BG139,"&gt;"&amp;-1)</f>
        <v>0</v>
      </c>
      <c r="BW139" s="141">
        <f t="shared" si="4"/>
        <v>0</v>
      </c>
      <c r="BX139" s="142">
        <f>SUMIF($D$7:$BG$7,"6",$D139:$BG139)</f>
        <v>0</v>
      </c>
      <c r="BY139" s="140">
        <f>SUMIFS($D$9:$BG$9,$D$7:$BG$7,"6",$D139:$BG139,"&gt;"&amp;-1)</f>
        <v>0</v>
      </c>
      <c r="BZ139" s="141">
        <f t="shared" si="5"/>
        <v>0</v>
      </c>
    </row>
    <row r="140" ht="15.75" customHeight="1" spans="1:78" x14ac:dyDescent="0.25">
      <c r="A140" s="162"/>
      <c r="B140" s="162"/>
      <c r="C140" s="1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4"/>
      <c r="AB140" s="164"/>
      <c r="AC140" s="163"/>
      <c r="AD140" s="163"/>
      <c r="AE140" s="164"/>
      <c r="AF140" s="164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4"/>
      <c r="AV140" s="164"/>
      <c r="AW140" s="163"/>
      <c r="AX140" s="163"/>
      <c r="AY140" s="163"/>
      <c r="AZ140" s="163"/>
      <c r="BA140" s="165"/>
      <c r="BB140" s="165"/>
      <c r="BC140" s="165"/>
      <c r="BD140" s="165"/>
      <c r="BE140" s="165"/>
      <c r="BF140" s="166"/>
      <c r="BG140" s="167"/>
      <c r="BH140" s="46"/>
      <c r="BI140" s="153">
        <f>SUMIF($D$7:$BG$7,"1",$D140:$BG140)</f>
        <v>0</v>
      </c>
      <c r="BJ140" s="140">
        <f>SUMIFS($D$9:$BG$9,$D$7:$BG$7,"1",$D140:$BG140,"&gt;"&amp;-1)</f>
        <v>0</v>
      </c>
      <c r="BK140" s="141">
        <f t="shared" si="0"/>
        <v>0</v>
      </c>
      <c r="BL140" s="142">
        <f>SUMIF($D$7:$BG$7,"2",$D140:$BG140)</f>
        <v>0</v>
      </c>
      <c r="BM140" s="140">
        <f>SUMIFS($D$9:$BG$9,$D$7:$BG$7,"2",$D140:$BG140,"&gt;"&amp;-1)</f>
        <v>0</v>
      </c>
      <c r="BN140" s="141">
        <f t="shared" si="1"/>
        <v>0</v>
      </c>
      <c r="BO140" s="142">
        <f>SUMIF($D$7:$BG$7,"3",$D140:$BG140)</f>
        <v>0</v>
      </c>
      <c r="BP140" s="140">
        <f>SUMIFS($D$9:$BG$9,$D$7:$BG$7,"3",$D140:$BG140,"&gt;"&amp;-1)</f>
        <v>0</v>
      </c>
      <c r="BQ140" s="141">
        <f t="shared" si="2"/>
        <v>0</v>
      </c>
      <c r="BR140" s="142">
        <f>SUMIF($D$7:$BG$7,"4",$D140:$BG140)</f>
        <v>0</v>
      </c>
      <c r="BS140" s="140">
        <f>SUMIFS($D$9:$BG$9,$D$7:$BG$7,"4",$D140:$BG140,"&gt;"&amp;-1)</f>
        <v>0</v>
      </c>
      <c r="BT140" s="141">
        <f t="shared" si="3"/>
        <v>0</v>
      </c>
      <c r="BU140" s="142">
        <f>SUMIF($D$7:$BG$7,"5",$D140:$BG140)</f>
        <v>0</v>
      </c>
      <c r="BV140" s="140">
        <f>SUMIFS($D$9:$BG$9,$D$7:$BG$7,"5",$D140:$BG140,"&gt;"&amp;-1)</f>
        <v>0</v>
      </c>
      <c r="BW140" s="141">
        <f t="shared" si="4"/>
        <v>0</v>
      </c>
      <c r="BX140" s="142">
        <f>SUMIF($D$7:$BG$7,"6",$D140:$BG140)</f>
        <v>0</v>
      </c>
      <c r="BY140" s="140">
        <f>SUMIFS($D$9:$BG$9,$D$7:$BG$7,"6",$D140:$BG140,"&gt;"&amp;-1)</f>
        <v>0</v>
      </c>
      <c r="BZ140" s="141">
        <f t="shared" si="5"/>
        <v>0</v>
      </c>
    </row>
    <row r="141" ht="15.75" customHeight="1" spans="1:78" x14ac:dyDescent="0.25">
      <c r="A141" s="162"/>
      <c r="B141" s="162"/>
      <c r="C141" s="1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4"/>
      <c r="AB141" s="164"/>
      <c r="AC141" s="163"/>
      <c r="AD141" s="163"/>
      <c r="AE141" s="164"/>
      <c r="AF141" s="164"/>
      <c r="AG141" s="163"/>
      <c r="AH141" s="163"/>
      <c r="AI141" s="163"/>
      <c r="AJ141" s="163"/>
      <c r="AK141" s="163"/>
      <c r="AL141" s="162"/>
      <c r="AM141" s="162"/>
      <c r="AN141" s="162"/>
      <c r="AO141" s="162"/>
      <c r="AP141" s="162"/>
      <c r="AQ141" s="162"/>
      <c r="AR141" s="162"/>
      <c r="AS141" s="162"/>
      <c r="AT141" s="162"/>
      <c r="AU141" s="164"/>
      <c r="AV141" s="164"/>
      <c r="AW141" s="162"/>
      <c r="AX141" s="162"/>
      <c r="AY141" s="162"/>
      <c r="AZ141" s="162"/>
      <c r="BA141" s="165"/>
      <c r="BB141" s="165"/>
      <c r="BC141" s="165"/>
      <c r="BD141" s="165"/>
      <c r="BE141" s="165"/>
      <c r="BF141" s="166"/>
      <c r="BG141" s="167"/>
      <c r="BH141" s="46"/>
      <c r="BI141" s="153">
        <f>SUMIF($D$7:$BG$7,"1",$D141:$BG141)</f>
        <v>0</v>
      </c>
      <c r="BJ141" s="140">
        <f>SUMIFS($D$9:$BG$9,$D$7:$BG$7,"1",$D141:$BG141,"&gt;"&amp;-1)</f>
        <v>0</v>
      </c>
      <c r="BK141" s="141">
        <f t="shared" si="0"/>
        <v>0</v>
      </c>
      <c r="BL141" s="142">
        <f>SUMIF($D$7:$BG$7,"2",$D141:$BG141)</f>
        <v>0</v>
      </c>
      <c r="BM141" s="140">
        <f>SUMIFS($D$9:$BG$9,$D$7:$BG$7,"2",$D141:$BG141,"&gt;"&amp;-1)</f>
        <v>0</v>
      </c>
      <c r="BN141" s="141">
        <f t="shared" si="1"/>
        <v>0</v>
      </c>
      <c r="BO141" s="142">
        <f>SUMIF($D$7:$BG$7,"3",$D141:$BG141)</f>
        <v>0</v>
      </c>
      <c r="BP141" s="140">
        <f>SUMIFS($D$9:$BG$9,$D$7:$BG$7,"3",$D141:$BG141,"&gt;"&amp;-1)</f>
        <v>0</v>
      </c>
      <c r="BQ141" s="141">
        <f t="shared" si="2"/>
        <v>0</v>
      </c>
      <c r="BR141" s="142">
        <f>SUMIF($D$7:$BG$7,"4",$D141:$BG141)</f>
        <v>0</v>
      </c>
      <c r="BS141" s="140">
        <f>SUMIFS($D$9:$BG$9,$D$7:$BG$7,"4",$D141:$BG141,"&gt;"&amp;-1)</f>
        <v>0</v>
      </c>
      <c r="BT141" s="141">
        <f t="shared" si="3"/>
        <v>0</v>
      </c>
      <c r="BU141" s="142">
        <f>SUMIF($D$7:$BG$7,"5",$D141:$BG141)</f>
        <v>0</v>
      </c>
      <c r="BV141" s="140">
        <f>SUMIFS($D$9:$BG$9,$D$7:$BG$7,"5",$D141:$BG141,"&gt;"&amp;-1)</f>
        <v>0</v>
      </c>
      <c r="BW141" s="141">
        <f t="shared" si="4"/>
        <v>0</v>
      </c>
      <c r="BX141" s="142">
        <f>SUMIF($D$7:$BG$7,"6",$D141:$BG141)</f>
        <v>0</v>
      </c>
      <c r="BY141" s="140">
        <f>SUMIFS($D$9:$BG$9,$D$7:$BG$7,"6",$D141:$BG141,"&gt;"&amp;-1)</f>
        <v>0</v>
      </c>
      <c r="BZ141" s="141">
        <f t="shared" si="5"/>
        <v>0</v>
      </c>
    </row>
    <row r="142" ht="15.75" customHeight="1" spans="1:78" x14ac:dyDescent="0.25">
      <c r="A142" s="162"/>
      <c r="B142" s="162"/>
      <c r="C142" s="1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3"/>
      <c r="V142" s="163"/>
      <c r="W142" s="162"/>
      <c r="X142" s="162"/>
      <c r="Y142" s="163"/>
      <c r="Z142" s="163"/>
      <c r="AA142" s="164"/>
      <c r="AB142" s="164"/>
      <c r="AC142" s="163"/>
      <c r="AD142" s="163"/>
      <c r="AE142" s="164"/>
      <c r="AF142" s="164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4"/>
      <c r="AV142" s="164"/>
      <c r="AW142" s="163"/>
      <c r="AX142" s="163"/>
      <c r="AY142" s="163"/>
      <c r="AZ142" s="163"/>
      <c r="BA142" s="165"/>
      <c r="BB142" s="165"/>
      <c r="BC142" s="165"/>
      <c r="BD142" s="165"/>
      <c r="BE142" s="165"/>
      <c r="BF142" s="166"/>
      <c r="BG142" s="167"/>
      <c r="BH142" s="46"/>
      <c r="BI142" s="153">
        <f>SUMIF($D$7:$BG$7,"1",$D142:$BG142)</f>
        <v>0</v>
      </c>
      <c r="BJ142" s="140">
        <f>SUMIFS($D$9:$BG$9,$D$7:$BG$7,"1",$D142:$BG142,"&gt;"&amp;-1)</f>
        <v>0</v>
      </c>
      <c r="BK142" s="141">
        <f t="shared" si="0"/>
        <v>0</v>
      </c>
      <c r="BL142" s="142">
        <f>SUMIF($D$7:$BG$7,"2",$D142:$BG142)</f>
        <v>0</v>
      </c>
      <c r="BM142" s="140">
        <f>SUMIFS($D$9:$BG$9,$D$7:$BG$7,"2",$D142:$BG142,"&gt;"&amp;-1)</f>
        <v>0</v>
      </c>
      <c r="BN142" s="141">
        <f t="shared" si="1"/>
        <v>0</v>
      </c>
      <c r="BO142" s="142">
        <f>SUMIF($D$7:$BG$7,"3",$D142:$BG142)</f>
        <v>0</v>
      </c>
      <c r="BP142" s="140">
        <f>SUMIFS($D$9:$BG$9,$D$7:$BG$7,"3",$D142:$BG142,"&gt;"&amp;-1)</f>
        <v>0</v>
      </c>
      <c r="BQ142" s="141">
        <f t="shared" si="2"/>
        <v>0</v>
      </c>
      <c r="BR142" s="142">
        <f>SUMIF($D$7:$BG$7,"4",$D142:$BG142)</f>
        <v>0</v>
      </c>
      <c r="BS142" s="140">
        <f>SUMIFS($D$9:$BG$9,$D$7:$BG$7,"4",$D142:$BG142,"&gt;"&amp;-1)</f>
        <v>0</v>
      </c>
      <c r="BT142" s="141">
        <f t="shared" si="3"/>
        <v>0</v>
      </c>
      <c r="BU142" s="142">
        <f>SUMIF($D$7:$BG$7,"5",$D142:$BG142)</f>
        <v>0</v>
      </c>
      <c r="BV142" s="140">
        <f>SUMIFS($D$9:$BG$9,$D$7:$BG$7,"5",$D142:$BG142,"&gt;"&amp;-1)</f>
        <v>0</v>
      </c>
      <c r="BW142" s="141">
        <f t="shared" si="4"/>
        <v>0</v>
      </c>
      <c r="BX142" s="142">
        <f>SUMIF($D$7:$BG$7,"6",$D142:$BG142)</f>
        <v>0</v>
      </c>
      <c r="BY142" s="140">
        <f>SUMIFS($D$9:$BG$9,$D$7:$BG$7,"6",$D142:$BG142,"&gt;"&amp;-1)</f>
        <v>0</v>
      </c>
      <c r="BZ142" s="141">
        <f t="shared" si="5"/>
        <v>0</v>
      </c>
    </row>
    <row r="143" ht="15.75" customHeight="1" spans="1:78" x14ac:dyDescent="0.25">
      <c r="A143" s="162"/>
      <c r="B143" s="162"/>
      <c r="C143" s="1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4"/>
      <c r="AB143" s="164"/>
      <c r="AC143" s="163"/>
      <c r="AD143" s="163"/>
      <c r="AE143" s="164"/>
      <c r="AF143" s="164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4"/>
      <c r="AV143" s="164"/>
      <c r="AW143" s="163"/>
      <c r="AX143" s="163"/>
      <c r="AY143" s="163"/>
      <c r="AZ143" s="163"/>
      <c r="BA143" s="165"/>
      <c r="BB143" s="165"/>
      <c r="BC143" s="165"/>
      <c r="BD143" s="165"/>
      <c r="BE143" s="165"/>
      <c r="BF143" s="166"/>
      <c r="BG143" s="167"/>
      <c r="BH143" s="46"/>
      <c r="BI143" s="153">
        <f>SUMIF($D$7:$BG$7,"1",$D143:$BG143)</f>
        <v>0</v>
      </c>
      <c r="BJ143" s="140">
        <f>SUMIFS($D$9:$BG$9,$D$7:$BG$7,"1",$D143:$BG143,"&gt;"&amp;-1)</f>
        <v>0</v>
      </c>
      <c r="BK143" s="141">
        <f t="shared" si="0"/>
        <v>0</v>
      </c>
      <c r="BL143" s="142">
        <f>SUMIF($D$7:$BG$7,"2",$D143:$BG143)</f>
        <v>0</v>
      </c>
      <c r="BM143" s="140">
        <f>SUMIFS($D$9:$BG$9,$D$7:$BG$7,"2",$D143:$BG143,"&gt;"&amp;-1)</f>
        <v>0</v>
      </c>
      <c r="BN143" s="141">
        <f t="shared" si="1"/>
        <v>0</v>
      </c>
      <c r="BO143" s="142">
        <f>SUMIF($D$7:$BG$7,"3",$D143:$BG143)</f>
        <v>0</v>
      </c>
      <c r="BP143" s="140">
        <f>SUMIFS($D$9:$BG$9,$D$7:$BG$7,"3",$D143:$BG143,"&gt;"&amp;-1)</f>
        <v>0</v>
      </c>
      <c r="BQ143" s="141">
        <f t="shared" si="2"/>
        <v>0</v>
      </c>
      <c r="BR143" s="142">
        <f>SUMIF($D$7:$BG$7,"4",$D143:$BG143)</f>
        <v>0</v>
      </c>
      <c r="BS143" s="140">
        <f>SUMIFS($D$9:$BG$9,$D$7:$BG$7,"4",$D143:$BG143,"&gt;"&amp;-1)</f>
        <v>0</v>
      </c>
      <c r="BT143" s="141">
        <f t="shared" si="3"/>
        <v>0</v>
      </c>
      <c r="BU143" s="142">
        <f>SUMIF($D$7:$BG$7,"5",$D143:$BG143)</f>
        <v>0</v>
      </c>
      <c r="BV143" s="140">
        <f>SUMIFS($D$9:$BG$9,$D$7:$BG$7,"5",$D143:$BG143,"&gt;"&amp;-1)</f>
        <v>0</v>
      </c>
      <c r="BW143" s="141">
        <f t="shared" si="4"/>
        <v>0</v>
      </c>
      <c r="BX143" s="142">
        <f>SUMIF($D$7:$BG$7,"6",$D143:$BG143)</f>
        <v>0</v>
      </c>
      <c r="BY143" s="140">
        <f>SUMIFS($D$9:$BG$9,$D$7:$BG$7,"6",$D143:$BG143,"&gt;"&amp;-1)</f>
        <v>0</v>
      </c>
      <c r="BZ143" s="141">
        <f t="shared" si="5"/>
        <v>0</v>
      </c>
    </row>
    <row r="144" ht="15.75" customHeight="1" spans="1:78" x14ac:dyDescent="0.25">
      <c r="A144" s="162"/>
      <c r="B144" s="162"/>
      <c r="C144" s="1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3"/>
      <c r="V144" s="163"/>
      <c r="W144" s="162"/>
      <c r="X144" s="162"/>
      <c r="Y144" s="163"/>
      <c r="Z144" s="163"/>
      <c r="AA144" s="164"/>
      <c r="AB144" s="164"/>
      <c r="AC144" s="163"/>
      <c r="AD144" s="163"/>
      <c r="AE144" s="164"/>
      <c r="AF144" s="164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4"/>
      <c r="AV144" s="164"/>
      <c r="AW144" s="163"/>
      <c r="AX144" s="163"/>
      <c r="AY144" s="163"/>
      <c r="AZ144" s="163"/>
      <c r="BA144" s="165"/>
      <c r="BB144" s="165"/>
      <c r="BC144" s="165"/>
      <c r="BD144" s="165"/>
      <c r="BE144" s="165"/>
      <c r="BF144" s="166"/>
      <c r="BG144" s="167"/>
      <c r="BH144" s="46"/>
      <c r="BI144" s="153">
        <f>SUMIF($D$7:$BG$7,"1",$D144:$BG144)</f>
        <v>0</v>
      </c>
      <c r="BJ144" s="140">
        <f>SUMIFS($D$9:$BG$9,$D$7:$BG$7,"1",$D144:$BG144,"&gt;"&amp;-1)</f>
        <v>0</v>
      </c>
      <c r="BK144" s="141">
        <f t="shared" si="0"/>
        <v>0</v>
      </c>
      <c r="BL144" s="142">
        <f>SUMIF($D$7:$BG$7,"2",$D144:$BG144)</f>
        <v>0</v>
      </c>
      <c r="BM144" s="140">
        <f>SUMIFS($D$9:$BG$9,$D$7:$BG$7,"2",$D144:$BG144,"&gt;"&amp;-1)</f>
        <v>0</v>
      </c>
      <c r="BN144" s="141">
        <f t="shared" si="1"/>
        <v>0</v>
      </c>
      <c r="BO144" s="142">
        <f>SUMIF($D$7:$BG$7,"3",$D144:$BG144)</f>
        <v>0</v>
      </c>
      <c r="BP144" s="140">
        <f>SUMIFS($D$9:$BG$9,$D$7:$BG$7,"3",$D144:$BG144,"&gt;"&amp;-1)</f>
        <v>0</v>
      </c>
      <c r="BQ144" s="141">
        <f t="shared" si="2"/>
        <v>0</v>
      </c>
      <c r="BR144" s="142">
        <f>SUMIF($D$7:$BG$7,"4",$D144:$BG144)</f>
        <v>0</v>
      </c>
      <c r="BS144" s="140">
        <f>SUMIFS($D$9:$BG$9,$D$7:$BG$7,"4",$D144:$BG144,"&gt;"&amp;-1)</f>
        <v>0</v>
      </c>
      <c r="BT144" s="141">
        <f t="shared" si="3"/>
        <v>0</v>
      </c>
      <c r="BU144" s="142">
        <f>SUMIF($D$7:$BG$7,"5",$D144:$BG144)</f>
        <v>0</v>
      </c>
      <c r="BV144" s="140">
        <f>SUMIFS($D$9:$BG$9,$D$7:$BG$7,"5",$D144:$BG144,"&gt;"&amp;-1)</f>
        <v>0</v>
      </c>
      <c r="BW144" s="141">
        <f t="shared" si="4"/>
        <v>0</v>
      </c>
      <c r="BX144" s="142">
        <f>SUMIF($D$7:$BG$7,"6",$D144:$BG144)</f>
        <v>0</v>
      </c>
      <c r="BY144" s="140">
        <f>SUMIFS($D$9:$BG$9,$D$7:$BG$7,"6",$D144:$BG144,"&gt;"&amp;-1)</f>
        <v>0</v>
      </c>
      <c r="BZ144" s="141">
        <f t="shared" si="5"/>
        <v>0</v>
      </c>
    </row>
    <row r="145" ht="15.75" customHeight="1" spans="1:78" x14ac:dyDescent="0.25">
      <c r="A145" s="162"/>
      <c r="B145" s="162"/>
      <c r="C145" s="1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4"/>
      <c r="AB145" s="164"/>
      <c r="AC145" s="163"/>
      <c r="AD145" s="163"/>
      <c r="AE145" s="164"/>
      <c r="AF145" s="164"/>
      <c r="AG145" s="163"/>
      <c r="AH145" s="163"/>
      <c r="AI145" s="163"/>
      <c r="AJ145" s="163"/>
      <c r="AK145" s="163"/>
      <c r="AL145" s="162"/>
      <c r="AM145" s="162"/>
      <c r="AN145" s="162"/>
      <c r="AO145" s="162"/>
      <c r="AP145" s="162"/>
      <c r="AQ145" s="162"/>
      <c r="AR145" s="162"/>
      <c r="AS145" s="162"/>
      <c r="AT145" s="162"/>
      <c r="AU145" s="164"/>
      <c r="AV145" s="164"/>
      <c r="AW145" s="162"/>
      <c r="AX145" s="162"/>
      <c r="AY145" s="162"/>
      <c r="AZ145" s="162"/>
      <c r="BA145" s="165"/>
      <c r="BB145" s="165"/>
      <c r="BC145" s="165"/>
      <c r="BD145" s="165"/>
      <c r="BE145" s="165"/>
      <c r="BF145" s="166"/>
      <c r="BG145" s="167"/>
      <c r="BH145" s="46"/>
      <c r="BI145" s="153">
        <f>SUMIF($D$7:$BG$7,"1",$D145:$BG145)</f>
        <v>0</v>
      </c>
      <c r="BJ145" s="140">
        <f>SUMIFS($D$9:$BG$9,$D$7:$BG$7,"1",$D145:$BG145,"&gt;"&amp;-1)</f>
        <v>0</v>
      </c>
      <c r="BK145" s="141">
        <f t="shared" si="0"/>
        <v>0</v>
      </c>
      <c r="BL145" s="142">
        <f>SUMIF($D$7:$BG$7,"2",$D145:$BG145)</f>
        <v>0</v>
      </c>
      <c r="BM145" s="140">
        <f>SUMIFS($D$9:$BG$9,$D$7:$BG$7,"2",$D145:$BG145,"&gt;"&amp;-1)</f>
        <v>0</v>
      </c>
      <c r="BN145" s="141">
        <f t="shared" si="1"/>
        <v>0</v>
      </c>
      <c r="BO145" s="142">
        <f>SUMIF($D$7:$BG$7,"3",$D145:$BG145)</f>
        <v>0</v>
      </c>
      <c r="BP145" s="140">
        <f>SUMIFS($D$9:$BG$9,$D$7:$BG$7,"3",$D145:$BG145,"&gt;"&amp;-1)</f>
        <v>0</v>
      </c>
      <c r="BQ145" s="141">
        <f t="shared" si="2"/>
        <v>0</v>
      </c>
      <c r="BR145" s="142">
        <f>SUMIF($D$7:$BG$7,"4",$D145:$BG145)</f>
        <v>0</v>
      </c>
      <c r="BS145" s="140">
        <f>SUMIFS($D$9:$BG$9,$D$7:$BG$7,"4",$D145:$BG145,"&gt;"&amp;-1)</f>
        <v>0</v>
      </c>
      <c r="BT145" s="141">
        <f t="shared" si="3"/>
        <v>0</v>
      </c>
      <c r="BU145" s="142">
        <f>SUMIF($D$7:$BG$7,"5",$D145:$BG145)</f>
        <v>0</v>
      </c>
      <c r="BV145" s="140">
        <f>SUMIFS($D$9:$BG$9,$D$7:$BG$7,"5",$D145:$BG145,"&gt;"&amp;-1)</f>
        <v>0</v>
      </c>
      <c r="BW145" s="141">
        <f t="shared" si="4"/>
        <v>0</v>
      </c>
      <c r="BX145" s="142">
        <f>SUMIF($D$7:$BG$7,"6",$D145:$BG145)</f>
        <v>0</v>
      </c>
      <c r="BY145" s="140">
        <f>SUMIFS($D$9:$BG$9,$D$7:$BG$7,"6",$D145:$BG145,"&gt;"&amp;-1)</f>
        <v>0</v>
      </c>
      <c r="BZ145" s="141">
        <f t="shared" si="5"/>
        <v>0</v>
      </c>
    </row>
    <row r="146" ht="15.75" customHeight="1" spans="1:78" x14ac:dyDescent="0.25">
      <c r="A146" s="162"/>
      <c r="B146" s="162"/>
      <c r="C146" s="1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4"/>
      <c r="AB146" s="164"/>
      <c r="AC146" s="163"/>
      <c r="AD146" s="163"/>
      <c r="AE146" s="164"/>
      <c r="AF146" s="164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4"/>
      <c r="AV146" s="164"/>
      <c r="AW146" s="163"/>
      <c r="AX146" s="163"/>
      <c r="AY146" s="163"/>
      <c r="AZ146" s="163"/>
      <c r="BA146" s="165"/>
      <c r="BB146" s="165"/>
      <c r="BC146" s="165"/>
      <c r="BD146" s="165"/>
      <c r="BE146" s="165"/>
      <c r="BF146" s="166"/>
      <c r="BG146" s="167"/>
      <c r="BH146" s="46"/>
      <c r="BI146" s="153">
        <f>SUMIF($D$7:$BG$7,"1",$D146:$BG146)</f>
        <v>0</v>
      </c>
      <c r="BJ146" s="140">
        <f>SUMIFS($D$9:$BG$9,$D$7:$BG$7,"1",$D146:$BG146,"&gt;"&amp;-1)</f>
        <v>0</v>
      </c>
      <c r="BK146" s="141">
        <f t="shared" si="0"/>
        <v>0</v>
      </c>
      <c r="BL146" s="142">
        <f>SUMIF($D$7:$BG$7,"2",$D146:$BG146)</f>
        <v>0</v>
      </c>
      <c r="BM146" s="140">
        <f>SUMIFS($D$9:$BG$9,$D$7:$BG$7,"2",$D146:$BG146,"&gt;"&amp;-1)</f>
        <v>0</v>
      </c>
      <c r="BN146" s="141">
        <f t="shared" si="1"/>
        <v>0</v>
      </c>
      <c r="BO146" s="142">
        <f>SUMIF($D$7:$BG$7,"3",$D146:$BG146)</f>
        <v>0</v>
      </c>
      <c r="BP146" s="140">
        <f>SUMIFS($D$9:$BG$9,$D$7:$BG$7,"3",$D146:$BG146,"&gt;"&amp;-1)</f>
        <v>0</v>
      </c>
      <c r="BQ146" s="141">
        <f t="shared" si="2"/>
        <v>0</v>
      </c>
      <c r="BR146" s="142">
        <f>SUMIF($D$7:$BG$7,"4",$D146:$BG146)</f>
        <v>0</v>
      </c>
      <c r="BS146" s="140">
        <f>SUMIFS($D$9:$BG$9,$D$7:$BG$7,"4",$D146:$BG146,"&gt;"&amp;-1)</f>
        <v>0</v>
      </c>
      <c r="BT146" s="141">
        <f t="shared" si="3"/>
        <v>0</v>
      </c>
      <c r="BU146" s="142">
        <f>SUMIF($D$7:$BG$7,"5",$D146:$BG146)</f>
        <v>0</v>
      </c>
      <c r="BV146" s="140">
        <f>SUMIFS($D$9:$BG$9,$D$7:$BG$7,"5",$D146:$BG146,"&gt;"&amp;-1)</f>
        <v>0</v>
      </c>
      <c r="BW146" s="141">
        <f t="shared" si="4"/>
        <v>0</v>
      </c>
      <c r="BX146" s="142">
        <f>SUMIF($D$7:$BG$7,"6",$D146:$BG146)</f>
        <v>0</v>
      </c>
      <c r="BY146" s="140">
        <f>SUMIFS($D$9:$BG$9,$D$7:$BG$7,"6",$D146:$BG146,"&gt;"&amp;-1)</f>
        <v>0</v>
      </c>
      <c r="BZ146" s="141">
        <f t="shared" si="5"/>
        <v>0</v>
      </c>
    </row>
    <row r="147" ht="15.75" customHeight="1" spans="1:78" x14ac:dyDescent="0.25">
      <c r="A147" s="162"/>
      <c r="B147" s="162"/>
      <c r="C147" s="1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4"/>
      <c r="AB147" s="164"/>
      <c r="AC147" s="163"/>
      <c r="AD147" s="163"/>
      <c r="AE147" s="164"/>
      <c r="AF147" s="164"/>
      <c r="AG147" s="163"/>
      <c r="AH147" s="163"/>
      <c r="AI147" s="163"/>
      <c r="AJ147" s="163"/>
      <c r="AK147" s="163"/>
      <c r="AL147" s="162"/>
      <c r="AM147" s="162"/>
      <c r="AN147" s="162"/>
      <c r="AO147" s="162"/>
      <c r="AP147" s="162"/>
      <c r="AQ147" s="162"/>
      <c r="AR147" s="162"/>
      <c r="AS147" s="162"/>
      <c r="AT147" s="162"/>
      <c r="AU147" s="164"/>
      <c r="AV147" s="164"/>
      <c r="AW147" s="162"/>
      <c r="AX147" s="162"/>
      <c r="AY147" s="162"/>
      <c r="AZ147" s="162"/>
      <c r="BA147" s="165"/>
      <c r="BB147" s="165"/>
      <c r="BC147" s="165"/>
      <c r="BD147" s="165"/>
      <c r="BE147" s="165"/>
      <c r="BF147" s="166"/>
      <c r="BG147" s="167"/>
      <c r="BH147" s="46"/>
      <c r="BI147" s="153">
        <f>SUMIF($D$7:$BG$7,"1",$D147:$BG147)</f>
        <v>0</v>
      </c>
      <c r="BJ147" s="140">
        <f>SUMIFS($D$9:$BG$9,$D$7:$BG$7,"1",$D147:$BG147,"&gt;"&amp;-1)</f>
        <v>0</v>
      </c>
      <c r="BK147" s="141">
        <f t="shared" si="0"/>
        <v>0</v>
      </c>
      <c r="BL147" s="142">
        <f>SUMIF($D$7:$BG$7,"2",$D147:$BG147)</f>
        <v>0</v>
      </c>
      <c r="BM147" s="140">
        <f>SUMIFS($D$9:$BG$9,$D$7:$BG$7,"2",$D147:$BG147,"&gt;"&amp;-1)</f>
        <v>0</v>
      </c>
      <c r="BN147" s="141">
        <f t="shared" si="1"/>
        <v>0</v>
      </c>
      <c r="BO147" s="142">
        <f>SUMIF($D$7:$BG$7,"3",$D147:$BG147)</f>
        <v>0</v>
      </c>
      <c r="BP147" s="140">
        <f>SUMIFS($D$9:$BG$9,$D$7:$BG$7,"3",$D147:$BG147,"&gt;"&amp;-1)</f>
        <v>0</v>
      </c>
      <c r="BQ147" s="141">
        <f t="shared" si="2"/>
        <v>0</v>
      </c>
      <c r="BR147" s="142">
        <f>SUMIF($D$7:$BG$7,"4",$D147:$BG147)</f>
        <v>0</v>
      </c>
      <c r="BS147" s="140">
        <f>SUMIFS($D$9:$BG$9,$D$7:$BG$7,"4",$D147:$BG147,"&gt;"&amp;-1)</f>
        <v>0</v>
      </c>
      <c r="BT147" s="141">
        <f t="shared" si="3"/>
        <v>0</v>
      </c>
      <c r="BU147" s="142">
        <f>SUMIF($D$7:$BG$7,"5",$D147:$BG147)</f>
        <v>0</v>
      </c>
      <c r="BV147" s="140">
        <f>SUMIFS($D$9:$BG$9,$D$7:$BG$7,"5",$D147:$BG147,"&gt;"&amp;-1)</f>
        <v>0</v>
      </c>
      <c r="BW147" s="141">
        <f t="shared" si="4"/>
        <v>0</v>
      </c>
      <c r="BX147" s="142">
        <f>SUMIF($D$7:$BG$7,"6",$D147:$BG147)</f>
        <v>0</v>
      </c>
      <c r="BY147" s="140">
        <f>SUMIFS($D$9:$BG$9,$D$7:$BG$7,"6",$D147:$BG147,"&gt;"&amp;-1)</f>
        <v>0</v>
      </c>
      <c r="BZ147" s="141">
        <f t="shared" si="5"/>
        <v>0</v>
      </c>
    </row>
    <row r="148" ht="15.75" customHeight="1" spans="1:78" x14ac:dyDescent="0.25">
      <c r="A148" s="1"/>
      <c r="B148" s="1"/>
      <c r="C148" s="168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4"/>
      <c r="AB148" s="164"/>
      <c r="AC148" s="169"/>
      <c r="AD148" s="169"/>
      <c r="AE148" s="164"/>
      <c r="AF148" s="164"/>
      <c r="AG148" s="169"/>
      <c r="AH148" s="169"/>
      <c r="AI148" s="169"/>
      <c r="AJ148" s="169"/>
      <c r="AK148" s="169"/>
      <c r="AL148" s="170"/>
      <c r="AM148" s="170"/>
      <c r="AN148" s="170"/>
      <c r="AO148" s="170"/>
      <c r="AP148" s="170"/>
      <c r="AQ148" s="170"/>
      <c r="AR148" s="170"/>
      <c r="AS148" s="170"/>
      <c r="AT148" s="170"/>
      <c r="AU148" s="164"/>
      <c r="AV148" s="164"/>
      <c r="AW148" s="170"/>
      <c r="AX148" s="170"/>
      <c r="AY148" s="170"/>
      <c r="AZ148" s="170"/>
      <c r="BA148" s="165"/>
      <c r="BB148" s="165"/>
      <c r="BC148" s="165"/>
      <c r="BD148" s="165"/>
      <c r="BE148" s="165"/>
      <c r="BF148" s="166"/>
      <c r="BG148" s="167"/>
      <c r="BH148" s="46"/>
      <c r="BI148" s="153">
        <f>SUMIF($D$7:$BG$7,"1",$D148:$BG148)</f>
        <v>0</v>
      </c>
      <c r="BJ148" s="140">
        <f>SUMIFS($D$9:$BG$9,$D$7:$BG$7,"1",$D148:$BG148,"&gt;"&amp;-1)</f>
        <v>0</v>
      </c>
      <c r="BK148" s="141">
        <f t="shared" si="0"/>
        <v>0</v>
      </c>
      <c r="BL148" s="142">
        <f>SUMIF($D$7:$BG$7,"2",$D148:$BG148)</f>
        <v>0</v>
      </c>
      <c r="BM148" s="140">
        <f>SUMIFS($D$9:$BG$9,$D$7:$BG$7,"2",$D148:$BG148,"&gt;"&amp;-1)</f>
        <v>0</v>
      </c>
      <c r="BN148" s="141">
        <f t="shared" si="1"/>
        <v>0</v>
      </c>
      <c r="BO148" s="142">
        <f>SUMIF($D$7:$BG$7,"3",$D148:$BG148)</f>
        <v>0</v>
      </c>
      <c r="BP148" s="140">
        <f>SUMIFS($D$9:$BG$9,$D$7:$BG$7,"3",$D148:$BG148,"&gt;"&amp;-1)</f>
        <v>0</v>
      </c>
      <c r="BQ148" s="141">
        <f t="shared" si="2"/>
        <v>0</v>
      </c>
      <c r="BR148" s="142">
        <f>SUMIF($D$7:$BG$7,"4",$D148:$BG148)</f>
        <v>0</v>
      </c>
      <c r="BS148" s="140">
        <f>SUMIFS($D$9:$BG$9,$D$7:$BG$7,"4",$D148:$BG148,"&gt;"&amp;-1)</f>
        <v>0</v>
      </c>
      <c r="BT148" s="141">
        <f t="shared" si="3"/>
        <v>0</v>
      </c>
      <c r="BU148" s="142">
        <f>SUMIF($D$7:$BG$7,"5",$D148:$BG148)</f>
        <v>0</v>
      </c>
      <c r="BV148" s="140">
        <f>SUMIFS($D$9:$BG$9,$D$7:$BG$7,"5",$D148:$BG148,"&gt;"&amp;-1)</f>
        <v>0</v>
      </c>
      <c r="BW148" s="141">
        <f t="shared" si="4"/>
        <v>0</v>
      </c>
      <c r="BX148" s="142">
        <f>SUMIF($D$7:$BG$7,"6",$D148:$BG148)</f>
        <v>0</v>
      </c>
      <c r="BY148" s="140">
        <f>SUMIFS($D$9:$BG$9,$D$7:$BG$7,"6",$D148:$BG148,"&gt;"&amp;-1)</f>
        <v>0</v>
      </c>
      <c r="BZ148" s="141">
        <f t="shared" si="5"/>
        <v>0</v>
      </c>
    </row>
    <row r="149" ht="15.75" customHeight="1" spans="1:78" x14ac:dyDescent="0.25">
      <c r="A149" s="1"/>
      <c r="B149" s="1"/>
      <c r="C149" s="168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4"/>
      <c r="AB149" s="164"/>
      <c r="AC149" s="169"/>
      <c r="AD149" s="169"/>
      <c r="AE149" s="164"/>
      <c r="AF149" s="164"/>
      <c r="AG149" s="169"/>
      <c r="AH149" s="169"/>
      <c r="AI149" s="169"/>
      <c r="AJ149" s="169"/>
      <c r="AK149" s="169"/>
      <c r="AL149" s="170"/>
      <c r="AM149" s="170"/>
      <c r="AN149" s="170"/>
      <c r="AO149" s="170"/>
      <c r="AP149" s="170"/>
      <c r="AQ149" s="170"/>
      <c r="AR149" s="170"/>
      <c r="AS149" s="170"/>
      <c r="AT149" s="170"/>
      <c r="AU149" s="164"/>
      <c r="AV149" s="164"/>
      <c r="AW149" s="170"/>
      <c r="AX149" s="170"/>
      <c r="AY149" s="170"/>
      <c r="AZ149" s="170"/>
      <c r="BA149" s="165"/>
      <c r="BB149" s="165"/>
      <c r="BC149" s="165"/>
      <c r="BD149" s="165"/>
      <c r="BE149" s="165"/>
      <c r="BF149" s="166"/>
      <c r="BG149" s="167"/>
      <c r="BH149" s="46"/>
      <c r="BI149" s="153">
        <f>SUMIF($D$7:$BG$7,"1",$D149:$BG149)</f>
        <v>0</v>
      </c>
      <c r="BJ149" s="140">
        <f>SUMIFS($D$9:$BG$9,$D$7:$BG$7,"1",$D149:$BG149,"&gt;"&amp;-1)</f>
        <v>0</v>
      </c>
      <c r="BK149" s="141">
        <f t="shared" si="0"/>
        <v>0</v>
      </c>
      <c r="BL149" s="142">
        <f>SUMIF($D$7:$BG$7,"2",$D149:$BG149)</f>
        <v>0</v>
      </c>
      <c r="BM149" s="140">
        <f>SUMIFS($D$9:$BG$9,$D$7:$BG$7,"2",$D149:$BG149,"&gt;"&amp;-1)</f>
        <v>0</v>
      </c>
      <c r="BN149" s="141">
        <f t="shared" si="1"/>
        <v>0</v>
      </c>
      <c r="BO149" s="142">
        <f>SUMIF($D$7:$BG$7,"3",$D149:$BG149)</f>
        <v>0</v>
      </c>
      <c r="BP149" s="140">
        <f>SUMIFS($D$9:$BG$9,$D$7:$BG$7,"3",$D149:$BG149,"&gt;"&amp;-1)</f>
        <v>0</v>
      </c>
      <c r="BQ149" s="141">
        <f t="shared" si="2"/>
        <v>0</v>
      </c>
      <c r="BR149" s="142">
        <f>SUMIF($D$7:$BG$7,"4",$D149:$BG149)</f>
        <v>0</v>
      </c>
      <c r="BS149" s="140">
        <f>SUMIFS($D$9:$BG$9,$D$7:$BG$7,"4",$D149:$BG149,"&gt;"&amp;-1)</f>
        <v>0</v>
      </c>
      <c r="BT149" s="141">
        <f t="shared" si="3"/>
        <v>0</v>
      </c>
      <c r="BU149" s="142">
        <f>SUMIF($D$7:$BG$7,"5",$D149:$BG149)</f>
        <v>0</v>
      </c>
      <c r="BV149" s="140">
        <f>SUMIFS($D$9:$BG$9,$D$7:$BG$7,"5",$D149:$BG149,"&gt;"&amp;-1)</f>
        <v>0</v>
      </c>
      <c r="BW149" s="141">
        <f t="shared" si="4"/>
        <v>0</v>
      </c>
      <c r="BX149" s="142">
        <f>SUMIF($D$7:$BG$7,"6",$D149:$BG149)</f>
        <v>0</v>
      </c>
      <c r="BY149" s="140">
        <f>SUMIFS($D$9:$BG$9,$D$7:$BG$7,"6",$D149:$BG149,"&gt;"&amp;-1)</f>
        <v>0</v>
      </c>
      <c r="BZ149" s="141">
        <f t="shared" si="5"/>
        <v>0</v>
      </c>
    </row>
    <row r="150" ht="15.75" customHeight="1" spans="1:78" x14ac:dyDescent="0.25">
      <c r="A150" s="1"/>
      <c r="B150" s="1"/>
      <c r="C150" s="168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4"/>
      <c r="AB150" s="164"/>
      <c r="AC150" s="169"/>
      <c r="AD150" s="169"/>
      <c r="AE150" s="164"/>
      <c r="AF150" s="164"/>
      <c r="AG150" s="169"/>
      <c r="AH150" s="169"/>
      <c r="AI150" s="169"/>
      <c r="AJ150" s="169"/>
      <c r="AK150" s="169"/>
      <c r="AL150" s="170"/>
      <c r="AM150" s="170"/>
      <c r="AN150" s="170"/>
      <c r="AO150" s="170"/>
      <c r="AP150" s="170"/>
      <c r="AQ150" s="170"/>
      <c r="AR150" s="170"/>
      <c r="AS150" s="170"/>
      <c r="AT150" s="170"/>
      <c r="AU150" s="164"/>
      <c r="AV150" s="164"/>
      <c r="AW150" s="170"/>
      <c r="AX150" s="170"/>
      <c r="AY150" s="170"/>
      <c r="AZ150" s="170"/>
      <c r="BA150" s="165"/>
      <c r="BB150" s="165"/>
      <c r="BC150" s="165"/>
      <c r="BD150" s="165"/>
      <c r="BE150" s="165"/>
      <c r="BF150" s="166"/>
      <c r="BG150" s="167"/>
      <c r="BH150" s="46"/>
      <c r="BI150" s="153">
        <f>SUMIF($D$7:$BG$7,"1",$D150:$BG150)</f>
        <v>0</v>
      </c>
      <c r="BJ150" s="140">
        <f>SUMIFS($D$9:$BG$9,$D$7:$BG$7,"1",$D150:$BG150,"&gt;"&amp;-1)</f>
        <v>0</v>
      </c>
      <c r="BK150" s="141">
        <f t="shared" si="0"/>
        <v>0</v>
      </c>
      <c r="BL150" s="142">
        <f>SUMIF($D$7:$BG$7,"2",$D150:$BG150)</f>
        <v>0</v>
      </c>
      <c r="BM150" s="140">
        <f>SUMIFS($D$9:$BG$9,$D$7:$BG$7,"2",$D150:$BG150,"&gt;"&amp;-1)</f>
        <v>0</v>
      </c>
      <c r="BN150" s="141">
        <f t="shared" si="1"/>
        <v>0</v>
      </c>
      <c r="BO150" s="142">
        <f>SUMIF($D$7:$BG$7,"3",$D150:$BG150)</f>
        <v>0</v>
      </c>
      <c r="BP150" s="140">
        <f>SUMIFS($D$9:$BG$9,$D$7:$BG$7,"3",$D150:$BG150,"&gt;"&amp;-1)</f>
        <v>0</v>
      </c>
      <c r="BQ150" s="141">
        <f t="shared" si="2"/>
        <v>0</v>
      </c>
      <c r="BR150" s="142">
        <f>SUMIF($D$7:$BG$7,"4",$D150:$BG150)</f>
        <v>0</v>
      </c>
      <c r="BS150" s="140">
        <f>SUMIFS($D$9:$BG$9,$D$7:$BG$7,"4",$D150:$BG150,"&gt;"&amp;-1)</f>
        <v>0</v>
      </c>
      <c r="BT150" s="141">
        <f t="shared" si="3"/>
        <v>0</v>
      </c>
      <c r="BU150" s="142">
        <f>SUMIF($D$7:$BG$7,"5",$D150:$BG150)</f>
        <v>0</v>
      </c>
      <c r="BV150" s="140">
        <f>SUMIFS($D$9:$BG$9,$D$7:$BG$7,"5",$D150:$BG150,"&gt;"&amp;-1)</f>
        <v>0</v>
      </c>
      <c r="BW150" s="141">
        <f t="shared" si="4"/>
        <v>0</v>
      </c>
      <c r="BX150" s="142">
        <f>SUMIF($D$7:$BG$7,"6",$D150:$BG150)</f>
        <v>0</v>
      </c>
      <c r="BY150" s="140">
        <f>SUMIFS($D$9:$BG$9,$D$7:$BG$7,"6",$D150:$BG150,"&gt;"&amp;-1)</f>
        <v>0</v>
      </c>
      <c r="BZ150" s="141">
        <f t="shared" si="5"/>
        <v>0</v>
      </c>
    </row>
    <row r="151" ht="15.75" customHeight="1" spans="1:78" x14ac:dyDescent="0.25">
      <c r="A151" s="1"/>
      <c r="B151" s="1"/>
      <c r="C151" s="168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4"/>
      <c r="AB151" s="164"/>
      <c r="AC151" s="169"/>
      <c r="AD151" s="169"/>
      <c r="AE151" s="164"/>
      <c r="AF151" s="164"/>
      <c r="AG151" s="169"/>
      <c r="AH151" s="169"/>
      <c r="AI151" s="169"/>
      <c r="AJ151" s="169"/>
      <c r="AK151" s="169"/>
      <c r="AL151" s="170"/>
      <c r="AM151" s="170"/>
      <c r="AN151" s="170"/>
      <c r="AO151" s="170"/>
      <c r="AP151" s="170"/>
      <c r="AQ151" s="170"/>
      <c r="AR151" s="170"/>
      <c r="AS151" s="170"/>
      <c r="AT151" s="170"/>
      <c r="AU151" s="164"/>
      <c r="AV151" s="164"/>
      <c r="AW151" s="170"/>
      <c r="AX151" s="170"/>
      <c r="AY151" s="170"/>
      <c r="AZ151" s="170"/>
      <c r="BA151" s="165"/>
      <c r="BB151" s="165"/>
      <c r="BC151" s="165"/>
      <c r="BD151" s="165"/>
      <c r="BE151" s="165"/>
      <c r="BF151" s="166"/>
      <c r="BG151" s="167"/>
      <c r="BH151" s="46"/>
      <c r="BI151" s="153">
        <f>SUMIF($D$7:$BG$7,"1",$D151:$BG151)</f>
        <v>0</v>
      </c>
      <c r="BJ151" s="140">
        <f>SUMIFS($D$9:$BG$9,$D$7:$BG$7,"1",$D151:$BG151,"&gt;"&amp;-1)</f>
        <v>0</v>
      </c>
      <c r="BK151" s="141">
        <f t="shared" si="0"/>
        <v>0</v>
      </c>
      <c r="BL151" s="142">
        <f>SUMIF($D$7:$BG$7,"2",$D151:$BG151)</f>
        <v>0</v>
      </c>
      <c r="BM151" s="140">
        <f>SUMIFS($D$9:$BG$9,$D$7:$BG$7,"2",$D151:$BG151,"&gt;"&amp;-1)</f>
        <v>0</v>
      </c>
      <c r="BN151" s="141">
        <f t="shared" si="1"/>
        <v>0</v>
      </c>
      <c r="BO151" s="142">
        <f>SUMIF($D$7:$BG$7,"3",$D151:$BG151)</f>
        <v>0</v>
      </c>
      <c r="BP151" s="140">
        <f>SUMIFS($D$9:$BG$9,$D$7:$BG$7,"3",$D151:$BG151,"&gt;"&amp;-1)</f>
        <v>0</v>
      </c>
      <c r="BQ151" s="141">
        <f t="shared" si="2"/>
        <v>0</v>
      </c>
      <c r="BR151" s="142">
        <f>SUMIF($D$7:$BG$7,"4",$D151:$BG151)</f>
        <v>0</v>
      </c>
      <c r="BS151" s="140">
        <f>SUMIFS($D$9:$BG$9,$D$7:$BG$7,"4",$D151:$BG151,"&gt;"&amp;-1)</f>
        <v>0</v>
      </c>
      <c r="BT151" s="141">
        <f t="shared" si="3"/>
        <v>0</v>
      </c>
      <c r="BU151" s="142">
        <f>SUMIF($D$7:$BG$7,"5",$D151:$BG151)</f>
        <v>0</v>
      </c>
      <c r="BV151" s="140">
        <f>SUMIFS($D$9:$BG$9,$D$7:$BG$7,"5",$D151:$BG151,"&gt;"&amp;-1)</f>
        <v>0</v>
      </c>
      <c r="BW151" s="141">
        <f t="shared" si="4"/>
        <v>0</v>
      </c>
      <c r="BX151" s="142">
        <f>SUMIF($D$7:$BG$7,"6",$D151:$BG151)</f>
        <v>0</v>
      </c>
      <c r="BY151" s="140">
        <f>SUMIFS($D$9:$BG$9,$D$7:$BG$7,"6",$D151:$BG151,"&gt;"&amp;-1)</f>
        <v>0</v>
      </c>
      <c r="BZ151" s="141">
        <f t="shared" si="5"/>
        <v>0</v>
      </c>
    </row>
    <row r="152" ht="15.75" customHeight="1" spans="1:78" x14ac:dyDescent="0.25">
      <c r="A152" s="1"/>
      <c r="B152" s="1"/>
      <c r="C152" s="168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4"/>
      <c r="AB152" s="164"/>
      <c r="AC152" s="169"/>
      <c r="AD152" s="169"/>
      <c r="AE152" s="164"/>
      <c r="AF152" s="164"/>
      <c r="AG152" s="169"/>
      <c r="AH152" s="169"/>
      <c r="AI152" s="169"/>
      <c r="AJ152" s="169"/>
      <c r="AK152" s="169"/>
      <c r="AL152" s="170"/>
      <c r="AM152" s="170"/>
      <c r="AN152" s="170"/>
      <c r="AO152" s="170"/>
      <c r="AP152" s="170"/>
      <c r="AQ152" s="170"/>
      <c r="AR152" s="170"/>
      <c r="AS152" s="170"/>
      <c r="AT152" s="170"/>
      <c r="AU152" s="164"/>
      <c r="AV152" s="164"/>
      <c r="AW152" s="170"/>
      <c r="AX152" s="170"/>
      <c r="AY152" s="170"/>
      <c r="AZ152" s="170"/>
      <c r="BA152" s="165"/>
      <c r="BB152" s="165"/>
      <c r="BC152" s="165"/>
      <c r="BD152" s="165"/>
      <c r="BE152" s="165"/>
      <c r="BF152" s="166"/>
      <c r="BG152" s="167"/>
      <c r="BH152" s="46"/>
      <c r="BI152" s="153">
        <f>SUMIF($D$7:$BG$7,"1",$D152:$BG152)</f>
        <v>0</v>
      </c>
      <c r="BJ152" s="140">
        <f>SUMIFS($D$9:$BG$9,$D$7:$BG$7,"1",$D152:$BG152,"&gt;"&amp;-1)</f>
        <v>0</v>
      </c>
      <c r="BK152" s="141">
        <f t="shared" si="0"/>
        <v>0</v>
      </c>
      <c r="BL152" s="142">
        <f>SUMIF($D$7:$BG$7,"2",$D152:$BG152)</f>
        <v>0</v>
      </c>
      <c r="BM152" s="140">
        <f>SUMIFS($D$9:$BG$9,$D$7:$BG$7,"2",$D152:$BG152,"&gt;"&amp;-1)</f>
        <v>0</v>
      </c>
      <c r="BN152" s="141">
        <f t="shared" si="1"/>
        <v>0</v>
      </c>
      <c r="BO152" s="142">
        <f>SUMIF($D$7:$BG$7,"3",$D152:$BG152)</f>
        <v>0</v>
      </c>
      <c r="BP152" s="140">
        <f>SUMIFS($D$9:$BG$9,$D$7:$BG$7,"3",$D152:$BG152,"&gt;"&amp;-1)</f>
        <v>0</v>
      </c>
      <c r="BQ152" s="141">
        <f t="shared" si="2"/>
        <v>0</v>
      </c>
      <c r="BR152" s="142">
        <f>SUMIF($D$7:$BG$7,"4",$D152:$BG152)</f>
        <v>0</v>
      </c>
      <c r="BS152" s="140">
        <f>SUMIFS($D$9:$BG$9,$D$7:$BG$7,"4",$D152:$BG152,"&gt;"&amp;-1)</f>
        <v>0</v>
      </c>
      <c r="BT152" s="141">
        <f t="shared" si="3"/>
        <v>0</v>
      </c>
      <c r="BU152" s="142">
        <f>SUMIF($D$7:$BG$7,"5",$D152:$BG152)</f>
        <v>0</v>
      </c>
      <c r="BV152" s="140">
        <f>SUMIFS($D$9:$BG$9,$D$7:$BG$7,"5",$D152:$BG152,"&gt;"&amp;-1)</f>
        <v>0</v>
      </c>
      <c r="BW152" s="141">
        <f t="shared" si="4"/>
        <v>0</v>
      </c>
      <c r="BX152" s="142">
        <f>SUMIF($D$7:$BG$7,"6",$D152:$BG152)</f>
        <v>0</v>
      </c>
      <c r="BY152" s="140">
        <f>SUMIFS($D$9:$BG$9,$D$7:$BG$7,"6",$D152:$BG152,"&gt;"&amp;-1)</f>
        <v>0</v>
      </c>
      <c r="BZ152" s="141">
        <f t="shared" si="5"/>
        <v>0</v>
      </c>
    </row>
    <row r="153" ht="15.75" customHeight="1" spans="1:78" x14ac:dyDescent="0.25">
      <c r="A153" s="1"/>
      <c r="B153" s="1"/>
      <c r="C153" s="168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4"/>
      <c r="AB153" s="164"/>
      <c r="AC153" s="169"/>
      <c r="AD153" s="169"/>
      <c r="AE153" s="164"/>
      <c r="AF153" s="164"/>
      <c r="AG153" s="169"/>
      <c r="AH153" s="169"/>
      <c r="AI153" s="169"/>
      <c r="AJ153" s="169"/>
      <c r="AK153" s="169"/>
      <c r="AL153" s="170"/>
      <c r="AM153" s="170"/>
      <c r="AN153" s="170"/>
      <c r="AO153" s="170"/>
      <c r="AP153" s="170"/>
      <c r="AQ153" s="170"/>
      <c r="AR153" s="170"/>
      <c r="AS153" s="170"/>
      <c r="AT153" s="170"/>
      <c r="AU153" s="164"/>
      <c r="AV153" s="164"/>
      <c r="AW153" s="170"/>
      <c r="AX153" s="170"/>
      <c r="AY153" s="170"/>
      <c r="AZ153" s="170"/>
      <c r="BA153" s="165"/>
      <c r="BB153" s="165"/>
      <c r="BC153" s="165"/>
      <c r="BD153" s="165"/>
      <c r="BE153" s="165"/>
      <c r="BF153" s="166"/>
      <c r="BG153" s="167"/>
      <c r="BH153" s="46"/>
      <c r="BI153" s="153">
        <f>SUMIF($D$7:$BG$7,"1",$D153:$BG153)</f>
        <v>0</v>
      </c>
      <c r="BJ153" s="140">
        <f>SUMIFS($D$9:$BG$9,$D$7:$BG$7,"1",$D153:$BG153,"&gt;"&amp;-1)</f>
        <v>0</v>
      </c>
      <c r="BK153" s="141">
        <f t="shared" si="0"/>
        <v>0</v>
      </c>
      <c r="BL153" s="142">
        <f>SUMIF($D$7:$BG$7,"2",$D153:$BG153)</f>
        <v>0</v>
      </c>
      <c r="BM153" s="140">
        <f>SUMIFS($D$9:$BG$9,$D$7:$BG$7,"2",$D153:$BG153,"&gt;"&amp;-1)</f>
        <v>0</v>
      </c>
      <c r="BN153" s="141">
        <f t="shared" si="1"/>
        <v>0</v>
      </c>
      <c r="BO153" s="142">
        <f>SUMIF($D$7:$BG$7,"3",$D153:$BG153)</f>
        <v>0</v>
      </c>
      <c r="BP153" s="140">
        <f>SUMIFS($D$9:$BG$9,$D$7:$BG$7,"3",$D153:$BG153,"&gt;"&amp;-1)</f>
        <v>0</v>
      </c>
      <c r="BQ153" s="141">
        <f t="shared" si="2"/>
        <v>0</v>
      </c>
      <c r="BR153" s="142">
        <f>SUMIF($D$7:$BG$7,"4",$D153:$BG153)</f>
        <v>0</v>
      </c>
      <c r="BS153" s="140">
        <f>SUMIFS($D$9:$BG$9,$D$7:$BG$7,"4",$D153:$BG153,"&gt;"&amp;-1)</f>
        <v>0</v>
      </c>
      <c r="BT153" s="141">
        <f t="shared" si="3"/>
        <v>0</v>
      </c>
      <c r="BU153" s="142">
        <f>SUMIF($D$7:$BG$7,"5",$D153:$BG153)</f>
        <v>0</v>
      </c>
      <c r="BV153" s="140">
        <f>SUMIFS($D$9:$BG$9,$D$7:$BG$7,"5",$D153:$BG153,"&gt;"&amp;-1)</f>
        <v>0</v>
      </c>
      <c r="BW153" s="141">
        <f t="shared" si="4"/>
        <v>0</v>
      </c>
      <c r="BX153" s="142">
        <f>SUMIF($D$7:$BG$7,"6",$D153:$BG153)</f>
        <v>0</v>
      </c>
      <c r="BY153" s="140">
        <f>SUMIFS($D$9:$BG$9,$D$7:$BG$7,"6",$D153:$BG153,"&gt;"&amp;-1)</f>
        <v>0</v>
      </c>
      <c r="BZ153" s="141">
        <f t="shared" si="5"/>
        <v>0</v>
      </c>
    </row>
    <row r="154" ht="15.75" customHeight="1" spans="1:78" x14ac:dyDescent="0.25">
      <c r="A154" s="1"/>
      <c r="B154" s="1"/>
      <c r="C154" s="168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4"/>
      <c r="AB154" s="164"/>
      <c r="AC154" s="169"/>
      <c r="AD154" s="169"/>
      <c r="AE154" s="164"/>
      <c r="AF154" s="164"/>
      <c r="AG154" s="169"/>
      <c r="AH154" s="169"/>
      <c r="AI154" s="169"/>
      <c r="AJ154" s="169"/>
      <c r="AK154" s="169"/>
      <c r="AL154" s="170"/>
      <c r="AM154" s="170"/>
      <c r="AN154" s="170"/>
      <c r="AO154" s="170"/>
      <c r="AP154" s="170"/>
      <c r="AQ154" s="170"/>
      <c r="AR154" s="170"/>
      <c r="AS154" s="170"/>
      <c r="AT154" s="170"/>
      <c r="AU154" s="164"/>
      <c r="AV154" s="164"/>
      <c r="AW154" s="170"/>
      <c r="AX154" s="170"/>
      <c r="AY154" s="170"/>
      <c r="AZ154" s="170"/>
      <c r="BA154" s="165"/>
      <c r="BB154" s="165"/>
      <c r="BC154" s="165"/>
      <c r="BD154" s="165"/>
      <c r="BE154" s="165"/>
      <c r="BF154" s="166"/>
      <c r="BG154" s="167"/>
      <c r="BH154" s="46"/>
      <c r="BI154" s="153">
        <f>SUMIF($D$7:$BG$7,"1",$D154:$BG154)</f>
        <v>0</v>
      </c>
      <c r="BJ154" s="140">
        <f>SUMIFS($D$9:$BG$9,$D$7:$BG$7,"1",$D154:$BG154,"&gt;"&amp;-1)</f>
        <v>0</v>
      </c>
      <c r="BK154" s="141">
        <f t="shared" si="0"/>
        <v>0</v>
      </c>
      <c r="BL154" s="142">
        <f>SUMIF($D$7:$BG$7,"2",$D154:$BG154)</f>
        <v>0</v>
      </c>
      <c r="BM154" s="140">
        <f>SUMIFS($D$9:$BG$9,$D$7:$BG$7,"2",$D154:$BG154,"&gt;"&amp;-1)</f>
        <v>0</v>
      </c>
      <c r="BN154" s="141">
        <f t="shared" si="1"/>
        <v>0</v>
      </c>
      <c r="BO154" s="142">
        <f>SUMIF($D$7:$BG$7,"3",$D154:$BG154)</f>
        <v>0</v>
      </c>
      <c r="BP154" s="140">
        <f>SUMIFS($D$9:$BG$9,$D$7:$BG$7,"3",$D154:$BG154,"&gt;"&amp;-1)</f>
        <v>0</v>
      </c>
      <c r="BQ154" s="141">
        <f t="shared" si="2"/>
        <v>0</v>
      </c>
      <c r="BR154" s="142">
        <f>SUMIF($D$7:$BG$7,"4",$D154:$BG154)</f>
        <v>0</v>
      </c>
      <c r="BS154" s="140">
        <f>SUMIFS($D$9:$BG$9,$D$7:$BG$7,"4",$D154:$BG154,"&gt;"&amp;-1)</f>
        <v>0</v>
      </c>
      <c r="BT154" s="141">
        <f t="shared" si="3"/>
        <v>0</v>
      </c>
      <c r="BU154" s="142">
        <f>SUMIF($D$7:$BG$7,"5",$D154:$BG154)</f>
        <v>0</v>
      </c>
      <c r="BV154" s="140">
        <f>SUMIFS($D$9:$BG$9,$D$7:$BG$7,"5",$D154:$BG154,"&gt;"&amp;-1)</f>
        <v>0</v>
      </c>
      <c r="BW154" s="141">
        <f t="shared" si="4"/>
        <v>0</v>
      </c>
      <c r="BX154" s="142">
        <f>SUMIF($D$7:$BG$7,"6",$D154:$BG154)</f>
        <v>0</v>
      </c>
      <c r="BY154" s="140">
        <f>SUMIFS($D$9:$BG$9,$D$7:$BG$7,"6",$D154:$BG154,"&gt;"&amp;-1)</f>
        <v>0</v>
      </c>
      <c r="BZ154" s="141">
        <f t="shared" si="5"/>
        <v>0</v>
      </c>
    </row>
    <row r="155" ht="15.75" customHeight="1" spans="1:78" x14ac:dyDescent="0.25">
      <c r="A155" s="1"/>
      <c r="B155" s="1"/>
      <c r="C155" s="168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4"/>
      <c r="AB155" s="164"/>
      <c r="AC155" s="169"/>
      <c r="AD155" s="169"/>
      <c r="AE155" s="164"/>
      <c r="AF155" s="164"/>
      <c r="AG155" s="169"/>
      <c r="AH155" s="169"/>
      <c r="AI155" s="169"/>
      <c r="AJ155" s="169"/>
      <c r="AK155" s="169"/>
      <c r="AL155" s="170"/>
      <c r="AM155" s="170"/>
      <c r="AN155" s="170"/>
      <c r="AO155" s="170"/>
      <c r="AP155" s="170"/>
      <c r="AQ155" s="170"/>
      <c r="AR155" s="170"/>
      <c r="AS155" s="170"/>
      <c r="AT155" s="170"/>
      <c r="AU155" s="164"/>
      <c r="AV155" s="164"/>
      <c r="AW155" s="170"/>
      <c r="AX155" s="170"/>
      <c r="AY155" s="170"/>
      <c r="AZ155" s="170"/>
      <c r="BA155" s="165"/>
      <c r="BB155" s="165"/>
      <c r="BC155" s="165"/>
      <c r="BD155" s="165"/>
      <c r="BE155" s="165"/>
      <c r="BF155" s="166"/>
      <c r="BG155" s="167"/>
      <c r="BH155" s="46"/>
      <c r="BI155" s="153">
        <f>SUMIF($D$7:$BG$7,"1",$D155:$BG155)</f>
        <v>0</v>
      </c>
      <c r="BJ155" s="140">
        <f>SUMIFS($D$9:$BG$9,$D$7:$BG$7,"1",$D155:$BG155,"&gt;"&amp;-1)</f>
        <v>0</v>
      </c>
      <c r="BK155" s="141">
        <f t="shared" si="0"/>
        <v>0</v>
      </c>
      <c r="BL155" s="142">
        <f>SUMIF($D$7:$BG$7,"2",$D155:$BG155)</f>
        <v>0</v>
      </c>
      <c r="BM155" s="140">
        <f>SUMIFS($D$9:$BG$9,$D$7:$BG$7,"2",$D155:$BG155,"&gt;"&amp;-1)</f>
        <v>0</v>
      </c>
      <c r="BN155" s="141">
        <f t="shared" si="1"/>
        <v>0</v>
      </c>
      <c r="BO155" s="142">
        <f>SUMIF($D$7:$BG$7,"3",$D155:$BG155)</f>
        <v>0</v>
      </c>
      <c r="BP155" s="140">
        <f>SUMIFS($D$9:$BG$9,$D$7:$BG$7,"3",$D155:$BG155,"&gt;"&amp;-1)</f>
        <v>0</v>
      </c>
      <c r="BQ155" s="141">
        <f t="shared" si="2"/>
        <v>0</v>
      </c>
      <c r="BR155" s="142">
        <f>SUMIF($D$7:$BG$7,"4",$D155:$BG155)</f>
        <v>0</v>
      </c>
      <c r="BS155" s="140">
        <f>SUMIFS($D$9:$BG$9,$D$7:$BG$7,"4",$D155:$BG155,"&gt;"&amp;-1)</f>
        <v>0</v>
      </c>
      <c r="BT155" s="141">
        <f t="shared" si="3"/>
        <v>0</v>
      </c>
      <c r="BU155" s="142">
        <f>SUMIF($D$7:$BG$7,"5",$D155:$BG155)</f>
        <v>0</v>
      </c>
      <c r="BV155" s="140">
        <f>SUMIFS($D$9:$BG$9,$D$7:$BG$7,"5",$D155:$BG155,"&gt;"&amp;-1)</f>
        <v>0</v>
      </c>
      <c r="BW155" s="141">
        <f t="shared" si="4"/>
        <v>0</v>
      </c>
      <c r="BX155" s="142">
        <f>SUMIF($D$7:$BG$7,"6",$D155:$BG155)</f>
        <v>0</v>
      </c>
      <c r="BY155" s="140">
        <f>SUMIFS($D$9:$BG$9,$D$7:$BG$7,"6",$D155:$BG155,"&gt;"&amp;-1)</f>
        <v>0</v>
      </c>
      <c r="BZ155" s="141">
        <f t="shared" si="5"/>
        <v>0</v>
      </c>
    </row>
    <row r="156" ht="15.75" customHeight="1" spans="1:78" x14ac:dyDescent="0.25">
      <c r="A156" s="1"/>
      <c r="B156" s="1"/>
      <c r="C156" s="168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4"/>
      <c r="AB156" s="164"/>
      <c r="AC156" s="169"/>
      <c r="AD156" s="169"/>
      <c r="AE156" s="164"/>
      <c r="AF156" s="164"/>
      <c r="AG156" s="169"/>
      <c r="AH156" s="169"/>
      <c r="AI156" s="169"/>
      <c r="AJ156" s="169"/>
      <c r="AK156" s="169"/>
      <c r="AL156" s="170"/>
      <c r="AM156" s="170"/>
      <c r="AN156" s="170"/>
      <c r="AO156" s="170"/>
      <c r="AP156" s="170"/>
      <c r="AQ156" s="170"/>
      <c r="AR156" s="170"/>
      <c r="AS156" s="170"/>
      <c r="AT156" s="170"/>
      <c r="AU156" s="164"/>
      <c r="AV156" s="164"/>
      <c r="AW156" s="170"/>
      <c r="AX156" s="170"/>
      <c r="AY156" s="170"/>
      <c r="AZ156" s="170"/>
      <c r="BA156" s="165"/>
      <c r="BB156" s="165"/>
      <c r="BC156" s="165"/>
      <c r="BD156" s="165"/>
      <c r="BE156" s="165"/>
      <c r="BF156" s="166"/>
      <c r="BG156" s="167"/>
      <c r="BH156" s="46"/>
      <c r="BI156" s="153">
        <f>SUMIF($D$7:$BG$7,"1",$D156:$BG156)</f>
        <v>0</v>
      </c>
      <c r="BJ156" s="140">
        <f>SUMIFS($D$9:$BG$9,$D$7:$BG$7,"1",$D156:$BG156,"&gt;"&amp;-1)</f>
        <v>0</v>
      </c>
      <c r="BK156" s="141">
        <f t="shared" si="0"/>
        <v>0</v>
      </c>
      <c r="BL156" s="142">
        <f>SUMIF($D$7:$BG$7,"2",$D156:$BG156)</f>
        <v>0</v>
      </c>
      <c r="BM156" s="140">
        <f>SUMIFS($D$9:$BG$9,$D$7:$BG$7,"2",$D156:$BG156,"&gt;"&amp;-1)</f>
        <v>0</v>
      </c>
      <c r="BN156" s="141">
        <f t="shared" si="1"/>
        <v>0</v>
      </c>
      <c r="BO156" s="142">
        <f>SUMIF($D$7:$BG$7,"3",$D156:$BG156)</f>
        <v>0</v>
      </c>
      <c r="BP156" s="140">
        <f>SUMIFS($D$9:$BG$9,$D$7:$BG$7,"3",$D156:$BG156,"&gt;"&amp;-1)</f>
        <v>0</v>
      </c>
      <c r="BQ156" s="141">
        <f t="shared" si="2"/>
        <v>0</v>
      </c>
      <c r="BR156" s="142">
        <f>SUMIF($D$7:$BG$7,"4",$D156:$BG156)</f>
        <v>0</v>
      </c>
      <c r="BS156" s="140">
        <f>SUMIFS($D$9:$BG$9,$D$7:$BG$7,"4",$D156:$BG156,"&gt;"&amp;-1)</f>
        <v>0</v>
      </c>
      <c r="BT156" s="141">
        <f t="shared" si="3"/>
        <v>0</v>
      </c>
      <c r="BU156" s="142">
        <f>SUMIF($D$7:$BG$7,"5",$D156:$BG156)</f>
        <v>0</v>
      </c>
      <c r="BV156" s="140">
        <f>SUMIFS($D$9:$BG$9,$D$7:$BG$7,"5",$D156:$BG156,"&gt;"&amp;-1)</f>
        <v>0</v>
      </c>
      <c r="BW156" s="141">
        <f t="shared" si="4"/>
        <v>0</v>
      </c>
      <c r="BX156" s="142">
        <f>SUMIF($D$7:$BG$7,"6",$D156:$BG156)</f>
        <v>0</v>
      </c>
      <c r="BY156" s="140">
        <f>SUMIFS($D$9:$BG$9,$D$7:$BG$7,"6",$D156:$BG156,"&gt;"&amp;-1)</f>
        <v>0</v>
      </c>
      <c r="BZ156" s="141">
        <f t="shared" si="5"/>
        <v>0</v>
      </c>
    </row>
    <row r="157" ht="15.75" customHeight="1" spans="1:78" x14ac:dyDescent="0.25">
      <c r="A157" s="1"/>
      <c r="B157" s="1"/>
      <c r="C157" s="168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4"/>
      <c r="AB157" s="164"/>
      <c r="AC157" s="169"/>
      <c r="AD157" s="169"/>
      <c r="AE157" s="164"/>
      <c r="AF157" s="164"/>
      <c r="AG157" s="169"/>
      <c r="AH157" s="169"/>
      <c r="AI157" s="169"/>
      <c r="AJ157" s="169"/>
      <c r="AK157" s="169"/>
      <c r="AL157" s="170"/>
      <c r="AM157" s="170"/>
      <c r="AN157" s="170"/>
      <c r="AO157" s="170"/>
      <c r="AP157" s="170"/>
      <c r="AQ157" s="170"/>
      <c r="AR157" s="170"/>
      <c r="AS157" s="170"/>
      <c r="AT157" s="170"/>
      <c r="AU157" s="164"/>
      <c r="AV157" s="164"/>
      <c r="AW157" s="170"/>
      <c r="AX157" s="170"/>
      <c r="AY157" s="170"/>
      <c r="AZ157" s="170"/>
      <c r="BA157" s="165"/>
      <c r="BB157" s="165"/>
      <c r="BC157" s="165"/>
      <c r="BD157" s="165"/>
      <c r="BE157" s="165"/>
      <c r="BF157" s="166"/>
      <c r="BG157" s="167"/>
      <c r="BH157" s="46"/>
      <c r="BI157" s="153">
        <f>SUMIF($D$7:$BG$7,"1",$D157:$BG157)</f>
        <v>0</v>
      </c>
      <c r="BJ157" s="140">
        <f>SUMIFS($D$9:$BG$9,$D$7:$BG$7,"1",$D157:$BG157,"&gt;"&amp;-1)</f>
        <v>0</v>
      </c>
      <c r="BK157" s="141">
        <f t="shared" si="0"/>
        <v>0</v>
      </c>
      <c r="BL157" s="142">
        <f>SUMIF($D$7:$BG$7,"2",$D157:$BG157)</f>
        <v>0</v>
      </c>
      <c r="BM157" s="140">
        <f>SUMIFS($D$9:$BG$9,$D$7:$BG$7,"2",$D157:$BG157,"&gt;"&amp;-1)</f>
        <v>0</v>
      </c>
      <c r="BN157" s="141">
        <f t="shared" si="1"/>
        <v>0</v>
      </c>
      <c r="BO157" s="142">
        <f>SUMIF($D$7:$BG$7,"3",$D157:$BG157)</f>
        <v>0</v>
      </c>
      <c r="BP157" s="140">
        <f>SUMIFS($D$9:$BG$9,$D$7:$BG$7,"3",$D157:$BG157,"&gt;"&amp;-1)</f>
        <v>0</v>
      </c>
      <c r="BQ157" s="141">
        <f t="shared" si="2"/>
        <v>0</v>
      </c>
      <c r="BR157" s="142">
        <f>SUMIF($D$7:$BG$7,"4",$D157:$BG157)</f>
        <v>0</v>
      </c>
      <c r="BS157" s="140">
        <f>SUMIFS($D$9:$BG$9,$D$7:$BG$7,"4",$D157:$BG157,"&gt;"&amp;-1)</f>
        <v>0</v>
      </c>
      <c r="BT157" s="141">
        <f t="shared" si="3"/>
        <v>0</v>
      </c>
      <c r="BU157" s="142">
        <f>SUMIF($D$7:$BG$7,"5",$D157:$BG157)</f>
        <v>0</v>
      </c>
      <c r="BV157" s="140">
        <f>SUMIFS($D$9:$BG$9,$D$7:$BG$7,"5",$D157:$BG157,"&gt;"&amp;-1)</f>
        <v>0</v>
      </c>
      <c r="BW157" s="141">
        <f t="shared" si="4"/>
        <v>0</v>
      </c>
      <c r="BX157" s="142">
        <f>SUMIF($D$7:$BG$7,"6",$D157:$BG157)</f>
        <v>0</v>
      </c>
      <c r="BY157" s="140">
        <f>SUMIFS($D$9:$BG$9,$D$7:$BG$7,"6",$D157:$BG157,"&gt;"&amp;-1)</f>
        <v>0</v>
      </c>
      <c r="BZ157" s="141">
        <f t="shared" si="5"/>
        <v>0</v>
      </c>
    </row>
    <row r="158" ht="15.75" customHeight="1" spans="1:78" x14ac:dyDescent="0.25">
      <c r="A158" s="1"/>
      <c r="B158" s="1"/>
      <c r="C158" s="168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4"/>
      <c r="AB158" s="164"/>
      <c r="AC158" s="169"/>
      <c r="AD158" s="169"/>
      <c r="AE158" s="164"/>
      <c r="AF158" s="164"/>
      <c r="AG158" s="169"/>
      <c r="AH158" s="169"/>
      <c r="AI158" s="169"/>
      <c r="AJ158" s="169"/>
      <c r="AK158" s="169"/>
      <c r="AL158" s="170"/>
      <c r="AM158" s="170"/>
      <c r="AN158" s="170"/>
      <c r="AO158" s="170"/>
      <c r="AP158" s="170"/>
      <c r="AQ158" s="170"/>
      <c r="AR158" s="170"/>
      <c r="AS158" s="170"/>
      <c r="AT158" s="170"/>
      <c r="AU158" s="164"/>
      <c r="AV158" s="164"/>
      <c r="AW158" s="170"/>
      <c r="AX158" s="170"/>
      <c r="AY158" s="170"/>
      <c r="AZ158" s="170"/>
      <c r="BA158" s="165"/>
      <c r="BB158" s="165"/>
      <c r="BC158" s="165"/>
      <c r="BD158" s="165"/>
      <c r="BE158" s="165"/>
      <c r="BF158" s="166"/>
      <c r="BG158" s="167"/>
      <c r="BH158" s="46"/>
      <c r="BI158" s="153">
        <f>SUMIF($D$7:$BG$7,"1",$D158:$BG158)</f>
        <v>0</v>
      </c>
      <c r="BJ158" s="140">
        <f>SUMIFS($D$9:$BG$9,$D$7:$BG$7,"1",$D158:$BG158,"&gt;"&amp;-1)</f>
        <v>0</v>
      </c>
      <c r="BK158" s="141">
        <f t="shared" si="0"/>
        <v>0</v>
      </c>
      <c r="BL158" s="142">
        <f>SUMIF($D$7:$BG$7,"2",$D158:$BG158)</f>
        <v>0</v>
      </c>
      <c r="BM158" s="140">
        <f>SUMIFS($D$9:$BG$9,$D$7:$BG$7,"2",$D158:$BG158,"&gt;"&amp;-1)</f>
        <v>0</v>
      </c>
      <c r="BN158" s="141">
        <f t="shared" si="1"/>
        <v>0</v>
      </c>
      <c r="BO158" s="142">
        <f>SUMIF($D$7:$BG$7,"3",$D158:$BG158)</f>
        <v>0</v>
      </c>
      <c r="BP158" s="140">
        <f>SUMIFS($D$9:$BG$9,$D$7:$BG$7,"3",$D158:$BG158,"&gt;"&amp;-1)</f>
        <v>0</v>
      </c>
      <c r="BQ158" s="141">
        <f t="shared" si="2"/>
        <v>0</v>
      </c>
      <c r="BR158" s="142">
        <f>SUMIF($D$7:$BG$7,"4",$D158:$BG158)</f>
        <v>0</v>
      </c>
      <c r="BS158" s="140">
        <f>SUMIFS($D$9:$BG$9,$D$7:$BG$7,"4",$D158:$BG158,"&gt;"&amp;-1)</f>
        <v>0</v>
      </c>
      <c r="BT158" s="141">
        <f t="shared" si="3"/>
        <v>0</v>
      </c>
      <c r="BU158" s="142">
        <f>SUMIF($D$7:$BG$7,"5",$D158:$BG158)</f>
        <v>0</v>
      </c>
      <c r="BV158" s="140">
        <f>SUMIFS($D$9:$BG$9,$D$7:$BG$7,"5",$D158:$BG158,"&gt;"&amp;-1)</f>
        <v>0</v>
      </c>
      <c r="BW158" s="141">
        <f t="shared" si="4"/>
        <v>0</v>
      </c>
      <c r="BX158" s="142">
        <f>SUMIF($D$7:$BG$7,"6",$D158:$BG158)</f>
        <v>0</v>
      </c>
      <c r="BY158" s="140">
        <f>SUMIFS($D$9:$BG$9,$D$7:$BG$7,"6",$D158:$BG158,"&gt;"&amp;-1)</f>
        <v>0</v>
      </c>
      <c r="BZ158" s="141">
        <f t="shared" si="5"/>
        <v>0</v>
      </c>
    </row>
    <row r="159" ht="15.75" customHeight="1" spans="1:78" x14ac:dyDescent="0.25">
      <c r="A159" s="1"/>
      <c r="B159" s="1"/>
      <c r="C159" s="168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4"/>
      <c r="AB159" s="164"/>
      <c r="AC159" s="169"/>
      <c r="AD159" s="169"/>
      <c r="AE159" s="164"/>
      <c r="AF159" s="164"/>
      <c r="AG159" s="169"/>
      <c r="AH159" s="169"/>
      <c r="AI159" s="169"/>
      <c r="AJ159" s="169"/>
      <c r="AK159" s="169"/>
      <c r="AL159" s="170"/>
      <c r="AM159" s="170"/>
      <c r="AN159" s="170"/>
      <c r="AO159" s="170"/>
      <c r="AP159" s="170"/>
      <c r="AQ159" s="170"/>
      <c r="AR159" s="170"/>
      <c r="AS159" s="170"/>
      <c r="AT159" s="170"/>
      <c r="AU159" s="164"/>
      <c r="AV159" s="164"/>
      <c r="AW159" s="170"/>
      <c r="AX159" s="170"/>
      <c r="AY159" s="170"/>
      <c r="AZ159" s="170"/>
      <c r="BA159" s="165"/>
      <c r="BB159" s="165"/>
      <c r="BC159" s="165"/>
      <c r="BD159" s="165"/>
      <c r="BE159" s="165"/>
      <c r="BF159" s="166"/>
      <c r="BG159" s="167"/>
      <c r="BH159" s="46"/>
      <c r="BI159" s="153">
        <f>SUMIF($D$7:$BG$7,"1",$D159:$BG159)</f>
        <v>0</v>
      </c>
      <c r="BJ159" s="140">
        <f>SUMIFS($D$9:$BG$9,$D$7:$BG$7,"1",$D159:$BG159,"&gt;"&amp;-1)</f>
        <v>0</v>
      </c>
      <c r="BK159" s="141">
        <f t="shared" si="0"/>
        <v>0</v>
      </c>
      <c r="BL159" s="142">
        <f>SUMIF($D$7:$BG$7,"2",$D159:$BG159)</f>
        <v>0</v>
      </c>
      <c r="BM159" s="140">
        <f>SUMIFS($D$9:$BG$9,$D$7:$BG$7,"2",$D159:$BG159,"&gt;"&amp;-1)</f>
        <v>0</v>
      </c>
      <c r="BN159" s="141">
        <f t="shared" si="1"/>
        <v>0</v>
      </c>
      <c r="BO159" s="142">
        <f>SUMIF($D$7:$BG$7,"3",$D159:$BG159)</f>
        <v>0</v>
      </c>
      <c r="BP159" s="140">
        <f>SUMIFS($D$9:$BG$9,$D$7:$BG$7,"3",$D159:$BG159,"&gt;"&amp;-1)</f>
        <v>0</v>
      </c>
      <c r="BQ159" s="141">
        <f t="shared" si="2"/>
        <v>0</v>
      </c>
      <c r="BR159" s="142">
        <f>SUMIF($D$7:$BG$7,"4",$D159:$BG159)</f>
        <v>0</v>
      </c>
      <c r="BS159" s="140">
        <f>SUMIFS($D$9:$BG$9,$D$7:$BG$7,"4",$D159:$BG159,"&gt;"&amp;-1)</f>
        <v>0</v>
      </c>
      <c r="BT159" s="141">
        <f t="shared" si="3"/>
        <v>0</v>
      </c>
      <c r="BU159" s="142">
        <f>SUMIF($D$7:$BG$7,"5",$D159:$BG159)</f>
        <v>0</v>
      </c>
      <c r="BV159" s="140">
        <f>SUMIFS($D$9:$BG$9,$D$7:$BG$7,"5",$D159:$BG159,"&gt;"&amp;-1)</f>
        <v>0</v>
      </c>
      <c r="BW159" s="141">
        <f t="shared" si="4"/>
        <v>0</v>
      </c>
      <c r="BX159" s="142">
        <f>SUMIF($D$7:$BG$7,"6",$D159:$BG159)</f>
        <v>0</v>
      </c>
      <c r="BY159" s="140">
        <f>SUMIFS($D$9:$BG$9,$D$7:$BG$7,"6",$D159:$BG159,"&gt;"&amp;-1)</f>
        <v>0</v>
      </c>
      <c r="BZ159" s="141">
        <f t="shared" si="5"/>
        <v>0</v>
      </c>
    </row>
    <row r="160" ht="15.75" customHeight="1" spans="1:7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64"/>
      <c r="AB160" s="164"/>
      <c r="AC160" s="1"/>
      <c r="AD160" s="1"/>
      <c r="AE160" s="164"/>
      <c r="AF160" s="164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64"/>
      <c r="AV160" s="164"/>
      <c r="AW160" s="1"/>
      <c r="AX160" s="1"/>
      <c r="AY160" s="1"/>
      <c r="AZ160" s="1"/>
      <c r="BA160" s="165"/>
      <c r="BB160" s="165"/>
      <c r="BC160" s="165"/>
      <c r="BD160" s="165"/>
      <c r="BE160" s="165"/>
      <c r="BF160" s="166"/>
      <c r="BG160" s="167"/>
      <c r="BH160" s="46"/>
      <c r="BI160" s="153">
        <f>SUMIF($D$7:$BG$7,"1",$D160:$BG160)</f>
        <v>0</v>
      </c>
      <c r="BJ160" s="140">
        <f>SUMIFS($D$9:$BG$9,$D$7:$BG$7,"1",$D160:$BG160,"&gt;"&amp;-1)</f>
        <v>0</v>
      </c>
      <c r="BK160" s="141">
        <f t="shared" si="0"/>
        <v>0</v>
      </c>
      <c r="BL160" s="142">
        <f>SUMIF($D$7:$BG$7,"2",$D160:$BG160)</f>
        <v>0</v>
      </c>
      <c r="BM160" s="140">
        <f>SUMIFS($D$9:$BG$9,$D$7:$BG$7,"2",$D160:$BG160,"&gt;"&amp;-1)</f>
        <v>0</v>
      </c>
      <c r="BN160" s="141">
        <f t="shared" si="1"/>
        <v>0</v>
      </c>
      <c r="BO160" s="142">
        <f>SUMIF($D$7:$BG$7,"3",$D160:$BG160)</f>
        <v>0</v>
      </c>
      <c r="BP160" s="140">
        <f>SUMIFS($D$9:$BG$9,$D$7:$BG$7,"3",$D160:$BG160,"&gt;"&amp;-1)</f>
        <v>0</v>
      </c>
      <c r="BQ160" s="141">
        <f t="shared" si="2"/>
        <v>0</v>
      </c>
      <c r="BR160" s="142">
        <f>SUMIF($D$7:$BG$7,"4",$D160:$BG160)</f>
        <v>0</v>
      </c>
      <c r="BS160" s="140">
        <f>SUMIFS($D$9:$BG$9,$D$7:$BG$7,"4",$D160:$BG160,"&gt;"&amp;-1)</f>
        <v>0</v>
      </c>
      <c r="BT160" s="141">
        <f t="shared" si="3"/>
        <v>0</v>
      </c>
      <c r="BU160" s="142">
        <f>SUMIF($D$7:$BG$7,"5",$D160:$BG160)</f>
        <v>0</v>
      </c>
      <c r="BV160" s="140">
        <f>SUMIFS($D$9:$BG$9,$D$7:$BG$7,"5",$D160:$BG160,"&gt;"&amp;-1)</f>
        <v>0</v>
      </c>
      <c r="BW160" s="141">
        <f t="shared" si="4"/>
        <v>0</v>
      </c>
      <c r="BX160" s="142">
        <f>SUMIF($D$7:$BG$7,"6",$D160:$BG160)</f>
        <v>0</v>
      </c>
      <c r="BY160" s="140">
        <f>SUMIFS($D$9:$BG$9,$D$7:$BG$7,"6",$D160:$BG160,"&gt;"&amp;-1)</f>
        <v>0</v>
      </c>
      <c r="BZ160" s="141">
        <f t="shared" si="5"/>
        <v>0</v>
      </c>
    </row>
    <row r="161" ht="15.75" customHeight="1" spans="1:7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64"/>
      <c r="AB161" s="164"/>
      <c r="AC161" s="1"/>
      <c r="AD161" s="1"/>
      <c r="AE161" s="164"/>
      <c r="AF161" s="164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65"/>
      <c r="BB161" s="165"/>
      <c r="BC161" s="165"/>
      <c r="BD161" s="165"/>
      <c r="BE161" s="165"/>
      <c r="BF161" s="166"/>
      <c r="BG161" s="167"/>
      <c r="BH161" s="46"/>
      <c r="BI161" s="153">
        <f>SUMIF($D$7:$BG$7,"1",$D161:$BG161)</f>
        <v>0</v>
      </c>
      <c r="BJ161" s="140">
        <f>SUMIFS($D$9:$BG$9,$D$7:$BG$7,"1",$D161:$BG161,"&gt;"&amp;-1)</f>
        <v>0</v>
      </c>
      <c r="BK161" s="141">
        <f t="shared" si="0"/>
        <v>0</v>
      </c>
      <c r="BL161" s="142">
        <f>SUMIF($D$7:$BG$7,"2",$D161:$BG161)</f>
        <v>0</v>
      </c>
      <c r="BM161" s="140">
        <f>SUMIFS($D$9:$BG$9,$D$7:$BG$7,"2",$D161:$BG161,"&gt;"&amp;-1)</f>
        <v>0</v>
      </c>
      <c r="BN161" s="141">
        <f t="shared" si="1"/>
        <v>0</v>
      </c>
      <c r="BO161" s="142">
        <f>SUMIF($D$7:$BG$7,"3",$D161:$BG161)</f>
        <v>0</v>
      </c>
      <c r="BP161" s="140">
        <f>SUMIFS($D$9:$BG$9,$D$7:$BG$7,"3",$D161:$BG161,"&gt;"&amp;-1)</f>
        <v>0</v>
      </c>
      <c r="BQ161" s="141">
        <f t="shared" si="2"/>
        <v>0</v>
      </c>
      <c r="BR161" s="142">
        <f>SUMIF($D$7:$BG$7,"4",$D161:$BG161)</f>
        <v>0</v>
      </c>
      <c r="BS161" s="140">
        <f>SUMIFS($D$9:$BG$9,$D$7:$BG$7,"4",$D161:$BG161,"&gt;"&amp;-1)</f>
        <v>0</v>
      </c>
      <c r="BT161" s="141">
        <f t="shared" si="3"/>
        <v>0</v>
      </c>
      <c r="BU161" s="142">
        <f>SUMIF($D$7:$BG$7,"5",$D161:$BG161)</f>
        <v>0</v>
      </c>
      <c r="BV161" s="140">
        <f>SUMIFS($D$9:$BG$9,$D$7:$BG$7,"5",$D161:$BG161,"&gt;"&amp;-1)</f>
        <v>0</v>
      </c>
      <c r="BW161" s="141">
        <f t="shared" si="4"/>
        <v>0</v>
      </c>
      <c r="BX161" s="142">
        <f>SUMIF($D$7:$BG$7,"6",$D161:$BG161)</f>
        <v>0</v>
      </c>
      <c r="BY161" s="140">
        <f>SUMIFS($D$9:$BG$9,$D$7:$BG$7,"6",$D161:$BG161,"&gt;"&amp;-1)</f>
        <v>0</v>
      </c>
      <c r="BZ161" s="141">
        <f t="shared" si="5"/>
        <v>0</v>
      </c>
    </row>
    <row r="162" ht="15.75" customHeight="1" spans="1:7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64"/>
      <c r="AB162" s="164"/>
      <c r="AC162" s="1"/>
      <c r="AD162" s="1"/>
      <c r="AE162" s="164"/>
      <c r="AF162" s="164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65"/>
      <c r="BB162" s="165"/>
      <c r="BC162" s="165"/>
      <c r="BD162" s="165"/>
      <c r="BE162" s="165"/>
      <c r="BF162" s="166"/>
      <c r="BG162" s="167"/>
      <c r="BH162" s="46"/>
      <c r="BI162" s="153">
        <f>SUMIF($D$7:$BG$7,"1",$D162:$BG162)</f>
        <v>0</v>
      </c>
      <c r="BJ162" s="140">
        <f>SUMIFS($D$9:$BG$9,$D$7:$BG$7,"1",$D162:$BG162,"&gt;"&amp;-1)</f>
        <v>0</v>
      </c>
      <c r="BK162" s="141">
        <f t="shared" si="0"/>
        <v>0</v>
      </c>
      <c r="BL162" s="142">
        <f>SUMIF($D$7:$BG$7,"2",$D162:$BG162)</f>
        <v>0</v>
      </c>
      <c r="BM162" s="140">
        <f>SUMIFS($D$9:$BG$9,$D$7:$BG$7,"2",$D162:$BG162,"&gt;"&amp;-1)</f>
        <v>0</v>
      </c>
      <c r="BN162" s="141">
        <f t="shared" si="1"/>
        <v>0</v>
      </c>
      <c r="BO162" s="142">
        <f>SUMIF($D$7:$BG$7,"3",$D162:$BG162)</f>
        <v>0</v>
      </c>
      <c r="BP162" s="140">
        <f>SUMIFS($D$9:$BG$9,$D$7:$BG$7,"3",$D162:$BG162,"&gt;"&amp;-1)</f>
        <v>0</v>
      </c>
      <c r="BQ162" s="141">
        <f t="shared" si="2"/>
        <v>0</v>
      </c>
      <c r="BR162" s="142">
        <f>SUMIF($D$7:$BG$7,"4",$D162:$BG162)</f>
        <v>0</v>
      </c>
      <c r="BS162" s="140">
        <f>SUMIFS($D$9:$BG$9,$D$7:$BG$7,"4",$D162:$BG162,"&gt;"&amp;-1)</f>
        <v>0</v>
      </c>
      <c r="BT162" s="141">
        <f t="shared" si="3"/>
        <v>0</v>
      </c>
      <c r="BU162" s="142">
        <f>SUMIF($D$7:$BG$7,"5",$D162:$BG162)</f>
        <v>0</v>
      </c>
      <c r="BV162" s="140">
        <f>SUMIFS($D$9:$BG$9,$D$7:$BG$7,"5",$D162:$BG162,"&gt;"&amp;-1)</f>
        <v>0</v>
      </c>
      <c r="BW162" s="141">
        <f t="shared" si="4"/>
        <v>0</v>
      </c>
      <c r="BX162" s="142">
        <f>SUMIF($D$7:$BG$7,"6",$D162:$BG162)</f>
        <v>0</v>
      </c>
      <c r="BY162" s="140">
        <f>SUMIFS($D$9:$BG$9,$D$7:$BG$7,"6",$D162:$BG162,"&gt;"&amp;-1)</f>
        <v>0</v>
      </c>
      <c r="BZ162" s="141">
        <f t="shared" si="5"/>
        <v>0</v>
      </c>
    </row>
    <row r="163" ht="15.75" customHeight="1" spans="1:7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64"/>
      <c r="AB163" s="164"/>
      <c r="AC163" s="1"/>
      <c r="AD163" s="1"/>
      <c r="AE163" s="164"/>
      <c r="AF163" s="164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65"/>
      <c r="BB163" s="165"/>
      <c r="BC163" s="165"/>
      <c r="BD163" s="165"/>
      <c r="BE163" s="165"/>
      <c r="BF163" s="166"/>
      <c r="BG163" s="167"/>
      <c r="BH163" s="46"/>
      <c r="BI163" s="153">
        <f>SUMIF($D$7:$BG$7,"1",$D163:$BG163)</f>
        <v>0</v>
      </c>
      <c r="BJ163" s="140">
        <f>SUMIFS($D$9:$BG$9,$D$7:$BG$7,"1",$D163:$BG163,"&gt;"&amp;-1)</f>
        <v>0</v>
      </c>
      <c r="BK163" s="141">
        <f t="shared" si="0"/>
        <v>0</v>
      </c>
      <c r="BL163" s="142">
        <f>SUMIF($D$7:$BG$7,"2",$D163:$BG163)</f>
        <v>0</v>
      </c>
      <c r="BM163" s="140">
        <f>SUMIFS($D$9:$BG$9,$D$7:$BG$7,"2",$D163:$BG163,"&gt;"&amp;-1)</f>
        <v>0</v>
      </c>
      <c r="BN163" s="141">
        <f t="shared" si="1"/>
        <v>0</v>
      </c>
      <c r="BO163" s="142">
        <f>SUMIF($D$7:$BG$7,"3",$D163:$BG163)</f>
        <v>0</v>
      </c>
      <c r="BP163" s="140">
        <f>SUMIFS($D$9:$BG$9,$D$7:$BG$7,"3",$D163:$BG163,"&gt;"&amp;-1)</f>
        <v>0</v>
      </c>
      <c r="BQ163" s="141">
        <f t="shared" si="2"/>
        <v>0</v>
      </c>
      <c r="BR163" s="142">
        <f>SUMIF($D$7:$BG$7,"4",$D163:$BG163)</f>
        <v>0</v>
      </c>
      <c r="BS163" s="140">
        <f>SUMIFS($D$9:$BG$9,$D$7:$BG$7,"4",$D163:$BG163,"&gt;"&amp;-1)</f>
        <v>0</v>
      </c>
      <c r="BT163" s="141">
        <f t="shared" si="3"/>
        <v>0</v>
      </c>
      <c r="BU163" s="142">
        <f>SUMIF($D$7:$BG$7,"5",$D163:$BG163)</f>
        <v>0</v>
      </c>
      <c r="BV163" s="140">
        <f>SUMIFS($D$9:$BG$9,$D$7:$BG$7,"5",$D163:$BG163,"&gt;"&amp;-1)</f>
        <v>0</v>
      </c>
      <c r="BW163" s="141">
        <f t="shared" si="4"/>
        <v>0</v>
      </c>
      <c r="BX163" s="142">
        <f>SUMIF($D$7:$BG$7,"6",$D163:$BG163)</f>
        <v>0</v>
      </c>
      <c r="BY163" s="140">
        <f>SUMIFS($D$9:$BG$9,$D$7:$BG$7,"6",$D163:$BG163,"&gt;"&amp;-1)</f>
        <v>0</v>
      </c>
      <c r="BZ163" s="141">
        <f t="shared" si="5"/>
        <v>0</v>
      </c>
    </row>
    <row r="164" ht="15.75" customHeight="1" spans="1:7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64"/>
      <c r="AB164" s="164"/>
      <c r="AC164" s="1"/>
      <c r="AD164" s="1"/>
      <c r="AE164" s="164"/>
      <c r="AF164" s="164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65"/>
      <c r="BB164" s="165"/>
      <c r="BC164" s="165"/>
      <c r="BD164" s="165"/>
      <c r="BE164" s="165"/>
      <c r="BF164" s="166"/>
      <c r="BG164" s="167"/>
      <c r="BH164" s="46"/>
      <c r="BI164" s="153">
        <f>SUMIF($D$7:$BG$7,"1",$D164:$BG164)</f>
        <v>0</v>
      </c>
      <c r="BJ164" s="140">
        <f>SUMIFS($D$9:$BG$9,$D$7:$BG$7,"1",$D164:$BG164,"&gt;"&amp;-1)</f>
        <v>0</v>
      </c>
      <c r="BK164" s="141">
        <f t="shared" si="0"/>
        <v>0</v>
      </c>
      <c r="BL164" s="142">
        <f>SUMIF($D$7:$BG$7,"2",$D164:$BG164)</f>
        <v>0</v>
      </c>
      <c r="BM164" s="140">
        <f>SUMIFS($D$9:$BG$9,$D$7:$BG$7,"2",$D164:$BG164,"&gt;"&amp;-1)</f>
        <v>0</v>
      </c>
      <c r="BN164" s="141">
        <f t="shared" si="1"/>
        <v>0</v>
      </c>
      <c r="BO164" s="142">
        <f>SUMIF($D$7:$BG$7,"3",$D164:$BG164)</f>
        <v>0</v>
      </c>
      <c r="BP164" s="140">
        <f>SUMIFS($D$9:$BG$9,$D$7:$BG$7,"3",$D164:$BG164,"&gt;"&amp;-1)</f>
        <v>0</v>
      </c>
      <c r="BQ164" s="141">
        <f t="shared" si="2"/>
        <v>0</v>
      </c>
      <c r="BR164" s="142">
        <f>SUMIF($D$7:$BG$7,"4",$D164:$BG164)</f>
        <v>0</v>
      </c>
      <c r="BS164" s="140">
        <f>SUMIFS($D$9:$BG$9,$D$7:$BG$7,"4",$D164:$BG164,"&gt;"&amp;-1)</f>
        <v>0</v>
      </c>
      <c r="BT164" s="141">
        <f t="shared" si="3"/>
        <v>0</v>
      </c>
      <c r="BU164" s="142">
        <f>SUMIF($D$7:$BG$7,"5",$D164:$BG164)</f>
        <v>0</v>
      </c>
      <c r="BV164" s="140">
        <f>SUMIFS($D$9:$BG$9,$D$7:$BG$7,"5",$D164:$BG164,"&gt;"&amp;-1)</f>
        <v>0</v>
      </c>
      <c r="BW164" s="141">
        <f t="shared" si="4"/>
        <v>0</v>
      </c>
      <c r="BX164" s="142">
        <f>SUMIF($D$7:$BG$7,"6",$D164:$BG164)</f>
        <v>0</v>
      </c>
      <c r="BY164" s="140">
        <f>SUMIFS($D$9:$BG$9,$D$7:$BG$7,"6",$D164:$BG164,"&gt;"&amp;-1)</f>
        <v>0</v>
      </c>
      <c r="BZ164" s="141">
        <f t="shared" si="5"/>
        <v>0</v>
      </c>
    </row>
    <row r="165" ht="15.75" customHeight="1" spans="1:7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64"/>
      <c r="AB165" s="164"/>
      <c r="AC165" s="1"/>
      <c r="AD165" s="1"/>
      <c r="AE165" s="164"/>
      <c r="AF165" s="164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65"/>
      <c r="BB165" s="165"/>
      <c r="BC165" s="165"/>
      <c r="BD165" s="165"/>
      <c r="BE165" s="165"/>
      <c r="BF165" s="166"/>
      <c r="BG165" s="167"/>
      <c r="BH165" s="46"/>
      <c r="BI165" s="153">
        <f>SUMIF($D$7:$BG$7,"1",$D165:$BG165)</f>
        <v>0</v>
      </c>
      <c r="BJ165" s="140">
        <f>SUMIFS($D$9:$BG$9,$D$7:$BG$7,"1",$D165:$BG165,"&gt;"&amp;-1)</f>
        <v>0</v>
      </c>
      <c r="BK165" s="141">
        <f t="shared" si="0"/>
        <v>0</v>
      </c>
      <c r="BL165" s="142">
        <f>SUMIF($D$7:$BG$7,"2",$D165:$BG165)</f>
        <v>0</v>
      </c>
      <c r="BM165" s="140">
        <f>SUMIFS($D$9:$BG$9,$D$7:$BG$7,"2",$D165:$BG165,"&gt;"&amp;-1)</f>
        <v>0</v>
      </c>
      <c r="BN165" s="141">
        <f t="shared" si="1"/>
        <v>0</v>
      </c>
      <c r="BO165" s="142">
        <f>SUMIF($D$7:$BG$7,"3",$D165:$BG165)</f>
        <v>0</v>
      </c>
      <c r="BP165" s="140">
        <f>SUMIFS($D$9:$BG$9,$D$7:$BG$7,"3",$D165:$BG165,"&gt;"&amp;-1)</f>
        <v>0</v>
      </c>
      <c r="BQ165" s="141">
        <f t="shared" si="2"/>
        <v>0</v>
      </c>
      <c r="BR165" s="142">
        <f>SUMIF($D$7:$BG$7,"4",$D165:$BG165)</f>
        <v>0</v>
      </c>
      <c r="BS165" s="140">
        <f>SUMIFS($D$9:$BG$9,$D$7:$BG$7,"4",$D165:$BG165,"&gt;"&amp;-1)</f>
        <v>0</v>
      </c>
      <c r="BT165" s="141">
        <f t="shared" si="3"/>
        <v>0</v>
      </c>
      <c r="BU165" s="142">
        <f>SUMIF($D$7:$BG$7,"5",$D165:$BG165)</f>
        <v>0</v>
      </c>
      <c r="BV165" s="140">
        <f>SUMIFS($D$9:$BG$9,$D$7:$BG$7,"5",$D165:$BG165,"&gt;"&amp;-1)</f>
        <v>0</v>
      </c>
      <c r="BW165" s="141">
        <f t="shared" si="4"/>
        <v>0</v>
      </c>
      <c r="BX165" s="142">
        <f>SUMIF($D$7:$BG$7,"6",$D165:$BG165)</f>
        <v>0</v>
      </c>
      <c r="BY165" s="140">
        <f>SUMIFS($D$9:$BG$9,$D$7:$BG$7,"6",$D165:$BG165,"&gt;"&amp;-1)</f>
        <v>0</v>
      </c>
      <c r="BZ165" s="141">
        <f t="shared" si="5"/>
        <v>0</v>
      </c>
    </row>
    <row r="166" ht="15.75" customHeight="1" spans="1:7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64"/>
      <c r="AB166" s="164"/>
      <c r="AC166" s="1"/>
      <c r="AD166" s="1"/>
      <c r="AE166" s="164"/>
      <c r="AF166" s="164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65"/>
      <c r="BB166" s="165"/>
      <c r="BC166" s="165"/>
      <c r="BD166" s="165"/>
      <c r="BE166" s="165"/>
      <c r="BF166" s="166"/>
      <c r="BG166" s="167"/>
      <c r="BH166" s="46"/>
      <c r="BI166" s="153">
        <f>SUMIF($D$7:$BG$7,"1",$D166:$BG166)</f>
        <v>0</v>
      </c>
      <c r="BJ166" s="140">
        <f>SUMIFS($D$9:$BG$9,$D$7:$BG$7,"1",$D166:$BG166,"&gt;"&amp;-1)</f>
        <v>0</v>
      </c>
      <c r="BK166" s="141">
        <f t="shared" si="0"/>
        <v>0</v>
      </c>
      <c r="BL166" s="142">
        <f>SUMIF($D$7:$BG$7,"2",$D166:$BG166)</f>
        <v>0</v>
      </c>
      <c r="BM166" s="140">
        <f>SUMIFS($D$9:$BG$9,$D$7:$BG$7,"2",$D166:$BG166,"&gt;"&amp;-1)</f>
        <v>0</v>
      </c>
      <c r="BN166" s="141">
        <f t="shared" si="1"/>
        <v>0</v>
      </c>
      <c r="BO166" s="142">
        <f>SUMIF($D$7:$BG$7,"3",$D166:$BG166)</f>
        <v>0</v>
      </c>
      <c r="BP166" s="140">
        <f>SUMIFS($D$9:$BG$9,$D$7:$BG$7,"3",$D166:$BG166,"&gt;"&amp;-1)</f>
        <v>0</v>
      </c>
      <c r="BQ166" s="141">
        <f t="shared" si="2"/>
        <v>0</v>
      </c>
      <c r="BR166" s="142">
        <f>SUMIF($D$7:$BG$7,"4",$D166:$BG166)</f>
        <v>0</v>
      </c>
      <c r="BS166" s="140">
        <f>SUMIFS($D$9:$BG$9,$D$7:$BG$7,"4",$D166:$BG166,"&gt;"&amp;-1)</f>
        <v>0</v>
      </c>
      <c r="BT166" s="141">
        <f t="shared" si="3"/>
        <v>0</v>
      </c>
      <c r="BU166" s="142">
        <f>SUMIF($D$7:$BG$7,"5",$D166:$BG166)</f>
        <v>0</v>
      </c>
      <c r="BV166" s="140">
        <f>SUMIFS($D$9:$BG$9,$D$7:$BG$7,"5",$D166:$BG166,"&gt;"&amp;-1)</f>
        <v>0</v>
      </c>
      <c r="BW166" s="141">
        <f t="shared" si="4"/>
        <v>0</v>
      </c>
      <c r="BX166" s="142">
        <f>SUMIF($D$7:$BG$7,"6",$D166:$BG166)</f>
        <v>0</v>
      </c>
      <c r="BY166" s="140">
        <f>SUMIFS($D$9:$BG$9,$D$7:$BG$7,"6",$D166:$BG166,"&gt;"&amp;-1)</f>
        <v>0</v>
      </c>
      <c r="BZ166" s="141">
        <f t="shared" si="5"/>
        <v>0</v>
      </c>
    </row>
    <row r="167" ht="15.75" customHeight="1" spans="1:7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64"/>
      <c r="AB167" s="164"/>
      <c r="AC167" s="1"/>
      <c r="AD167" s="1"/>
      <c r="AE167" s="164"/>
      <c r="AF167" s="164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65"/>
      <c r="BB167" s="165"/>
      <c r="BC167" s="165"/>
      <c r="BD167" s="165"/>
      <c r="BE167" s="165"/>
      <c r="BF167" s="166"/>
      <c r="BG167" s="167"/>
      <c r="BH167" s="46"/>
      <c r="BI167" s="153">
        <f>SUMIF($D$7:$BG$7,"1",$D167:$BG167)</f>
        <v>0</v>
      </c>
      <c r="BJ167" s="140">
        <f>SUMIFS($D$9:$BG$9,$D$7:$BG$7,"1",$D167:$BG167,"&gt;"&amp;-1)</f>
        <v>0</v>
      </c>
      <c r="BK167" s="141">
        <f t="shared" si="0"/>
        <v>0</v>
      </c>
      <c r="BL167" s="142">
        <f>SUMIF($D$7:$BG$7,"2",$D167:$BG167)</f>
        <v>0</v>
      </c>
      <c r="BM167" s="140">
        <f>SUMIFS($D$9:$BG$9,$D$7:$BG$7,"2",$D167:$BG167,"&gt;"&amp;-1)</f>
        <v>0</v>
      </c>
      <c r="BN167" s="141">
        <f t="shared" si="1"/>
        <v>0</v>
      </c>
      <c r="BO167" s="142">
        <f>SUMIF($D$7:$BG$7,"3",$D167:$BG167)</f>
        <v>0</v>
      </c>
      <c r="BP167" s="140">
        <f>SUMIFS($D$9:$BG$9,$D$7:$BG$7,"3",$D167:$BG167,"&gt;"&amp;-1)</f>
        <v>0</v>
      </c>
      <c r="BQ167" s="141">
        <f t="shared" si="2"/>
        <v>0</v>
      </c>
      <c r="BR167" s="142">
        <f>SUMIF($D$7:$BG$7,"4",$D167:$BG167)</f>
        <v>0</v>
      </c>
      <c r="BS167" s="140">
        <f>SUMIFS($D$9:$BG$9,$D$7:$BG$7,"4",$D167:$BG167,"&gt;"&amp;-1)</f>
        <v>0</v>
      </c>
      <c r="BT167" s="141">
        <f t="shared" si="3"/>
        <v>0</v>
      </c>
      <c r="BU167" s="142">
        <f>SUMIF($D$7:$BG$7,"5",$D167:$BG167)</f>
        <v>0</v>
      </c>
      <c r="BV167" s="140">
        <f>SUMIFS($D$9:$BG$9,$D$7:$BG$7,"5",$D167:$BG167,"&gt;"&amp;-1)</f>
        <v>0</v>
      </c>
      <c r="BW167" s="141">
        <f t="shared" si="4"/>
        <v>0</v>
      </c>
      <c r="BX167" s="142">
        <f>SUMIF($D$7:$BG$7,"6",$D167:$BG167)</f>
        <v>0</v>
      </c>
      <c r="BY167" s="140">
        <f>SUMIFS($D$9:$BG$9,$D$7:$BG$7,"6",$D167:$BG167,"&gt;"&amp;-1)</f>
        <v>0</v>
      </c>
      <c r="BZ167" s="141">
        <f t="shared" si="5"/>
        <v>0</v>
      </c>
    </row>
    <row r="168" ht="15.75" customHeight="1" spans="1:7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64"/>
      <c r="AB168" s="164"/>
      <c r="AC168" s="1"/>
      <c r="AD168" s="1"/>
      <c r="AE168" s="164"/>
      <c r="AF168" s="164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65"/>
      <c r="BB168" s="165"/>
      <c r="BC168" s="165"/>
      <c r="BD168" s="165"/>
      <c r="BE168" s="165"/>
      <c r="BF168" s="166"/>
      <c r="BG168" s="167"/>
      <c r="BH168" s="46"/>
      <c r="BI168" s="153">
        <f>SUMIF($D$7:$BG$7,"1",$D168:$BG168)</f>
        <v>0</v>
      </c>
      <c r="BJ168" s="140">
        <f>SUMIFS($D$9:$BG$9,$D$7:$BG$7,"1",$D168:$BG168,"&gt;"&amp;-1)</f>
        <v>0</v>
      </c>
      <c r="BK168" s="141">
        <f t="shared" si="0"/>
        <v>0</v>
      </c>
      <c r="BL168" s="142">
        <f>SUMIF($D$7:$BG$7,"2",$D168:$BG168)</f>
        <v>0</v>
      </c>
      <c r="BM168" s="140">
        <f>SUMIFS($D$9:$BG$9,$D$7:$BG$7,"2",$D168:$BG168,"&gt;"&amp;-1)</f>
        <v>0</v>
      </c>
      <c r="BN168" s="141">
        <f t="shared" si="1"/>
        <v>0</v>
      </c>
      <c r="BO168" s="142">
        <f>SUMIF($D$7:$BG$7,"3",$D168:$BG168)</f>
        <v>0</v>
      </c>
      <c r="BP168" s="140">
        <f>SUMIFS($D$9:$BG$9,$D$7:$BG$7,"3",$D168:$BG168,"&gt;"&amp;-1)</f>
        <v>0</v>
      </c>
      <c r="BQ168" s="141">
        <f t="shared" si="2"/>
        <v>0</v>
      </c>
      <c r="BR168" s="142">
        <f>SUMIF($D$7:$BG$7,"4",$D168:$BG168)</f>
        <v>0</v>
      </c>
      <c r="BS168" s="140">
        <f>SUMIFS($D$9:$BG$9,$D$7:$BG$7,"4",$D168:$BG168,"&gt;"&amp;-1)</f>
        <v>0</v>
      </c>
      <c r="BT168" s="141">
        <f t="shared" si="3"/>
        <v>0</v>
      </c>
      <c r="BU168" s="142">
        <f>SUMIF($D$7:$BG$7,"5",$D168:$BG168)</f>
        <v>0</v>
      </c>
      <c r="BV168" s="140">
        <f>SUMIFS($D$9:$BG$9,$D$7:$BG$7,"5",$D168:$BG168,"&gt;"&amp;-1)</f>
        <v>0</v>
      </c>
      <c r="BW168" s="141">
        <f t="shared" si="4"/>
        <v>0</v>
      </c>
      <c r="BX168" s="142">
        <f>SUMIF($D$7:$BG$7,"6",$D168:$BG168)</f>
        <v>0</v>
      </c>
      <c r="BY168" s="140">
        <f>SUMIFS($D$9:$BG$9,$D$7:$BG$7,"6",$D168:$BG168,"&gt;"&amp;-1)</f>
        <v>0</v>
      </c>
      <c r="BZ168" s="141">
        <f t="shared" si="5"/>
        <v>0</v>
      </c>
    </row>
    <row r="169" ht="15.75" customHeight="1" spans="1:7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C169" s="1"/>
      <c r="AD169" s="1"/>
      <c r="AE169" s="164"/>
      <c r="AF169" s="164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65"/>
      <c r="BB169" s="165"/>
      <c r="BC169" s="165"/>
      <c r="BD169" s="165"/>
      <c r="BE169" s="165"/>
      <c r="BF169" s="166"/>
      <c r="BG169" s="167"/>
      <c r="BH169" s="46"/>
      <c r="BI169" s="153">
        <f>SUMIF($D$7:$BG$7,"1",$D169:$BG169)</f>
        <v>0</v>
      </c>
      <c r="BJ169" s="140">
        <f>SUMIFS($D$9:$BG$9,$D$7:$BG$7,"1",$D169:$BG169,"&gt;"&amp;-1)</f>
        <v>0</v>
      </c>
      <c r="BK169" s="141">
        <f t="shared" si="0"/>
        <v>0</v>
      </c>
      <c r="BL169" s="142">
        <f>SUMIF($D$7:$BG$7,"2",$D169:$BG169)</f>
        <v>0</v>
      </c>
      <c r="BM169" s="140">
        <f>SUMIFS($D$9:$BG$9,$D$7:$BG$7,"2",$D169:$BG169,"&gt;"&amp;-1)</f>
        <v>0</v>
      </c>
      <c r="BN169" s="141">
        <f t="shared" si="1"/>
        <v>0</v>
      </c>
      <c r="BO169" s="142">
        <f>SUMIF($D$7:$BG$7,"3",$D169:$BG169)</f>
        <v>0</v>
      </c>
      <c r="BP169" s="140">
        <f>SUMIFS($D$9:$BG$9,$D$7:$BG$7,"3",$D169:$BG169,"&gt;"&amp;-1)</f>
        <v>0</v>
      </c>
      <c r="BQ169" s="141">
        <f t="shared" si="2"/>
        <v>0</v>
      </c>
      <c r="BR169" s="142">
        <f>SUMIF($D$7:$BG$7,"4",$D169:$BG169)</f>
        <v>0</v>
      </c>
      <c r="BS169" s="140">
        <f>SUMIFS($D$9:$BG$9,$D$7:$BG$7,"4",$D169:$BG169,"&gt;"&amp;-1)</f>
        <v>0</v>
      </c>
      <c r="BT169" s="141">
        <f t="shared" si="3"/>
        <v>0</v>
      </c>
      <c r="BU169" s="142">
        <f>SUMIF($D$7:$BG$7,"5",$D169:$BG169)</f>
        <v>0</v>
      </c>
      <c r="BV169" s="140">
        <f>SUMIFS($D$9:$BG$9,$D$7:$BG$7,"5",$D169:$BG169,"&gt;"&amp;-1)</f>
        <v>0</v>
      </c>
      <c r="BW169" s="141">
        <f t="shared" si="4"/>
        <v>0</v>
      </c>
      <c r="BX169" s="142">
        <f>SUMIF($D$7:$BG$7,"6",$D169:$BG169)</f>
        <v>0</v>
      </c>
      <c r="BY169" s="140">
        <f>SUMIFS($D$9:$BG$9,$D$7:$BG$7,"6",$D169:$BG169,"&gt;"&amp;-1)</f>
        <v>0</v>
      </c>
      <c r="BZ169" s="141">
        <f t="shared" si="5"/>
        <v>0</v>
      </c>
    </row>
    <row r="170" ht="15.75" customHeight="1" spans="1:7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C170" s="1"/>
      <c r="AD170" s="1"/>
      <c r="AE170" s="164"/>
      <c r="AF170" s="164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65"/>
      <c r="BB170" s="165"/>
      <c r="BC170" s="165"/>
      <c r="BD170" s="165"/>
      <c r="BE170" s="165"/>
      <c r="BF170" s="166"/>
      <c r="BG170" s="167"/>
      <c r="BH170" s="46"/>
      <c r="BI170" s="153">
        <f>SUMIF($D$7:$BG$7,"1",$D170:$BG170)</f>
        <v>0</v>
      </c>
      <c r="BJ170" s="140">
        <f>SUMIFS($D$9:$BG$9,$D$7:$BG$7,"1",$D170:$BG170,"&gt;"&amp;-1)</f>
        <v>0</v>
      </c>
      <c r="BK170" s="141">
        <f t="shared" si="0"/>
        <v>0</v>
      </c>
      <c r="BL170" s="142">
        <f>SUMIF($D$7:$BG$7,"2",$D170:$BG170)</f>
        <v>0</v>
      </c>
      <c r="BM170" s="140">
        <f>SUMIFS($D$9:$BG$9,$D$7:$BG$7,"2",$D170:$BG170,"&gt;"&amp;-1)</f>
        <v>0</v>
      </c>
      <c r="BN170" s="141">
        <f t="shared" si="1"/>
        <v>0</v>
      </c>
      <c r="BO170" s="142">
        <f>SUMIF($D$7:$BG$7,"3",$D170:$BG170)</f>
        <v>0</v>
      </c>
      <c r="BP170" s="140">
        <f>SUMIFS($D$9:$BG$9,$D$7:$BG$7,"3",$D170:$BG170,"&gt;"&amp;-1)</f>
        <v>0</v>
      </c>
      <c r="BQ170" s="141">
        <f t="shared" si="2"/>
        <v>0</v>
      </c>
      <c r="BR170" s="142">
        <f>SUMIF($D$7:$BG$7,"4",$D170:$BG170)</f>
        <v>0</v>
      </c>
      <c r="BS170" s="140">
        <f>SUMIFS($D$9:$BG$9,$D$7:$BG$7,"4",$D170:$BG170,"&gt;"&amp;-1)</f>
        <v>0</v>
      </c>
      <c r="BT170" s="141">
        <f t="shared" si="3"/>
        <v>0</v>
      </c>
      <c r="BU170" s="142">
        <f>SUMIF($D$7:$BG$7,"5",$D170:$BG170)</f>
        <v>0</v>
      </c>
      <c r="BV170" s="140">
        <f>SUMIFS($D$9:$BG$9,$D$7:$BG$7,"5",$D170:$BG170,"&gt;"&amp;-1)</f>
        <v>0</v>
      </c>
      <c r="BW170" s="141">
        <f t="shared" si="4"/>
        <v>0</v>
      </c>
      <c r="BX170" s="142">
        <f>SUMIF($D$7:$BG$7,"6",$D170:$BG170)</f>
        <v>0</v>
      </c>
      <c r="BY170" s="140">
        <f>SUMIFS($D$9:$BG$9,$D$7:$BG$7,"6",$D170:$BG170,"&gt;"&amp;-1)</f>
        <v>0</v>
      </c>
      <c r="BZ170" s="141">
        <f t="shared" si="5"/>
        <v>0</v>
      </c>
    </row>
    <row r="171" ht="15.75" customHeight="1" spans="1:7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65"/>
      <c r="BB171" s="165"/>
      <c r="BC171" s="165"/>
      <c r="BD171" s="165"/>
      <c r="BE171" s="165"/>
      <c r="BF171" s="166"/>
      <c r="BG171" s="167"/>
      <c r="BH171" s="46"/>
      <c r="BI171" s="153">
        <f>SUMIF($D$7:$BG$7,"1",$D171:$BG171)</f>
        <v>0</v>
      </c>
      <c r="BJ171" s="140">
        <f>SUMIFS($D$9:$BG$9,$D$7:$BG$7,"1",$D171:$BG171,"&gt;"&amp;-1)</f>
        <v>0</v>
      </c>
      <c r="BK171" s="141">
        <f t="shared" si="0"/>
        <v>0</v>
      </c>
      <c r="BL171" s="142">
        <f>SUMIF($D$7:$BG$7,"2",$D171:$BG171)</f>
        <v>0</v>
      </c>
      <c r="BM171" s="140">
        <f>SUMIFS($D$9:$BG$9,$D$7:$BG$7,"2",$D171:$BG171,"&gt;"&amp;-1)</f>
        <v>0</v>
      </c>
      <c r="BN171" s="141">
        <f t="shared" si="1"/>
        <v>0</v>
      </c>
      <c r="BO171" s="142">
        <f>SUMIF($D$7:$BG$7,"3",$D171:$BG171)</f>
        <v>0</v>
      </c>
      <c r="BP171" s="140">
        <f>SUMIFS($D$9:$BG$9,$D$7:$BG$7,"3",$D171:$BG171,"&gt;"&amp;-1)</f>
        <v>0</v>
      </c>
      <c r="BQ171" s="141">
        <f t="shared" si="2"/>
        <v>0</v>
      </c>
      <c r="BR171" s="142">
        <f>SUMIF($D$7:$BG$7,"4",$D171:$BG171)</f>
        <v>0</v>
      </c>
      <c r="BS171" s="140">
        <f>SUMIFS($D$9:$BG$9,$D$7:$BG$7,"4",$D171:$BG171,"&gt;"&amp;-1)</f>
        <v>0</v>
      </c>
      <c r="BT171" s="141">
        <f t="shared" si="3"/>
        <v>0</v>
      </c>
      <c r="BU171" s="142">
        <f>SUMIF($D$7:$BG$7,"5",$D171:$BG171)</f>
        <v>0</v>
      </c>
      <c r="BV171" s="140">
        <f>SUMIFS($D$9:$BG$9,$D$7:$BG$7,"5",$D171:$BG171,"&gt;"&amp;-1)</f>
        <v>0</v>
      </c>
      <c r="BW171" s="141">
        <f t="shared" si="4"/>
        <v>0</v>
      </c>
      <c r="BX171" s="142">
        <f>SUMIF($D$7:$BG$7,"6",$D171:$BG171)</f>
        <v>0</v>
      </c>
      <c r="BY171" s="140">
        <f>SUMIFS($D$9:$BG$9,$D$7:$BG$7,"6",$D171:$BG171,"&gt;"&amp;-1)</f>
        <v>0</v>
      </c>
      <c r="BZ171" s="141">
        <f t="shared" si="5"/>
        <v>0</v>
      </c>
    </row>
    <row r="172" ht="15.75" customHeight="1" spans="1:7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65"/>
      <c r="BB172" s="165"/>
      <c r="BC172" s="165"/>
      <c r="BD172" s="165"/>
      <c r="BE172" s="165"/>
      <c r="BF172" s="166"/>
      <c r="BG172" s="167"/>
      <c r="BH172" s="46"/>
      <c r="BI172" s="153">
        <f>SUMIF($D$7:$BG$7,"1",$D172:$BG172)</f>
        <v>0</v>
      </c>
      <c r="BJ172" s="140">
        <f>SUMIFS($D$9:$BG$9,$D$7:$BG$7,"1",$D172:$BG172,"&gt;"&amp;-1)</f>
        <v>0</v>
      </c>
      <c r="BK172" s="141">
        <f t="shared" si="0"/>
        <v>0</v>
      </c>
      <c r="BL172" s="142">
        <f>SUMIF($D$7:$BG$7,"2",$D172:$BG172)</f>
        <v>0</v>
      </c>
      <c r="BM172" s="140">
        <f>SUMIFS($D$9:$BG$9,$D$7:$BG$7,"2",$D172:$BG172,"&gt;"&amp;-1)</f>
        <v>0</v>
      </c>
      <c r="BN172" s="141">
        <f t="shared" si="1"/>
        <v>0</v>
      </c>
      <c r="BO172" s="142">
        <f>SUMIF($D$7:$BG$7,"3",$D172:$BG172)</f>
        <v>0</v>
      </c>
      <c r="BP172" s="140">
        <f>SUMIFS($D$9:$BG$9,$D$7:$BG$7,"3",$D172:$BG172,"&gt;"&amp;-1)</f>
        <v>0</v>
      </c>
      <c r="BQ172" s="141">
        <f t="shared" si="2"/>
        <v>0</v>
      </c>
      <c r="BR172" s="142">
        <f>SUMIF($D$7:$BG$7,"4",$D172:$BG172)</f>
        <v>0</v>
      </c>
      <c r="BS172" s="140">
        <f>SUMIFS($D$9:$BG$9,$D$7:$BG$7,"4",$D172:$BG172,"&gt;"&amp;-1)</f>
        <v>0</v>
      </c>
      <c r="BT172" s="141">
        <f t="shared" si="3"/>
        <v>0</v>
      </c>
      <c r="BU172" s="142">
        <f>SUMIF($D$7:$BG$7,"5",$D172:$BG172)</f>
        <v>0</v>
      </c>
      <c r="BV172" s="140">
        <f>SUMIFS($D$9:$BG$9,$D$7:$BG$7,"5",$D172:$BG172,"&gt;"&amp;-1)</f>
        <v>0</v>
      </c>
      <c r="BW172" s="141">
        <f t="shared" si="4"/>
        <v>0</v>
      </c>
      <c r="BX172" s="142">
        <f>SUMIF($D$7:$BG$7,"6",$D172:$BG172)</f>
        <v>0</v>
      </c>
      <c r="BY172" s="140">
        <f>SUMIFS($D$9:$BG$9,$D$7:$BG$7,"6",$D172:$BG172,"&gt;"&amp;-1)</f>
        <v>0</v>
      </c>
      <c r="BZ172" s="141">
        <f t="shared" si="5"/>
        <v>0</v>
      </c>
    </row>
    <row r="173" ht="15.75" customHeight="1" spans="1:7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65"/>
      <c r="BB173" s="165"/>
      <c r="BC173" s="165"/>
      <c r="BD173" s="165"/>
      <c r="BE173" s="165"/>
      <c r="BF173" s="166"/>
      <c r="BG173" s="167"/>
      <c r="BH173" s="46"/>
      <c r="BI173" s="153">
        <f>SUMIF($D$7:$BG$7,"1",$D173:$BG173)</f>
        <v>0</v>
      </c>
      <c r="BJ173" s="140">
        <f>SUMIFS($D$9:$BG$9,$D$7:$BG$7,"1",$D173:$BG173,"&gt;"&amp;-1)</f>
        <v>0</v>
      </c>
      <c r="BK173" s="141">
        <f t="shared" si="0"/>
        <v>0</v>
      </c>
      <c r="BL173" s="142">
        <f>SUMIF($D$7:$BG$7,"2",$D173:$BG173)</f>
        <v>0</v>
      </c>
      <c r="BM173" s="140">
        <f>SUMIFS($D$9:$BG$9,$D$7:$BG$7,"2",$D173:$BG173,"&gt;"&amp;-1)</f>
        <v>0</v>
      </c>
      <c r="BN173" s="141">
        <f t="shared" si="1"/>
        <v>0</v>
      </c>
      <c r="BO173" s="142">
        <f>SUMIF($D$7:$BG$7,"3",$D173:$BG173)</f>
        <v>0</v>
      </c>
      <c r="BP173" s="140">
        <f>SUMIFS($D$9:$BG$9,$D$7:$BG$7,"3",$D173:$BG173,"&gt;"&amp;-1)</f>
        <v>0</v>
      </c>
      <c r="BQ173" s="141">
        <f t="shared" si="2"/>
        <v>0</v>
      </c>
      <c r="BR173" s="142">
        <f>SUMIF($D$7:$BG$7,"4",$D173:$BG173)</f>
        <v>0</v>
      </c>
      <c r="BS173" s="140">
        <f>SUMIFS($D$9:$BG$9,$D$7:$BG$7,"4",$D173:$BG173,"&gt;"&amp;-1)</f>
        <v>0</v>
      </c>
      <c r="BT173" s="141">
        <f t="shared" si="3"/>
        <v>0</v>
      </c>
      <c r="BU173" s="142">
        <f>SUMIF($D$7:$BG$7,"5",$D173:$BG173)</f>
        <v>0</v>
      </c>
      <c r="BV173" s="140">
        <f>SUMIFS($D$9:$BG$9,$D$7:$BG$7,"5",$D173:$BG173,"&gt;"&amp;-1)</f>
        <v>0</v>
      </c>
      <c r="BW173" s="141">
        <f t="shared" si="4"/>
        <v>0</v>
      </c>
      <c r="BX173" s="142">
        <f>SUMIF($D$7:$BG$7,"6",$D173:$BG173)</f>
        <v>0</v>
      </c>
      <c r="BY173" s="140">
        <f>SUMIFS($D$9:$BG$9,$D$7:$BG$7,"6",$D173:$BG173,"&gt;"&amp;-1)</f>
        <v>0</v>
      </c>
      <c r="BZ173" s="141">
        <f t="shared" si="5"/>
        <v>0</v>
      </c>
    </row>
    <row r="174" ht="15.75" customHeight="1" spans="1:7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65"/>
      <c r="BB174" s="165"/>
      <c r="BC174" s="165"/>
      <c r="BD174" s="165"/>
      <c r="BE174" s="165"/>
      <c r="BF174" s="166"/>
      <c r="BG174" s="167"/>
      <c r="BH174" s="46"/>
      <c r="BI174" s="153">
        <f>SUMIF($D$7:$BG$7,"1",$D174:$BG174)</f>
        <v>0</v>
      </c>
      <c r="BJ174" s="140">
        <f>SUMIFS($D$9:$BG$9,$D$7:$BG$7,"1",$D174:$BG174,"&gt;"&amp;-1)</f>
        <v>0</v>
      </c>
      <c r="BK174" s="141">
        <f t="shared" si="0"/>
        <v>0</v>
      </c>
      <c r="BL174" s="142">
        <f>SUMIF($D$7:$BG$7,"2",$D174:$BG174)</f>
        <v>0</v>
      </c>
      <c r="BM174" s="140">
        <f>SUMIFS($D$9:$BG$9,$D$7:$BG$7,"2",$D174:$BG174,"&gt;"&amp;-1)</f>
        <v>0</v>
      </c>
      <c r="BN174" s="141">
        <f t="shared" si="1"/>
        <v>0</v>
      </c>
      <c r="BO174" s="142">
        <f>SUMIF($D$7:$BG$7,"3",$D174:$BG174)</f>
        <v>0</v>
      </c>
      <c r="BP174" s="140">
        <f>SUMIFS($D$9:$BG$9,$D$7:$BG$7,"3",$D174:$BG174,"&gt;"&amp;-1)</f>
        <v>0</v>
      </c>
      <c r="BQ174" s="141">
        <f t="shared" si="2"/>
        <v>0</v>
      </c>
      <c r="BR174" s="142">
        <f>SUMIF($D$7:$BG$7,"4",$D174:$BG174)</f>
        <v>0</v>
      </c>
      <c r="BS174" s="140">
        <f>SUMIFS($D$9:$BG$9,$D$7:$BG$7,"4",$D174:$BG174,"&gt;"&amp;-1)</f>
        <v>0</v>
      </c>
      <c r="BT174" s="141">
        <f t="shared" si="3"/>
        <v>0</v>
      </c>
      <c r="BU174" s="142">
        <f>SUMIF($D$7:$BG$7,"5",$D174:$BG174)</f>
        <v>0</v>
      </c>
      <c r="BV174" s="140">
        <f>SUMIFS($D$9:$BG$9,$D$7:$BG$7,"5",$D174:$BG174,"&gt;"&amp;-1)</f>
        <v>0</v>
      </c>
      <c r="BW174" s="141">
        <f t="shared" si="4"/>
        <v>0</v>
      </c>
      <c r="BX174" s="142">
        <f>SUMIF($D$7:$BG$7,"6",$D174:$BG174)</f>
        <v>0</v>
      </c>
      <c r="BY174" s="140">
        <f>SUMIFS($D$9:$BG$9,$D$7:$BG$7,"6",$D174:$BG174,"&gt;"&amp;-1)</f>
        <v>0</v>
      </c>
      <c r="BZ174" s="141">
        <f t="shared" si="5"/>
        <v>0</v>
      </c>
    </row>
    <row r="175" ht="15.75" customHeight="1" spans="1:7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65"/>
      <c r="BB175" s="165"/>
      <c r="BC175" s="165"/>
      <c r="BD175" s="165"/>
      <c r="BE175" s="165"/>
      <c r="BF175" s="166"/>
      <c r="BG175" s="167"/>
      <c r="BH175" s="46"/>
      <c r="BI175" s="153">
        <f>SUMIF($D$7:$BG$7,"1",$D175:$BG175)</f>
        <v>0</v>
      </c>
      <c r="BJ175" s="140">
        <f>SUMIFS($D$9:$BG$9,$D$7:$BG$7,"1",$D175:$BG175,"&gt;"&amp;-1)</f>
        <v>0</v>
      </c>
      <c r="BK175" s="141">
        <f t="shared" si="0"/>
        <v>0</v>
      </c>
      <c r="BL175" s="142">
        <f>SUMIF($D$7:$BG$7,"2",$D175:$BG175)</f>
        <v>0</v>
      </c>
      <c r="BM175" s="140">
        <f>SUMIFS($D$9:$BG$9,$D$7:$BG$7,"2",$D175:$BG175,"&gt;"&amp;-1)</f>
        <v>0</v>
      </c>
      <c r="BN175" s="141">
        <f t="shared" si="1"/>
        <v>0</v>
      </c>
      <c r="BO175" s="142">
        <f>SUMIF($D$7:$BG$7,"3",$D175:$BG175)</f>
        <v>0</v>
      </c>
      <c r="BP175" s="140">
        <f>SUMIFS($D$9:$BG$9,$D$7:$BG$7,"3",$D175:$BG175,"&gt;"&amp;-1)</f>
        <v>0</v>
      </c>
      <c r="BQ175" s="141">
        <f t="shared" si="2"/>
        <v>0</v>
      </c>
      <c r="BR175" s="142">
        <f>SUMIF($D$7:$BG$7,"4",$D175:$BG175)</f>
        <v>0</v>
      </c>
      <c r="BS175" s="140">
        <f>SUMIFS($D$9:$BG$9,$D$7:$BG$7,"4",$D175:$BG175,"&gt;"&amp;-1)</f>
        <v>0</v>
      </c>
      <c r="BT175" s="141">
        <f t="shared" si="3"/>
        <v>0</v>
      </c>
      <c r="BU175" s="142">
        <f>SUMIF($D$7:$BG$7,"5",$D175:$BG175)</f>
        <v>0</v>
      </c>
      <c r="BV175" s="140">
        <f>SUMIFS($D$9:$BG$9,$D$7:$BG$7,"5",$D175:$BG175,"&gt;"&amp;-1)</f>
        <v>0</v>
      </c>
      <c r="BW175" s="141">
        <f t="shared" si="4"/>
        <v>0</v>
      </c>
      <c r="BX175" s="142">
        <f>SUMIF($D$7:$BG$7,"6",$D175:$BG175)</f>
        <v>0</v>
      </c>
      <c r="BY175" s="140">
        <f>SUMIFS($D$9:$BG$9,$D$7:$BG$7,"6",$D175:$BG175,"&gt;"&amp;-1)</f>
        <v>0</v>
      </c>
      <c r="BZ175" s="141">
        <f t="shared" si="5"/>
        <v>0</v>
      </c>
    </row>
    <row r="176" ht="15.75" customHeight="1" spans="1:7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65"/>
      <c r="BB176" s="165"/>
      <c r="BC176" s="165"/>
      <c r="BD176" s="165"/>
      <c r="BE176" s="165"/>
      <c r="BF176" s="166"/>
      <c r="BG176" s="167"/>
      <c r="BH176" s="46"/>
      <c r="BI176" s="153">
        <f>SUMIF($D$7:$BG$7,"1",$D176:$BG176)</f>
        <v>0</v>
      </c>
      <c r="BJ176" s="140">
        <f>SUMIFS($D$9:$BG$9,$D$7:$BG$7,"1",$D176:$BG176,"&gt;"&amp;-1)</f>
        <v>0</v>
      </c>
      <c r="BK176" s="141">
        <f t="shared" si="0"/>
        <v>0</v>
      </c>
      <c r="BL176" s="142">
        <f>SUMIF($D$7:$BG$7,"2",$D176:$BG176)</f>
        <v>0</v>
      </c>
      <c r="BM176" s="140">
        <f>SUMIFS($D$9:$BG$9,$D$7:$BG$7,"2",$D176:$BG176,"&gt;"&amp;-1)</f>
        <v>0</v>
      </c>
      <c r="BN176" s="141">
        <f t="shared" si="1"/>
        <v>0</v>
      </c>
      <c r="BO176" s="142">
        <f>SUMIF($D$7:$BG$7,"3",$D176:$BG176)</f>
        <v>0</v>
      </c>
      <c r="BP176" s="140">
        <f>SUMIFS($D$9:$BG$9,$D$7:$BG$7,"3",$D176:$BG176,"&gt;"&amp;-1)</f>
        <v>0</v>
      </c>
      <c r="BQ176" s="141">
        <f t="shared" si="2"/>
        <v>0</v>
      </c>
      <c r="BR176" s="142">
        <f>SUMIF($D$7:$BG$7,"4",$D176:$BG176)</f>
        <v>0</v>
      </c>
      <c r="BS176" s="140">
        <f>SUMIFS($D$9:$BG$9,$D$7:$BG$7,"4",$D176:$BG176,"&gt;"&amp;-1)</f>
        <v>0</v>
      </c>
      <c r="BT176" s="141">
        <f t="shared" si="3"/>
        <v>0</v>
      </c>
      <c r="BU176" s="142">
        <f>SUMIF($D$7:$BG$7,"5",$D176:$BG176)</f>
        <v>0</v>
      </c>
      <c r="BV176" s="140">
        <f>SUMIFS($D$9:$BG$9,$D$7:$BG$7,"5",$D176:$BG176,"&gt;"&amp;-1)</f>
        <v>0</v>
      </c>
      <c r="BW176" s="141">
        <f t="shared" si="4"/>
        <v>0</v>
      </c>
      <c r="BX176" s="142">
        <f>SUMIF($D$7:$BG$7,"6",$D176:$BG176)</f>
        <v>0</v>
      </c>
      <c r="BY176" s="140">
        <f>SUMIFS($D$9:$BG$9,$D$7:$BG$7,"6",$D176:$BG176,"&gt;"&amp;-1)</f>
        <v>0</v>
      </c>
      <c r="BZ176" s="141">
        <f t="shared" si="5"/>
        <v>0</v>
      </c>
    </row>
    <row r="177" ht="15.75" customHeight="1" spans="1:7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65"/>
      <c r="BB177" s="165"/>
      <c r="BC177" s="165"/>
      <c r="BD177" s="165"/>
      <c r="BE177" s="165"/>
      <c r="BF177" s="166"/>
      <c r="BG177" s="167"/>
      <c r="BH177" s="46"/>
      <c r="BI177" s="153">
        <f>SUMIF($D$7:$BG$7,"1",$D177:$BG177)</f>
        <v>0</v>
      </c>
      <c r="BJ177" s="140">
        <f>SUMIFS($D$9:$BG$9,$D$7:$BG$7,"1",$D177:$BG177,"&gt;"&amp;-1)</f>
        <v>0</v>
      </c>
      <c r="BK177" s="141">
        <f t="shared" si="0"/>
        <v>0</v>
      </c>
      <c r="BL177" s="142">
        <f>SUMIF($D$7:$BG$7,"2",$D177:$BG177)</f>
        <v>0</v>
      </c>
      <c r="BM177" s="140">
        <f>SUMIFS($D$9:$BG$9,$D$7:$BG$7,"2",$D177:$BG177,"&gt;"&amp;-1)</f>
        <v>0</v>
      </c>
      <c r="BN177" s="141">
        <f t="shared" si="1"/>
        <v>0</v>
      </c>
      <c r="BO177" s="142">
        <f>SUMIF($D$7:$BG$7,"3",$D177:$BG177)</f>
        <v>0</v>
      </c>
      <c r="BP177" s="140">
        <f>SUMIFS($D$9:$BG$9,$D$7:$BG$7,"3",$D177:$BG177,"&gt;"&amp;-1)</f>
        <v>0</v>
      </c>
      <c r="BQ177" s="141">
        <f t="shared" si="2"/>
        <v>0</v>
      </c>
      <c r="BR177" s="142">
        <f>SUMIF($D$7:$BG$7,"4",$D177:$BG177)</f>
        <v>0</v>
      </c>
      <c r="BS177" s="140">
        <f>SUMIFS($D$9:$BG$9,$D$7:$BG$7,"4",$D177:$BG177,"&gt;"&amp;-1)</f>
        <v>0</v>
      </c>
      <c r="BT177" s="141">
        <f t="shared" si="3"/>
        <v>0</v>
      </c>
      <c r="BU177" s="142">
        <f>SUMIF($D$7:$BG$7,"5",$D177:$BG177)</f>
        <v>0</v>
      </c>
      <c r="BV177" s="140">
        <f>SUMIFS($D$9:$BG$9,$D$7:$BG$7,"5",$D177:$BG177,"&gt;"&amp;-1)</f>
        <v>0</v>
      </c>
      <c r="BW177" s="141">
        <f t="shared" si="4"/>
        <v>0</v>
      </c>
      <c r="BX177" s="142">
        <f>SUMIF($D$7:$BG$7,"6",$D177:$BG177)</f>
        <v>0</v>
      </c>
      <c r="BY177" s="140">
        <f>SUMIFS($D$9:$BG$9,$D$7:$BG$7,"6",$D177:$BG177,"&gt;"&amp;-1)</f>
        <v>0</v>
      </c>
      <c r="BZ177" s="141">
        <f t="shared" si="5"/>
        <v>0</v>
      </c>
    </row>
    <row r="178" ht="15.75" customHeight="1" spans="1:7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65"/>
      <c r="BB178" s="165"/>
      <c r="BC178" s="165"/>
      <c r="BD178" s="165"/>
      <c r="BE178" s="165"/>
      <c r="BF178" s="166"/>
      <c r="BG178" s="167"/>
      <c r="BH178" s="46"/>
      <c r="BI178" s="153">
        <f>SUMIF($D$7:$BG$7,"1",$D178:$BG178)</f>
        <v>0</v>
      </c>
      <c r="BJ178" s="140">
        <f>SUMIFS($D$9:$BG$9,$D$7:$BG$7,"1",$D178:$BG178,"&gt;"&amp;-1)</f>
        <v>0</v>
      </c>
      <c r="BK178" s="141">
        <f t="shared" si="0"/>
        <v>0</v>
      </c>
      <c r="BL178" s="142">
        <f>SUMIF($D$7:$BG$7,"2",$D178:$BG178)</f>
        <v>0</v>
      </c>
      <c r="BM178" s="140">
        <f>SUMIFS($D$9:$BG$9,$D$7:$BG$7,"2",$D178:$BG178,"&gt;"&amp;-1)</f>
        <v>0</v>
      </c>
      <c r="BN178" s="141">
        <f t="shared" si="1"/>
        <v>0</v>
      </c>
      <c r="BO178" s="142">
        <f>SUMIF($D$7:$BG$7,"3",$D178:$BG178)</f>
        <v>0</v>
      </c>
      <c r="BP178" s="140">
        <f>SUMIFS($D$9:$BG$9,$D$7:$BG$7,"3",$D178:$BG178,"&gt;"&amp;-1)</f>
        <v>0</v>
      </c>
      <c r="BQ178" s="141">
        <f t="shared" si="2"/>
        <v>0</v>
      </c>
      <c r="BR178" s="142">
        <f>SUMIF($D$7:$BG$7,"4",$D178:$BG178)</f>
        <v>0</v>
      </c>
      <c r="BS178" s="140">
        <f>SUMIFS($D$9:$BG$9,$D$7:$BG$7,"4",$D178:$BG178,"&gt;"&amp;-1)</f>
        <v>0</v>
      </c>
      <c r="BT178" s="141">
        <f t="shared" si="3"/>
        <v>0</v>
      </c>
      <c r="BU178" s="142">
        <f>SUMIF($D$7:$BG$7,"5",$D178:$BG178)</f>
        <v>0</v>
      </c>
      <c r="BV178" s="140">
        <f>SUMIFS($D$9:$BG$9,$D$7:$BG$7,"5",$D178:$BG178,"&gt;"&amp;-1)</f>
        <v>0</v>
      </c>
      <c r="BW178" s="141">
        <f t="shared" si="4"/>
        <v>0</v>
      </c>
      <c r="BX178" s="142">
        <f>SUMIF($D$7:$BG$7,"6",$D178:$BG178)</f>
        <v>0</v>
      </c>
      <c r="BY178" s="140">
        <f>SUMIFS($D$9:$BG$9,$D$7:$BG$7,"6",$D178:$BG178,"&gt;"&amp;-1)</f>
        <v>0</v>
      </c>
      <c r="BZ178" s="141">
        <f t="shared" si="5"/>
        <v>0</v>
      </c>
    </row>
    <row r="179" ht="15.75" customHeight="1" spans="1:7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65"/>
      <c r="BB179" s="165"/>
      <c r="BC179" s="165"/>
      <c r="BD179" s="165"/>
      <c r="BE179" s="165"/>
      <c r="BF179" s="166"/>
      <c r="BG179" s="167"/>
      <c r="BH179" s="46"/>
      <c r="BI179" s="153">
        <f>SUMIF($D$7:$BG$7,"1",$D179:$BG179)</f>
        <v>0</v>
      </c>
      <c r="BJ179" s="140">
        <f>SUMIFS($D$9:$BG$9,$D$7:$BG$7,"1",$D179:$BG179,"&gt;"&amp;-1)</f>
        <v>0</v>
      </c>
      <c r="BK179" s="141">
        <f t="shared" si="0"/>
        <v>0</v>
      </c>
      <c r="BL179" s="142">
        <f>SUMIF($D$7:$BG$7,"2",$D179:$BG179)</f>
        <v>0</v>
      </c>
      <c r="BM179" s="140">
        <f>SUMIFS($D$9:$BG$9,$D$7:$BG$7,"2",$D179:$BG179,"&gt;"&amp;-1)</f>
        <v>0</v>
      </c>
      <c r="BN179" s="141">
        <f t="shared" si="1"/>
        <v>0</v>
      </c>
      <c r="BO179" s="142">
        <f>SUMIF($D$7:$BG$7,"3",$D179:$BG179)</f>
        <v>0</v>
      </c>
      <c r="BP179" s="140">
        <f>SUMIFS($D$9:$BG$9,$D$7:$BG$7,"3",$D179:$BG179,"&gt;"&amp;-1)</f>
        <v>0</v>
      </c>
      <c r="BQ179" s="141">
        <f t="shared" si="2"/>
        <v>0</v>
      </c>
      <c r="BR179" s="142">
        <f>SUMIF($D$7:$BG$7,"4",$D179:$BG179)</f>
        <v>0</v>
      </c>
      <c r="BS179" s="140">
        <f>SUMIFS($D$9:$BG$9,$D$7:$BG$7,"4",$D179:$BG179,"&gt;"&amp;-1)</f>
        <v>0</v>
      </c>
      <c r="BT179" s="141">
        <f t="shared" si="3"/>
        <v>0</v>
      </c>
      <c r="BU179" s="142">
        <f>SUMIF($D$7:$BG$7,"5",$D179:$BG179)</f>
        <v>0</v>
      </c>
      <c r="BV179" s="140">
        <f>SUMIFS($D$9:$BG$9,$D$7:$BG$7,"5",$D179:$BG179,"&gt;"&amp;-1)</f>
        <v>0</v>
      </c>
      <c r="BW179" s="141">
        <f t="shared" si="4"/>
        <v>0</v>
      </c>
      <c r="BX179" s="142">
        <f>SUMIF($D$7:$BG$7,"6",$D179:$BG179)</f>
        <v>0</v>
      </c>
      <c r="BY179" s="140">
        <f>SUMIFS($D$9:$BG$9,$D$7:$BG$7,"6",$D179:$BG179,"&gt;"&amp;-1)</f>
        <v>0</v>
      </c>
      <c r="BZ179" s="141">
        <f t="shared" si="5"/>
        <v>0</v>
      </c>
    </row>
    <row r="180" ht="15.75" customHeight="1" spans="1:7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65"/>
      <c r="BB180" s="165"/>
      <c r="BC180" s="165"/>
      <c r="BD180" s="165"/>
      <c r="BE180" s="165"/>
      <c r="BF180" s="166"/>
      <c r="BG180" s="167"/>
      <c r="BH180" s="46"/>
      <c r="BI180" s="153">
        <f>SUMIF($D$7:$BG$7,"1",$D180:$BG180)</f>
        <v>0</v>
      </c>
      <c r="BJ180" s="140">
        <f>SUMIFS($D$9:$BG$9,$D$7:$BG$7,"1",$D180:$BG180,"&gt;"&amp;-1)</f>
        <v>0</v>
      </c>
      <c r="BK180" s="141">
        <f t="shared" si="0"/>
        <v>0</v>
      </c>
      <c r="BL180" s="142">
        <f>SUMIF($D$7:$BG$7,"2",$D180:$BG180)</f>
        <v>0</v>
      </c>
      <c r="BM180" s="140">
        <f>SUMIFS($D$9:$BG$9,$D$7:$BG$7,"2",$D180:$BG180,"&gt;"&amp;-1)</f>
        <v>0</v>
      </c>
      <c r="BN180" s="141">
        <f t="shared" si="1"/>
        <v>0</v>
      </c>
      <c r="BO180" s="142">
        <f>SUMIF($D$7:$BG$7,"3",$D180:$BG180)</f>
        <v>0</v>
      </c>
      <c r="BP180" s="140">
        <f>SUMIFS($D$9:$BG$9,$D$7:$BG$7,"3",$D180:$BG180,"&gt;"&amp;-1)</f>
        <v>0</v>
      </c>
      <c r="BQ180" s="141">
        <f t="shared" si="2"/>
        <v>0</v>
      </c>
      <c r="BR180" s="142">
        <f>SUMIF($D$7:$BG$7,"4",$D180:$BG180)</f>
        <v>0</v>
      </c>
      <c r="BS180" s="140">
        <f>SUMIFS($D$9:$BG$9,$D$7:$BG$7,"4",$D180:$BG180,"&gt;"&amp;-1)</f>
        <v>0</v>
      </c>
      <c r="BT180" s="141">
        <f t="shared" si="3"/>
        <v>0</v>
      </c>
      <c r="BU180" s="142">
        <f>SUMIF($D$7:$BG$7,"5",$D180:$BG180)</f>
        <v>0</v>
      </c>
      <c r="BV180" s="140">
        <f>SUMIFS($D$9:$BG$9,$D$7:$BG$7,"5",$D180:$BG180,"&gt;"&amp;-1)</f>
        <v>0</v>
      </c>
      <c r="BW180" s="141">
        <f t="shared" si="4"/>
        <v>0</v>
      </c>
      <c r="BX180" s="142">
        <f>SUMIF($D$7:$BG$7,"6",$D180:$BG180)</f>
        <v>0</v>
      </c>
      <c r="BY180" s="140">
        <f>SUMIFS($D$9:$BG$9,$D$7:$BG$7,"6",$D180:$BG180,"&gt;"&amp;-1)</f>
        <v>0</v>
      </c>
      <c r="BZ180" s="141">
        <f t="shared" si="5"/>
        <v>0</v>
      </c>
    </row>
    <row r="181" ht="15.75" customHeight="1" spans="1:7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65"/>
      <c r="BB181" s="165"/>
      <c r="BC181" s="165"/>
      <c r="BD181" s="165"/>
      <c r="BE181" s="165"/>
      <c r="BF181" s="166"/>
      <c r="BG181" s="167"/>
      <c r="BH181" s="46"/>
      <c r="BI181" s="153">
        <f>SUMIF($D$7:$BG$7,"1",$D181:$BG181)</f>
        <v>0</v>
      </c>
      <c r="BJ181" s="140">
        <f>SUMIFS($D$9:$BG$9,$D$7:$BG$7,"1",$D181:$BG181,"&gt;"&amp;-1)</f>
        <v>0</v>
      </c>
      <c r="BK181" s="141">
        <f t="shared" si="0"/>
        <v>0</v>
      </c>
      <c r="BL181" s="142">
        <f>SUMIF($D$7:$BG$7,"2",$D181:$BG181)</f>
        <v>0</v>
      </c>
      <c r="BM181" s="140">
        <f>SUMIFS($D$9:$BG$9,$D$7:$BG$7,"2",$D181:$BG181,"&gt;"&amp;-1)</f>
        <v>0</v>
      </c>
      <c r="BN181" s="141">
        <f t="shared" si="1"/>
        <v>0</v>
      </c>
      <c r="BO181" s="142">
        <f>SUMIF($D$7:$BG$7,"3",$D181:$BG181)</f>
        <v>0</v>
      </c>
      <c r="BP181" s="140">
        <f>SUMIFS($D$9:$BG$9,$D$7:$BG$7,"3",$D181:$BG181,"&gt;"&amp;-1)</f>
        <v>0</v>
      </c>
      <c r="BQ181" s="141">
        <f t="shared" si="2"/>
        <v>0</v>
      </c>
      <c r="BR181" s="142">
        <f>SUMIF($D$7:$BG$7,"4",$D181:$BG181)</f>
        <v>0</v>
      </c>
      <c r="BS181" s="140">
        <f>SUMIFS($D$9:$BG$9,$D$7:$BG$7,"4",$D181:$BG181,"&gt;"&amp;-1)</f>
        <v>0</v>
      </c>
      <c r="BT181" s="141">
        <f t="shared" si="3"/>
        <v>0</v>
      </c>
      <c r="BU181" s="142">
        <f>SUMIF($D$7:$BG$7,"5",$D181:$BG181)</f>
        <v>0</v>
      </c>
      <c r="BV181" s="140">
        <f>SUMIFS($D$9:$BG$9,$D$7:$BG$7,"5",$D181:$BG181,"&gt;"&amp;-1)</f>
        <v>0</v>
      </c>
      <c r="BW181" s="141">
        <f t="shared" si="4"/>
        <v>0</v>
      </c>
      <c r="BX181" s="142">
        <f>SUMIF($D$7:$BG$7,"6",$D181:$BG181)</f>
        <v>0</v>
      </c>
      <c r="BY181" s="140">
        <f>SUMIFS($D$9:$BG$9,$D$7:$BG$7,"6",$D181:$BG181,"&gt;"&amp;-1)</f>
        <v>0</v>
      </c>
      <c r="BZ181" s="141">
        <f t="shared" si="5"/>
        <v>0</v>
      </c>
    </row>
    <row r="182" ht="15.75" customHeight="1" spans="1:7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65"/>
      <c r="BB182" s="165"/>
      <c r="BC182" s="165"/>
      <c r="BD182" s="165"/>
      <c r="BE182" s="165"/>
      <c r="BF182" s="166"/>
      <c r="BG182" s="167"/>
      <c r="BH182" s="46"/>
      <c r="BI182" s="153">
        <f>SUMIF($D$7:$BG$7,"1",$D182:$BG182)</f>
        <v>0</v>
      </c>
      <c r="BJ182" s="140">
        <f>SUMIFS($D$9:$BG$9,$D$7:$BG$7,"1",$D182:$BG182,"&gt;"&amp;-1)</f>
        <v>0</v>
      </c>
      <c r="BK182" s="141">
        <f t="shared" si="0"/>
        <v>0</v>
      </c>
      <c r="BL182" s="142">
        <f>SUMIF($D$7:$BG$7,"2",$D182:$BG182)</f>
        <v>0</v>
      </c>
      <c r="BM182" s="140">
        <f>SUMIFS($D$9:$BG$9,$D$7:$BG$7,"2",$D182:$BG182,"&gt;"&amp;-1)</f>
        <v>0</v>
      </c>
      <c r="BN182" s="141">
        <f t="shared" si="1"/>
        <v>0</v>
      </c>
      <c r="BO182" s="142">
        <f>SUMIF($D$7:$BG$7,"3",$D182:$BG182)</f>
        <v>0</v>
      </c>
      <c r="BP182" s="140">
        <f>SUMIFS($D$9:$BG$9,$D$7:$BG$7,"3",$D182:$BG182,"&gt;"&amp;-1)</f>
        <v>0</v>
      </c>
      <c r="BQ182" s="141">
        <f t="shared" si="2"/>
        <v>0</v>
      </c>
      <c r="BR182" s="142">
        <f>SUMIF($D$7:$BG$7,"4",$D182:$BG182)</f>
        <v>0</v>
      </c>
      <c r="BS182" s="140">
        <f>SUMIFS($D$9:$BG$9,$D$7:$BG$7,"4",$D182:$BG182,"&gt;"&amp;-1)</f>
        <v>0</v>
      </c>
      <c r="BT182" s="141">
        <f t="shared" si="3"/>
        <v>0</v>
      </c>
      <c r="BU182" s="142">
        <f>SUMIF($D$7:$BG$7,"5",$D182:$BG182)</f>
        <v>0</v>
      </c>
      <c r="BV182" s="140">
        <f>SUMIFS($D$9:$BG$9,$D$7:$BG$7,"5",$D182:$BG182,"&gt;"&amp;-1)</f>
        <v>0</v>
      </c>
      <c r="BW182" s="141">
        <f t="shared" si="4"/>
        <v>0</v>
      </c>
      <c r="BX182" s="142">
        <f>SUMIF($D$7:$BG$7,"6",$D182:$BG182)</f>
        <v>0</v>
      </c>
      <c r="BY182" s="140">
        <f>SUMIFS($D$9:$BG$9,$D$7:$BG$7,"6",$D182:$BG182,"&gt;"&amp;-1)</f>
        <v>0</v>
      </c>
      <c r="BZ182" s="141">
        <f t="shared" si="5"/>
        <v>0</v>
      </c>
    </row>
    <row r="183" ht="15.75" customHeight="1" spans="1:7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65"/>
      <c r="BB183" s="165"/>
      <c r="BC183" s="165"/>
      <c r="BD183" s="165"/>
      <c r="BE183" s="165"/>
      <c r="BF183" s="166"/>
      <c r="BG183" s="167"/>
      <c r="BH183" s="46"/>
      <c r="BI183" s="153">
        <f>SUMIF($D$7:$BG$7,"1",$D183:$BG183)</f>
        <v>0</v>
      </c>
      <c r="BJ183" s="140">
        <f>SUMIFS($D$9:$BG$9,$D$7:$BG$7,"1",$D183:$BG183,"&gt;"&amp;-1)</f>
        <v>0</v>
      </c>
      <c r="BK183" s="141">
        <f t="shared" si="0"/>
        <v>0</v>
      </c>
      <c r="BL183" s="142">
        <f>SUMIF($D$7:$BG$7,"2",$D183:$BG183)</f>
        <v>0</v>
      </c>
      <c r="BM183" s="140">
        <f>SUMIFS($D$9:$BG$9,$D$7:$BG$7,"2",$D183:$BG183,"&gt;"&amp;-1)</f>
        <v>0</v>
      </c>
      <c r="BN183" s="141">
        <f t="shared" si="1"/>
        <v>0</v>
      </c>
      <c r="BO183" s="142">
        <f>SUMIF($D$7:$BG$7,"3",$D183:$BG183)</f>
        <v>0</v>
      </c>
      <c r="BP183" s="140">
        <f>SUMIFS($D$9:$BG$9,$D$7:$BG$7,"3",$D183:$BG183,"&gt;"&amp;-1)</f>
        <v>0</v>
      </c>
      <c r="BQ183" s="141">
        <f t="shared" si="2"/>
        <v>0</v>
      </c>
      <c r="BR183" s="142">
        <f>SUMIF($D$7:$BG$7,"4",$D183:$BG183)</f>
        <v>0</v>
      </c>
      <c r="BS183" s="140">
        <f>SUMIFS($D$9:$BG$9,$D$7:$BG$7,"4",$D183:$BG183,"&gt;"&amp;-1)</f>
        <v>0</v>
      </c>
      <c r="BT183" s="141">
        <f t="shared" si="3"/>
        <v>0</v>
      </c>
      <c r="BU183" s="142">
        <f>SUMIF($D$7:$BG$7,"5",$D183:$BG183)</f>
        <v>0</v>
      </c>
      <c r="BV183" s="140">
        <f>SUMIFS($D$9:$BG$9,$D$7:$BG$7,"5",$D183:$BG183,"&gt;"&amp;-1)</f>
        <v>0</v>
      </c>
      <c r="BW183" s="141">
        <f t="shared" si="4"/>
        <v>0</v>
      </c>
      <c r="BX183" s="142">
        <f>SUMIF($D$7:$BG$7,"6",$D183:$BG183)</f>
        <v>0</v>
      </c>
      <c r="BY183" s="140">
        <f>SUMIFS($D$9:$BG$9,$D$7:$BG$7,"6",$D183:$BG183,"&gt;"&amp;-1)</f>
        <v>0</v>
      </c>
      <c r="BZ183" s="141">
        <f t="shared" si="5"/>
        <v>0</v>
      </c>
    </row>
    <row r="184" ht="15.75" customHeight="1" spans="1:7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65"/>
      <c r="BB184" s="165"/>
      <c r="BC184" s="165"/>
      <c r="BD184" s="165"/>
      <c r="BE184" s="165"/>
      <c r="BF184" s="166"/>
      <c r="BG184" s="167"/>
      <c r="BH184" s="46"/>
      <c r="BI184" s="153">
        <f>SUMIF($D$7:$BG$7,"1",$D184:$BG184)</f>
        <v>0</v>
      </c>
      <c r="BJ184" s="140">
        <f>SUMIFS($D$9:$BG$9,$D$7:$BG$7,"1",$D184:$BG184,"&gt;"&amp;-1)</f>
        <v>0</v>
      </c>
      <c r="BK184" s="141">
        <f t="shared" si="0"/>
        <v>0</v>
      </c>
      <c r="BL184" s="142">
        <f>SUMIF($D$7:$BG$7,"2",$D184:$BG184)</f>
        <v>0</v>
      </c>
      <c r="BM184" s="140">
        <f>SUMIFS($D$9:$BG$9,$D$7:$BG$7,"2",$D184:$BG184,"&gt;"&amp;-1)</f>
        <v>0</v>
      </c>
      <c r="BN184" s="141">
        <f t="shared" si="1"/>
        <v>0</v>
      </c>
      <c r="BO184" s="142">
        <f>SUMIF($D$7:$BG$7,"3",$D184:$BG184)</f>
        <v>0</v>
      </c>
      <c r="BP184" s="140">
        <f>SUMIFS($D$9:$BG$9,$D$7:$BG$7,"3",$D184:$BG184,"&gt;"&amp;-1)</f>
        <v>0</v>
      </c>
      <c r="BQ184" s="141">
        <f t="shared" si="2"/>
        <v>0</v>
      </c>
      <c r="BR184" s="142">
        <f>SUMIF($D$7:$BG$7,"4",$D184:$BG184)</f>
        <v>0</v>
      </c>
      <c r="BS184" s="140">
        <f>SUMIFS($D$9:$BG$9,$D$7:$BG$7,"4",$D184:$BG184,"&gt;"&amp;-1)</f>
        <v>0</v>
      </c>
      <c r="BT184" s="141">
        <f t="shared" si="3"/>
        <v>0</v>
      </c>
      <c r="BU184" s="142">
        <f>SUMIF($D$7:$BG$7,"5",$D184:$BG184)</f>
        <v>0</v>
      </c>
      <c r="BV184" s="140">
        <f>SUMIFS($D$9:$BG$9,$D$7:$BG$7,"5",$D184:$BG184,"&gt;"&amp;-1)</f>
        <v>0</v>
      </c>
      <c r="BW184" s="141">
        <f t="shared" si="4"/>
        <v>0</v>
      </c>
      <c r="BX184" s="142">
        <f>SUMIF($D$7:$BG$7,"6",$D184:$BG184)</f>
        <v>0</v>
      </c>
      <c r="BY184" s="140">
        <f>SUMIFS($D$9:$BG$9,$D$7:$BG$7,"6",$D184:$BG184,"&gt;"&amp;-1)</f>
        <v>0</v>
      </c>
      <c r="BZ184" s="141">
        <f t="shared" si="5"/>
        <v>0</v>
      </c>
    </row>
    <row r="185" ht="15.75" customHeight="1" spans="1:7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65"/>
      <c r="BB185" s="165"/>
      <c r="BC185" s="165"/>
      <c r="BD185" s="165"/>
      <c r="BE185" s="165"/>
      <c r="BF185" s="166"/>
      <c r="BG185" s="167"/>
      <c r="BH185" s="46"/>
      <c r="BI185" s="153">
        <f>SUMIF($D$7:$BG$7,"1",$D185:$BG185)</f>
        <v>0</v>
      </c>
      <c r="BJ185" s="140">
        <f>SUMIFS($D$9:$BG$9,$D$7:$BG$7,"1",$D185:$BG185,"&gt;"&amp;-1)</f>
        <v>0</v>
      </c>
      <c r="BK185" s="141">
        <f t="shared" si="0"/>
        <v>0</v>
      </c>
      <c r="BL185" s="142">
        <f>SUMIF($D$7:$BG$7,"2",$D185:$BG185)</f>
        <v>0</v>
      </c>
      <c r="BM185" s="140">
        <f>SUMIFS($D$9:$BG$9,$D$7:$BG$7,"2",$D185:$BG185,"&gt;"&amp;-1)</f>
        <v>0</v>
      </c>
      <c r="BN185" s="141">
        <f t="shared" si="1"/>
        <v>0</v>
      </c>
      <c r="BO185" s="142">
        <f>SUMIF($D$7:$BG$7,"3",$D185:$BG185)</f>
        <v>0</v>
      </c>
      <c r="BP185" s="140">
        <f>SUMIFS($D$9:$BG$9,$D$7:$BG$7,"3",$D185:$BG185,"&gt;"&amp;-1)</f>
        <v>0</v>
      </c>
      <c r="BQ185" s="141">
        <f t="shared" si="2"/>
        <v>0</v>
      </c>
      <c r="BR185" s="142">
        <f>SUMIF($D$7:$BG$7,"4",$D185:$BG185)</f>
        <v>0</v>
      </c>
      <c r="BS185" s="140">
        <f>SUMIFS($D$9:$BG$9,$D$7:$BG$7,"4",$D185:$BG185,"&gt;"&amp;-1)</f>
        <v>0</v>
      </c>
      <c r="BT185" s="141">
        <f t="shared" si="3"/>
        <v>0</v>
      </c>
      <c r="BU185" s="142">
        <f>SUMIF($D$7:$BG$7,"5",$D185:$BG185)</f>
        <v>0</v>
      </c>
      <c r="BV185" s="140">
        <f>SUMIFS($D$9:$BG$9,$D$7:$BG$7,"5",$D185:$BG185,"&gt;"&amp;-1)</f>
        <v>0</v>
      </c>
      <c r="BW185" s="141">
        <f t="shared" si="4"/>
        <v>0</v>
      </c>
      <c r="BX185" s="142">
        <f>SUMIF($D$7:$BG$7,"6",$D185:$BG185)</f>
        <v>0</v>
      </c>
      <c r="BY185" s="140">
        <f>SUMIFS($D$9:$BG$9,$D$7:$BG$7,"6",$D185:$BG185,"&gt;"&amp;-1)</f>
        <v>0</v>
      </c>
      <c r="BZ185" s="141">
        <f t="shared" si="5"/>
        <v>0</v>
      </c>
    </row>
    <row r="186" ht="15.75" customHeight="1" spans="1:7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65"/>
      <c r="BB186" s="165"/>
      <c r="BC186" s="165"/>
      <c r="BD186" s="165"/>
      <c r="BE186" s="165"/>
      <c r="BF186" s="166"/>
      <c r="BG186" s="167"/>
      <c r="BH186" s="46"/>
      <c r="BI186" s="153">
        <f>SUMIF($D$7:$BG$7,"1",$D186:$BG186)</f>
        <v>0</v>
      </c>
      <c r="BJ186" s="140">
        <f>SUMIFS($D$9:$BG$9,$D$7:$BG$7,"1",$D186:$BG186,"&gt;"&amp;-1)</f>
        <v>0</v>
      </c>
      <c r="BK186" s="141">
        <f t="shared" si="0"/>
        <v>0</v>
      </c>
      <c r="BL186" s="142">
        <f>SUMIF($D$7:$BG$7,"2",$D186:$BG186)</f>
        <v>0</v>
      </c>
      <c r="BM186" s="140">
        <f>SUMIFS($D$9:$BG$9,$D$7:$BG$7,"2",$D186:$BG186,"&gt;"&amp;-1)</f>
        <v>0</v>
      </c>
      <c r="BN186" s="141">
        <f t="shared" si="1"/>
        <v>0</v>
      </c>
      <c r="BO186" s="142">
        <f>SUMIF($D$7:$BG$7,"3",$D186:$BG186)</f>
        <v>0</v>
      </c>
      <c r="BP186" s="140">
        <f>SUMIFS($D$9:$BG$9,$D$7:$BG$7,"3",$D186:$BG186,"&gt;"&amp;-1)</f>
        <v>0</v>
      </c>
      <c r="BQ186" s="141">
        <f t="shared" si="2"/>
        <v>0</v>
      </c>
      <c r="BR186" s="142">
        <f>SUMIF($D$7:$BG$7,"4",$D186:$BG186)</f>
        <v>0</v>
      </c>
      <c r="BS186" s="140">
        <f>SUMIFS($D$9:$BG$9,$D$7:$BG$7,"4",$D186:$BG186,"&gt;"&amp;-1)</f>
        <v>0</v>
      </c>
      <c r="BT186" s="141">
        <f t="shared" si="3"/>
        <v>0</v>
      </c>
      <c r="BU186" s="142">
        <f>SUMIF($D$7:$BG$7,"5",$D186:$BG186)</f>
        <v>0</v>
      </c>
      <c r="BV186" s="140">
        <f>SUMIFS($D$9:$BG$9,$D$7:$BG$7,"5",$D186:$BG186,"&gt;"&amp;-1)</f>
        <v>0</v>
      </c>
      <c r="BW186" s="141">
        <f t="shared" si="4"/>
        <v>0</v>
      </c>
      <c r="BX186" s="142">
        <f>SUMIF($D$7:$BG$7,"6",$D186:$BG186)</f>
        <v>0</v>
      </c>
      <c r="BY186" s="140">
        <f>SUMIFS($D$9:$BG$9,$D$7:$BG$7,"6",$D186:$BG186,"&gt;"&amp;-1)</f>
        <v>0</v>
      </c>
      <c r="BZ186" s="141">
        <f t="shared" si="5"/>
        <v>0</v>
      </c>
    </row>
    <row r="187" ht="15.75" customHeight="1" spans="1:7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65"/>
      <c r="BB187" s="165"/>
      <c r="BC187" s="165"/>
      <c r="BD187" s="165"/>
      <c r="BE187" s="165"/>
      <c r="BF187" s="166"/>
      <c r="BG187" s="167"/>
      <c r="BH187" s="46"/>
      <c r="BI187" s="153">
        <f>SUMIF($D$7:$BG$7,"1",$D187:$BG187)</f>
        <v>0</v>
      </c>
      <c r="BJ187" s="140">
        <f>SUMIFS($D$9:$BG$9,$D$7:$BG$7,"1",$D187:$BG187,"&gt;"&amp;-1)</f>
        <v>0</v>
      </c>
      <c r="BK187" s="141">
        <f t="shared" si="0"/>
        <v>0</v>
      </c>
      <c r="BL187" s="142">
        <f>SUMIF($D$7:$BG$7,"2",$D187:$BG187)</f>
        <v>0</v>
      </c>
      <c r="BM187" s="140">
        <f>SUMIFS($D$9:$BG$9,$D$7:$BG$7,"2",$D187:$BG187,"&gt;"&amp;-1)</f>
        <v>0</v>
      </c>
      <c r="BN187" s="141">
        <f t="shared" si="1"/>
        <v>0</v>
      </c>
      <c r="BO187" s="142">
        <f>SUMIF($D$7:$BG$7,"3",$D187:$BG187)</f>
        <v>0</v>
      </c>
      <c r="BP187" s="140">
        <f>SUMIFS($D$9:$BG$9,$D$7:$BG$7,"3",$D187:$BG187,"&gt;"&amp;-1)</f>
        <v>0</v>
      </c>
      <c r="BQ187" s="141">
        <f t="shared" si="2"/>
        <v>0</v>
      </c>
      <c r="BR187" s="142">
        <f>SUMIF($D$7:$BG$7,"4",$D187:$BG187)</f>
        <v>0</v>
      </c>
      <c r="BS187" s="140">
        <f>SUMIFS($D$9:$BG$9,$D$7:$BG$7,"4",$D187:$BG187,"&gt;"&amp;-1)</f>
        <v>0</v>
      </c>
      <c r="BT187" s="141">
        <f t="shared" si="3"/>
        <v>0</v>
      </c>
      <c r="BU187" s="142">
        <f>SUMIF($D$7:$BG$7,"5",$D187:$BG187)</f>
        <v>0</v>
      </c>
      <c r="BV187" s="140">
        <f>SUMIFS($D$9:$BG$9,$D$7:$BG$7,"5",$D187:$BG187,"&gt;"&amp;-1)</f>
        <v>0</v>
      </c>
      <c r="BW187" s="141">
        <f t="shared" si="4"/>
        <v>0</v>
      </c>
      <c r="BX187" s="142">
        <f>SUMIF($D$7:$BG$7,"6",$D187:$BG187)</f>
        <v>0</v>
      </c>
      <c r="BY187" s="140">
        <f>SUMIFS($D$9:$BG$9,$D$7:$BG$7,"6",$D187:$BG187,"&gt;"&amp;-1)</f>
        <v>0</v>
      </c>
      <c r="BZ187" s="141">
        <f t="shared" si="5"/>
        <v>0</v>
      </c>
    </row>
    <row r="188" ht="15.75" customHeight="1" spans="1:7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65"/>
      <c r="BB188" s="165"/>
      <c r="BC188" s="165"/>
      <c r="BD188" s="165"/>
      <c r="BE188" s="165"/>
      <c r="BF188" s="166"/>
      <c r="BG188" s="167"/>
      <c r="BH188" s="46"/>
      <c r="BI188" s="153">
        <f>SUMIF($D$7:$BG$7,"1",$D188:$BG188)</f>
        <v>0</v>
      </c>
      <c r="BJ188" s="140">
        <f>SUMIFS($D$9:$BG$9,$D$7:$BG$7,"1",$D188:$BG188,"&gt;"&amp;-1)</f>
        <v>0</v>
      </c>
      <c r="BK188" s="141">
        <f t="shared" si="0"/>
        <v>0</v>
      </c>
      <c r="BL188" s="142">
        <f>SUMIF($D$7:$BG$7,"2",$D188:$BG188)</f>
        <v>0</v>
      </c>
      <c r="BM188" s="140">
        <f>SUMIFS($D$9:$BG$9,$D$7:$BG$7,"2",$D188:$BG188,"&gt;"&amp;-1)</f>
        <v>0</v>
      </c>
      <c r="BN188" s="141">
        <f t="shared" si="1"/>
        <v>0</v>
      </c>
      <c r="BO188" s="142">
        <f>SUMIF($D$7:$BG$7,"3",$D188:$BG188)</f>
        <v>0</v>
      </c>
      <c r="BP188" s="140">
        <f>SUMIFS($D$9:$BG$9,$D$7:$BG$7,"3",$D188:$BG188,"&gt;"&amp;-1)</f>
        <v>0</v>
      </c>
      <c r="BQ188" s="141">
        <f t="shared" si="2"/>
        <v>0</v>
      </c>
      <c r="BR188" s="142">
        <f>SUMIF($D$7:$BG$7,"4",$D188:$BG188)</f>
        <v>0</v>
      </c>
      <c r="BS188" s="140">
        <f>SUMIFS($D$9:$BG$9,$D$7:$BG$7,"4",$D188:$BG188,"&gt;"&amp;-1)</f>
        <v>0</v>
      </c>
      <c r="BT188" s="141">
        <f t="shared" si="3"/>
        <v>0</v>
      </c>
      <c r="BU188" s="142">
        <f>SUMIF($D$7:$BG$7,"5",$D188:$BG188)</f>
        <v>0</v>
      </c>
      <c r="BV188" s="140">
        <f>SUMIFS($D$9:$BG$9,$D$7:$BG$7,"5",$D188:$BG188,"&gt;"&amp;-1)</f>
        <v>0</v>
      </c>
      <c r="BW188" s="141">
        <f t="shared" si="4"/>
        <v>0</v>
      </c>
      <c r="BX188" s="142">
        <f>SUMIF($D$7:$BG$7,"6",$D188:$BG188)</f>
        <v>0</v>
      </c>
      <c r="BY188" s="140">
        <f>SUMIFS($D$9:$BG$9,$D$7:$BG$7,"6",$D188:$BG188,"&gt;"&amp;-1)</f>
        <v>0</v>
      </c>
      <c r="BZ188" s="141">
        <f t="shared" si="5"/>
        <v>0</v>
      </c>
    </row>
    <row r="189" ht="15.75" customHeight="1" spans="1:7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65"/>
      <c r="BB189" s="165"/>
      <c r="BC189" s="165"/>
      <c r="BD189" s="165"/>
      <c r="BE189" s="165"/>
      <c r="BF189" s="166"/>
      <c r="BG189" s="167"/>
      <c r="BH189" s="46"/>
      <c r="BI189" s="153">
        <f>SUMIF($D$7:$BG$7,"1",$D189:$BG189)</f>
        <v>0</v>
      </c>
      <c r="BJ189" s="140">
        <f>SUMIFS($D$9:$BG$9,$D$7:$BG$7,"1",$D189:$BG189,"&gt;"&amp;-1)</f>
        <v>0</v>
      </c>
      <c r="BK189" s="141">
        <f t="shared" si="0"/>
        <v>0</v>
      </c>
      <c r="BL189" s="142">
        <f>SUMIF($D$7:$BG$7,"2",$D189:$BG189)</f>
        <v>0</v>
      </c>
      <c r="BM189" s="140">
        <f>SUMIFS($D$9:$BG$9,$D$7:$BG$7,"2",$D189:$BG189,"&gt;"&amp;-1)</f>
        <v>0</v>
      </c>
      <c r="BN189" s="141">
        <f t="shared" si="1"/>
        <v>0</v>
      </c>
      <c r="BO189" s="142">
        <f>SUMIF($D$7:$BG$7,"3",$D189:$BG189)</f>
        <v>0</v>
      </c>
      <c r="BP189" s="140">
        <f>SUMIFS($D$9:$BG$9,$D$7:$BG$7,"3",$D189:$BG189,"&gt;"&amp;-1)</f>
        <v>0</v>
      </c>
      <c r="BQ189" s="141">
        <f t="shared" si="2"/>
        <v>0</v>
      </c>
      <c r="BR189" s="142">
        <f>SUMIF($D$7:$BG$7,"4",$D189:$BG189)</f>
        <v>0</v>
      </c>
      <c r="BS189" s="140">
        <f>SUMIFS($D$9:$BG$9,$D$7:$BG$7,"4",$D189:$BG189,"&gt;"&amp;-1)</f>
        <v>0</v>
      </c>
      <c r="BT189" s="141">
        <f t="shared" si="3"/>
        <v>0</v>
      </c>
      <c r="BU189" s="142">
        <f>SUMIF($D$7:$BG$7,"5",$D189:$BG189)</f>
        <v>0</v>
      </c>
      <c r="BV189" s="140">
        <f>SUMIFS($D$9:$BG$9,$D$7:$BG$7,"5",$D189:$BG189,"&gt;"&amp;-1)</f>
        <v>0</v>
      </c>
      <c r="BW189" s="141">
        <f t="shared" si="4"/>
        <v>0</v>
      </c>
      <c r="BX189" s="142">
        <f>SUMIF($D$7:$BG$7,"6",$D189:$BG189)</f>
        <v>0</v>
      </c>
      <c r="BY189" s="140">
        <f>SUMIFS($D$9:$BG$9,$D$7:$BG$7,"6",$D189:$BG189,"&gt;"&amp;-1)</f>
        <v>0</v>
      </c>
      <c r="BZ189" s="141">
        <f t="shared" si="5"/>
        <v>0</v>
      </c>
    </row>
    <row r="190" ht="15.75" customHeight="1" spans="1:7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65"/>
      <c r="BB190" s="165"/>
      <c r="BC190" s="165"/>
      <c r="BD190" s="165"/>
      <c r="BE190" s="165"/>
      <c r="BF190" s="166"/>
      <c r="BG190" s="167"/>
      <c r="BH190" s="46"/>
      <c r="BI190" s="153">
        <f>SUMIF($D$7:$BG$7,"1",$D190:$BG190)</f>
        <v>0</v>
      </c>
      <c r="BJ190" s="140">
        <f>SUMIFS($D$9:$BG$9,$D$7:$BG$7,"1",$D190:$BG190,"&gt;"&amp;-1)</f>
        <v>0</v>
      </c>
      <c r="BK190" s="141">
        <f t="shared" si="0"/>
        <v>0</v>
      </c>
      <c r="BL190" s="142">
        <f>SUMIF($D$7:$BG$7,"2",$D190:$BG190)</f>
        <v>0</v>
      </c>
      <c r="BM190" s="140">
        <f>SUMIFS($D$9:$BG$9,$D$7:$BG$7,"2",$D190:$BG190,"&gt;"&amp;-1)</f>
        <v>0</v>
      </c>
      <c r="BN190" s="141">
        <f t="shared" si="1"/>
        <v>0</v>
      </c>
      <c r="BO190" s="142">
        <f>SUMIF($D$7:$BG$7,"3",$D190:$BG190)</f>
        <v>0</v>
      </c>
      <c r="BP190" s="140">
        <f>SUMIFS($D$9:$BG$9,$D$7:$BG$7,"3",$D190:$BG190,"&gt;"&amp;-1)</f>
        <v>0</v>
      </c>
      <c r="BQ190" s="141">
        <f t="shared" si="2"/>
        <v>0</v>
      </c>
      <c r="BR190" s="142">
        <f>SUMIF($D$7:$BG$7,"4",$D190:$BG190)</f>
        <v>0</v>
      </c>
      <c r="BS190" s="140">
        <f>SUMIFS($D$9:$BG$9,$D$7:$BG$7,"4",$D190:$BG190,"&gt;"&amp;-1)</f>
        <v>0</v>
      </c>
      <c r="BT190" s="141">
        <f t="shared" si="3"/>
        <v>0</v>
      </c>
      <c r="BU190" s="142">
        <f>SUMIF($D$7:$BG$7,"5",$D190:$BG190)</f>
        <v>0</v>
      </c>
      <c r="BV190" s="140">
        <f>SUMIFS($D$9:$BG$9,$D$7:$BG$7,"5",$D190:$BG190,"&gt;"&amp;-1)</f>
        <v>0</v>
      </c>
      <c r="BW190" s="141">
        <f t="shared" si="4"/>
        <v>0</v>
      </c>
      <c r="BX190" s="142">
        <f>SUMIF($D$7:$BG$7,"6",$D190:$BG190)</f>
        <v>0</v>
      </c>
      <c r="BY190" s="140">
        <f>SUMIFS($D$9:$BG$9,$D$7:$BG$7,"6",$D190:$BG190,"&gt;"&amp;-1)</f>
        <v>0</v>
      </c>
      <c r="BZ190" s="141">
        <f t="shared" si="5"/>
        <v>0</v>
      </c>
    </row>
    <row r="191" ht="15.75" customHeight="1" spans="1:7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65"/>
      <c r="BB191" s="165"/>
      <c r="BC191" s="165"/>
      <c r="BD191" s="165"/>
      <c r="BE191" s="165"/>
      <c r="BF191" s="166"/>
      <c r="BG191" s="167"/>
      <c r="BH191" s="46"/>
      <c r="BI191" s="153">
        <f>SUMIF($D$7:$BG$7,"1",$D191:$BG191)</f>
        <v>0</v>
      </c>
      <c r="BJ191" s="140">
        <f>SUMIFS($D$9:$BG$9,$D$7:$BG$7,"1",$D191:$BG191,"&gt;"&amp;-1)</f>
        <v>0</v>
      </c>
      <c r="BK191" s="141">
        <f t="shared" si="0"/>
        <v>0</v>
      </c>
      <c r="BL191" s="142">
        <f>SUMIF($D$7:$BG$7,"2",$D191:$BG191)</f>
        <v>0</v>
      </c>
      <c r="BM191" s="140">
        <f>SUMIFS($D$9:$BG$9,$D$7:$BG$7,"2",$D191:$BG191,"&gt;"&amp;-1)</f>
        <v>0</v>
      </c>
      <c r="BN191" s="141">
        <f t="shared" si="1"/>
        <v>0</v>
      </c>
      <c r="BO191" s="142">
        <f>SUMIF($D$7:$BG$7,"3",$D191:$BG191)</f>
        <v>0</v>
      </c>
      <c r="BP191" s="140">
        <f>SUMIFS($D$9:$BG$9,$D$7:$BG$7,"3",$D191:$BG191,"&gt;"&amp;-1)</f>
        <v>0</v>
      </c>
      <c r="BQ191" s="141">
        <f t="shared" si="2"/>
        <v>0</v>
      </c>
      <c r="BR191" s="142">
        <f>SUMIF($D$7:$BG$7,"4",$D191:$BG191)</f>
        <v>0</v>
      </c>
      <c r="BS191" s="140">
        <f>SUMIFS($D$9:$BG$9,$D$7:$BG$7,"4",$D191:$BG191,"&gt;"&amp;-1)</f>
        <v>0</v>
      </c>
      <c r="BT191" s="141">
        <f t="shared" si="3"/>
        <v>0</v>
      </c>
      <c r="BU191" s="142">
        <f>SUMIF($D$7:$BG$7,"5",$D191:$BG191)</f>
        <v>0</v>
      </c>
      <c r="BV191" s="140">
        <f>SUMIFS($D$9:$BG$9,$D$7:$BG$7,"5",$D191:$BG191,"&gt;"&amp;-1)</f>
        <v>0</v>
      </c>
      <c r="BW191" s="141">
        <f t="shared" si="4"/>
        <v>0</v>
      </c>
      <c r="BX191" s="142">
        <f>SUMIF($D$7:$BG$7,"6",$D191:$BG191)</f>
        <v>0</v>
      </c>
      <c r="BY191" s="140">
        <f>SUMIFS($D$9:$BG$9,$D$7:$BG$7,"6",$D191:$BG191,"&gt;"&amp;-1)</f>
        <v>0</v>
      </c>
      <c r="BZ191" s="141">
        <f t="shared" si="5"/>
        <v>0</v>
      </c>
    </row>
    <row r="192" ht="15.75" customHeight="1" spans="1:7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65"/>
      <c r="BB192" s="165"/>
      <c r="BC192" s="165"/>
      <c r="BD192" s="165"/>
      <c r="BE192" s="165"/>
      <c r="BF192" s="166"/>
      <c r="BG192" s="167"/>
      <c r="BH192" s="46"/>
      <c r="BI192" s="153">
        <f>SUMIF($D$7:$BG$7,"1",$D192:$BG192)</f>
        <v>0</v>
      </c>
      <c r="BJ192" s="140">
        <f>SUMIFS($D$9:$BG$9,$D$7:$BG$7,"1",$D192:$BG192,"&gt;"&amp;-1)</f>
        <v>0</v>
      </c>
      <c r="BK192" s="141">
        <f t="shared" si="0"/>
        <v>0</v>
      </c>
      <c r="BL192" s="142">
        <f>SUMIF($D$7:$BG$7,"2",$D192:$BG192)</f>
        <v>0</v>
      </c>
      <c r="BM192" s="140">
        <f>SUMIFS($D$9:$BG$9,$D$7:$BG$7,"2",$D192:$BG192,"&gt;"&amp;-1)</f>
        <v>0</v>
      </c>
      <c r="BN192" s="141">
        <f t="shared" si="1"/>
        <v>0</v>
      </c>
      <c r="BO192" s="142">
        <f>SUMIF($D$7:$BG$7,"3",$D192:$BG192)</f>
        <v>0</v>
      </c>
      <c r="BP192" s="140">
        <f>SUMIFS($D$9:$BG$9,$D$7:$BG$7,"3",$D192:$BG192,"&gt;"&amp;-1)</f>
        <v>0</v>
      </c>
      <c r="BQ192" s="141">
        <f t="shared" si="2"/>
        <v>0</v>
      </c>
      <c r="BR192" s="142">
        <f>SUMIF($D$7:$BG$7,"4",$D192:$BG192)</f>
        <v>0</v>
      </c>
      <c r="BS192" s="140">
        <f>SUMIFS($D$9:$BG$9,$D$7:$BG$7,"4",$D192:$BG192,"&gt;"&amp;-1)</f>
        <v>0</v>
      </c>
      <c r="BT192" s="141">
        <f t="shared" si="3"/>
        <v>0</v>
      </c>
      <c r="BU192" s="142">
        <f>SUMIF($D$7:$BG$7,"5",$D192:$BG192)</f>
        <v>0</v>
      </c>
      <c r="BV192" s="140">
        <f>SUMIFS($D$9:$BG$9,$D$7:$BG$7,"5",$D192:$BG192,"&gt;"&amp;-1)</f>
        <v>0</v>
      </c>
      <c r="BW192" s="141">
        <f t="shared" si="4"/>
        <v>0</v>
      </c>
      <c r="BX192" s="142">
        <f>SUMIF($D$7:$BG$7,"6",$D192:$BG192)</f>
        <v>0</v>
      </c>
      <c r="BY192" s="140">
        <f>SUMIFS($D$9:$BG$9,$D$7:$BG$7,"6",$D192:$BG192,"&gt;"&amp;-1)</f>
        <v>0</v>
      </c>
      <c r="BZ192" s="141">
        <f t="shared" si="5"/>
        <v>0</v>
      </c>
    </row>
    <row r="193" ht="15.75" customHeight="1" spans="1:7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65"/>
      <c r="BB193" s="165"/>
      <c r="BC193" s="165"/>
      <c r="BD193" s="165"/>
      <c r="BE193" s="165"/>
      <c r="BF193" s="166"/>
      <c r="BG193" s="167"/>
      <c r="BH193" s="46"/>
      <c r="BI193" s="153">
        <f>SUMIF($D$7:$BG$7,"1",$D193:$BG193)</f>
        <v>0</v>
      </c>
      <c r="BJ193" s="140">
        <f>SUMIFS($D$9:$BG$9,$D$7:$BG$7,"1",$D193:$BG193,"&gt;"&amp;-1)</f>
        <v>0</v>
      </c>
      <c r="BK193" s="141">
        <f t="shared" si="0"/>
        <v>0</v>
      </c>
      <c r="BL193" s="142">
        <f>SUMIF($D$7:$BG$7,"2",$D193:$BG193)</f>
        <v>0</v>
      </c>
      <c r="BM193" s="140">
        <f>SUMIFS($D$9:$BG$9,$D$7:$BG$7,"2",$D193:$BG193,"&gt;"&amp;-1)</f>
        <v>0</v>
      </c>
      <c r="BN193" s="141">
        <f t="shared" si="1"/>
        <v>0</v>
      </c>
      <c r="BO193" s="142">
        <f>SUMIF($D$7:$BG$7,"3",$D193:$BG193)</f>
        <v>0</v>
      </c>
      <c r="BP193" s="140">
        <f>SUMIFS($D$9:$BG$9,$D$7:$BG$7,"3",$D193:$BG193,"&gt;"&amp;-1)</f>
        <v>0</v>
      </c>
      <c r="BQ193" s="141">
        <f t="shared" si="2"/>
        <v>0</v>
      </c>
      <c r="BR193" s="142">
        <f>SUMIF($D$7:$BG$7,"4",$D193:$BG193)</f>
        <v>0</v>
      </c>
      <c r="BS193" s="140">
        <f>SUMIFS($D$9:$BG$9,$D$7:$BG$7,"4",$D193:$BG193,"&gt;"&amp;-1)</f>
        <v>0</v>
      </c>
      <c r="BT193" s="141">
        <f t="shared" si="3"/>
        <v>0</v>
      </c>
      <c r="BU193" s="142">
        <f>SUMIF($D$7:$BG$7,"5",$D193:$BG193)</f>
        <v>0</v>
      </c>
      <c r="BV193" s="140">
        <f>SUMIFS($D$9:$BG$9,$D$7:$BG$7,"5",$D193:$BG193,"&gt;"&amp;-1)</f>
        <v>0</v>
      </c>
      <c r="BW193" s="141">
        <f t="shared" si="4"/>
        <v>0</v>
      </c>
      <c r="BX193" s="142">
        <f>SUMIF($D$7:$BG$7,"6",$D193:$BG193)</f>
        <v>0</v>
      </c>
      <c r="BY193" s="140">
        <f>SUMIFS($D$9:$BG$9,$D$7:$BG$7,"6",$D193:$BG193,"&gt;"&amp;-1)</f>
        <v>0</v>
      </c>
      <c r="BZ193" s="141">
        <f t="shared" si="5"/>
        <v>0</v>
      </c>
    </row>
    <row r="194" ht="15.75" customHeight="1" spans="1:7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65"/>
      <c r="BB194" s="165"/>
      <c r="BC194" s="165"/>
      <c r="BD194" s="165"/>
      <c r="BE194" s="165"/>
      <c r="BF194" s="166"/>
      <c r="BG194" s="167"/>
      <c r="BH194" s="46"/>
      <c r="BI194" s="153">
        <f>SUMIF($D$7:$BG$7,"1",$D194:$BG194)</f>
        <v>0</v>
      </c>
      <c r="BJ194" s="140">
        <f>SUMIFS($D$9:$BG$9,$D$7:$BG$7,"1",$D194:$BG194,"&gt;"&amp;-1)</f>
        <v>0</v>
      </c>
      <c r="BK194" s="141">
        <f t="shared" si="0"/>
        <v>0</v>
      </c>
      <c r="BL194" s="142">
        <f>SUMIF($D$7:$BG$7,"2",$D194:$BG194)</f>
        <v>0</v>
      </c>
      <c r="BM194" s="140">
        <f>SUMIFS($D$9:$BG$9,$D$7:$BG$7,"2",$D194:$BG194,"&gt;"&amp;-1)</f>
        <v>0</v>
      </c>
      <c r="BN194" s="141">
        <f t="shared" si="1"/>
        <v>0</v>
      </c>
      <c r="BO194" s="142">
        <f>SUMIF($D$7:$BG$7,"3",$D194:$BG194)</f>
        <v>0</v>
      </c>
      <c r="BP194" s="140">
        <f>SUMIFS($D$9:$BG$9,$D$7:$BG$7,"3",$D194:$BG194,"&gt;"&amp;-1)</f>
        <v>0</v>
      </c>
      <c r="BQ194" s="141">
        <f t="shared" si="2"/>
        <v>0</v>
      </c>
      <c r="BR194" s="142">
        <f>SUMIF($D$7:$BG$7,"4",$D194:$BG194)</f>
        <v>0</v>
      </c>
      <c r="BS194" s="140">
        <f>SUMIFS($D$9:$BG$9,$D$7:$BG$7,"4",$D194:$BG194,"&gt;"&amp;-1)</f>
        <v>0</v>
      </c>
      <c r="BT194" s="141">
        <f t="shared" si="3"/>
        <v>0</v>
      </c>
      <c r="BU194" s="142">
        <f>SUMIF($D$7:$BG$7,"5",$D194:$BG194)</f>
        <v>0</v>
      </c>
      <c r="BV194" s="140">
        <f>SUMIFS($D$9:$BG$9,$D$7:$BG$7,"5",$D194:$BG194,"&gt;"&amp;-1)</f>
        <v>0</v>
      </c>
      <c r="BW194" s="141">
        <f t="shared" si="4"/>
        <v>0</v>
      </c>
      <c r="BX194" s="142">
        <f>SUMIF($D$7:$BG$7,"6",$D194:$BG194)</f>
        <v>0</v>
      </c>
      <c r="BY194" s="140">
        <f>SUMIFS($D$9:$BG$9,$D$7:$BG$7,"6",$D194:$BG194,"&gt;"&amp;-1)</f>
        <v>0</v>
      </c>
      <c r="BZ194" s="141">
        <f t="shared" si="5"/>
        <v>0</v>
      </c>
    </row>
    <row r="195" ht="15.75" customHeight="1" spans="1:7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65"/>
      <c r="BB195" s="165"/>
      <c r="BC195" s="165"/>
      <c r="BD195" s="165"/>
      <c r="BE195" s="165"/>
      <c r="BF195" s="166"/>
      <c r="BG195" s="167"/>
      <c r="BH195" s="46"/>
      <c r="BI195" s="153">
        <f>SUMIF($D$7:$BG$7,"1",$D195:$BG195)</f>
        <v>0</v>
      </c>
      <c r="BJ195" s="140">
        <f>SUMIFS($D$9:$BG$9,$D$7:$BG$7,"1",$D195:$BG195,"&gt;"&amp;-1)</f>
        <v>0</v>
      </c>
      <c r="BK195" s="141">
        <f t="shared" si="0"/>
        <v>0</v>
      </c>
      <c r="BL195" s="142">
        <f>SUMIF($D$7:$BG$7,"2",$D195:$BG195)</f>
        <v>0</v>
      </c>
      <c r="BM195" s="140">
        <f>SUMIFS($D$9:$BG$9,$D$7:$BG$7,"2",$D195:$BG195,"&gt;"&amp;-1)</f>
        <v>0</v>
      </c>
      <c r="BN195" s="141">
        <f t="shared" si="1"/>
        <v>0</v>
      </c>
      <c r="BO195" s="142">
        <f>SUMIF($D$7:$BG$7,"3",$D195:$BG195)</f>
        <v>0</v>
      </c>
      <c r="BP195" s="140">
        <f>SUMIFS($D$9:$BG$9,$D$7:$BG$7,"3",$D195:$BG195,"&gt;"&amp;-1)</f>
        <v>0</v>
      </c>
      <c r="BQ195" s="141">
        <f t="shared" si="2"/>
        <v>0</v>
      </c>
      <c r="BR195" s="142">
        <f>SUMIF($D$7:$BG$7,"4",$D195:$BG195)</f>
        <v>0</v>
      </c>
      <c r="BS195" s="140">
        <f>SUMIFS($D$9:$BG$9,$D$7:$BG$7,"4",$D195:$BG195,"&gt;"&amp;-1)</f>
        <v>0</v>
      </c>
      <c r="BT195" s="141">
        <f t="shared" si="3"/>
        <v>0</v>
      </c>
      <c r="BU195" s="142">
        <f>SUMIF($D$7:$BG$7,"5",$D195:$BG195)</f>
        <v>0</v>
      </c>
      <c r="BV195" s="140">
        <f>SUMIFS($D$9:$BG$9,$D$7:$BG$7,"5",$D195:$BG195,"&gt;"&amp;-1)</f>
        <v>0</v>
      </c>
      <c r="BW195" s="141">
        <f t="shared" si="4"/>
        <v>0</v>
      </c>
      <c r="BX195" s="142">
        <f>SUMIF($D$7:$BG$7,"6",$D195:$BG195)</f>
        <v>0</v>
      </c>
      <c r="BY195" s="140">
        <f>SUMIFS($D$9:$BG$9,$D$7:$BG$7,"6",$D195:$BG195,"&gt;"&amp;-1)</f>
        <v>0</v>
      </c>
      <c r="BZ195" s="141">
        <f t="shared" si="5"/>
        <v>0</v>
      </c>
    </row>
    <row r="196" ht="15.75" customHeight="1" spans="1:7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65"/>
      <c r="BB196" s="165"/>
      <c r="BC196" s="165"/>
      <c r="BD196" s="165"/>
      <c r="BE196" s="165"/>
      <c r="BF196" s="166"/>
      <c r="BG196" s="167"/>
      <c r="BH196" s="46"/>
      <c r="BI196" s="153">
        <f>SUMIF($D$7:$BG$7,"1",$D196:$BG196)</f>
        <v>0</v>
      </c>
      <c r="BJ196" s="140">
        <f>SUMIFS($D$9:$BG$9,$D$7:$BG$7,"1",$D196:$BG196,"&gt;"&amp;-1)</f>
        <v>0</v>
      </c>
      <c r="BK196" s="141">
        <f t="shared" si="0"/>
        <v>0</v>
      </c>
      <c r="BL196" s="142">
        <f>SUMIF($D$7:$BG$7,"2",$D196:$BG196)</f>
        <v>0</v>
      </c>
      <c r="BM196" s="140">
        <f>SUMIFS($D$9:$BG$9,$D$7:$BG$7,"2",$D196:$BG196,"&gt;"&amp;-1)</f>
        <v>0</v>
      </c>
      <c r="BN196" s="141">
        <f t="shared" si="1"/>
        <v>0</v>
      </c>
      <c r="BO196" s="142">
        <f>SUMIF($D$7:$BG$7,"3",$D196:$BG196)</f>
        <v>0</v>
      </c>
      <c r="BP196" s="140">
        <f>SUMIFS($D$9:$BG$9,$D$7:$BG$7,"3",$D196:$BG196,"&gt;"&amp;-1)</f>
        <v>0</v>
      </c>
      <c r="BQ196" s="141">
        <f t="shared" si="2"/>
        <v>0</v>
      </c>
      <c r="BR196" s="142">
        <f>SUMIF($D$7:$BG$7,"4",$D196:$BG196)</f>
        <v>0</v>
      </c>
      <c r="BS196" s="140">
        <f>SUMIFS($D$9:$BG$9,$D$7:$BG$7,"4",$D196:$BG196,"&gt;"&amp;-1)</f>
        <v>0</v>
      </c>
      <c r="BT196" s="141">
        <f t="shared" si="3"/>
        <v>0</v>
      </c>
      <c r="BU196" s="142">
        <f>SUMIF($D$7:$BG$7,"5",$D196:$BG196)</f>
        <v>0</v>
      </c>
      <c r="BV196" s="140">
        <f>SUMIFS($D$9:$BG$9,$D$7:$BG$7,"5",$D196:$BG196,"&gt;"&amp;-1)</f>
        <v>0</v>
      </c>
      <c r="BW196" s="141">
        <f t="shared" si="4"/>
        <v>0</v>
      </c>
      <c r="BX196" s="142">
        <f>SUMIF($D$7:$BG$7,"6",$D196:$BG196)</f>
        <v>0</v>
      </c>
      <c r="BY196" s="140">
        <f>SUMIFS($D$9:$BG$9,$D$7:$BG$7,"6",$D196:$BG196,"&gt;"&amp;-1)</f>
        <v>0</v>
      </c>
      <c r="BZ196" s="141">
        <f t="shared" si="5"/>
        <v>0</v>
      </c>
    </row>
    <row r="197" ht="15.75" customHeight="1" spans="1:7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65"/>
      <c r="BB197" s="165"/>
      <c r="BC197" s="165"/>
      <c r="BD197" s="165"/>
      <c r="BE197" s="165"/>
      <c r="BF197" s="166"/>
      <c r="BG197" s="167"/>
      <c r="BH197" s="46"/>
      <c r="BI197" s="153">
        <f>SUMIF($D$7:$BG$7,"1",$D197:$BG197)</f>
        <v>0</v>
      </c>
      <c r="BJ197" s="140">
        <f>SUMIFS($D$9:$BG$9,$D$7:$BG$7,"1",$D197:$BG197,"&gt;"&amp;-1)</f>
        <v>0</v>
      </c>
      <c r="BK197" s="141">
        <f t="shared" si="0"/>
        <v>0</v>
      </c>
      <c r="BL197" s="142">
        <f>SUMIF($D$7:$BG$7,"2",$D197:$BG197)</f>
        <v>0</v>
      </c>
      <c r="BM197" s="140">
        <f>SUMIFS($D$9:$BG$9,$D$7:$BG$7,"2",$D197:$BG197,"&gt;"&amp;-1)</f>
        <v>0</v>
      </c>
      <c r="BN197" s="141">
        <f t="shared" si="1"/>
        <v>0</v>
      </c>
      <c r="BO197" s="142">
        <f>SUMIF($D$7:$BG$7,"3",$D197:$BG197)</f>
        <v>0</v>
      </c>
      <c r="BP197" s="140">
        <f>SUMIFS($D$9:$BG$9,$D$7:$BG$7,"3",$D197:$BG197,"&gt;"&amp;-1)</f>
        <v>0</v>
      </c>
      <c r="BQ197" s="141">
        <f t="shared" si="2"/>
        <v>0</v>
      </c>
      <c r="BR197" s="142">
        <f>SUMIF($D$7:$BG$7,"4",$D197:$BG197)</f>
        <v>0</v>
      </c>
      <c r="BS197" s="140">
        <f>SUMIFS($D$9:$BG$9,$D$7:$BG$7,"4",$D197:$BG197,"&gt;"&amp;-1)</f>
        <v>0</v>
      </c>
      <c r="BT197" s="141">
        <f t="shared" si="3"/>
        <v>0</v>
      </c>
      <c r="BU197" s="142">
        <f>SUMIF($D$7:$BG$7,"5",$D197:$BG197)</f>
        <v>0</v>
      </c>
      <c r="BV197" s="140">
        <f>SUMIFS($D$9:$BG$9,$D$7:$BG$7,"5",$D197:$BG197,"&gt;"&amp;-1)</f>
        <v>0</v>
      </c>
      <c r="BW197" s="141">
        <f t="shared" si="4"/>
        <v>0</v>
      </c>
      <c r="BX197" s="142">
        <f>SUMIF($D$7:$BG$7,"6",$D197:$BG197)</f>
        <v>0</v>
      </c>
      <c r="BY197" s="140">
        <f>SUMIFS($D$9:$BG$9,$D$7:$BG$7,"6",$D197:$BG197,"&gt;"&amp;-1)</f>
        <v>0</v>
      </c>
      <c r="BZ197" s="141">
        <f t="shared" si="5"/>
        <v>0</v>
      </c>
    </row>
    <row r="198" ht="15.75" customHeight="1" spans="1:7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65"/>
      <c r="BB198" s="165"/>
      <c r="BC198" s="165"/>
      <c r="BD198" s="165"/>
      <c r="BE198" s="165"/>
      <c r="BF198" s="166"/>
      <c r="BG198" s="167"/>
      <c r="BH198" s="46"/>
      <c r="BI198" s="153">
        <f>SUMIF($D$7:$BG$7,"1",$D198:$BG198)</f>
        <v>0</v>
      </c>
      <c r="BJ198" s="140">
        <f>SUMIFS($D$9:$BG$9,$D$7:$BG$7,"1",$D198:$BG198,"&gt;"&amp;-1)</f>
        <v>0</v>
      </c>
      <c r="BK198" s="141">
        <f t="shared" si="0"/>
        <v>0</v>
      </c>
      <c r="BL198" s="142">
        <f>SUMIF($D$7:$BG$7,"2",$D198:$BG198)</f>
        <v>0</v>
      </c>
      <c r="BM198" s="140">
        <f>SUMIFS($D$9:$BG$9,$D$7:$BG$7,"2",$D198:$BG198,"&gt;"&amp;-1)</f>
        <v>0</v>
      </c>
      <c r="BN198" s="141">
        <f t="shared" si="1"/>
        <v>0</v>
      </c>
      <c r="BO198" s="142">
        <f>SUMIF($D$7:$BG$7,"3",$D198:$BG198)</f>
        <v>0</v>
      </c>
      <c r="BP198" s="140">
        <f>SUMIFS($D$9:$BG$9,$D$7:$BG$7,"3",$D198:$BG198,"&gt;"&amp;-1)</f>
        <v>0</v>
      </c>
      <c r="BQ198" s="141">
        <f t="shared" si="2"/>
        <v>0</v>
      </c>
      <c r="BR198" s="142">
        <f>SUMIF($D$7:$BG$7,"4",$D198:$BG198)</f>
        <v>0</v>
      </c>
      <c r="BS198" s="140">
        <f>SUMIFS($D$9:$BG$9,$D$7:$BG$7,"4",$D198:$BG198,"&gt;"&amp;-1)</f>
        <v>0</v>
      </c>
      <c r="BT198" s="141">
        <f t="shared" si="3"/>
        <v>0</v>
      </c>
      <c r="BU198" s="142">
        <f>SUMIF($D$7:$BG$7,"5",$D198:$BG198)</f>
        <v>0</v>
      </c>
      <c r="BV198" s="140">
        <f>SUMIFS($D$9:$BG$9,$D$7:$BG$7,"5",$D198:$BG198,"&gt;"&amp;-1)</f>
        <v>0</v>
      </c>
      <c r="BW198" s="141">
        <f t="shared" si="4"/>
        <v>0</v>
      </c>
      <c r="BX198" s="142">
        <f>SUMIF($D$7:$BG$7,"6",$D198:$BG198)</f>
        <v>0</v>
      </c>
      <c r="BY198" s="140">
        <f>SUMIFS($D$9:$BG$9,$D$7:$BG$7,"6",$D198:$BG198,"&gt;"&amp;-1)</f>
        <v>0</v>
      </c>
      <c r="BZ198" s="141">
        <f t="shared" si="5"/>
        <v>0</v>
      </c>
    </row>
    <row r="199" ht="15.75" customHeight="1" spans="1:7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65"/>
      <c r="BB199" s="165"/>
      <c r="BC199" s="165"/>
      <c r="BD199" s="165"/>
      <c r="BE199" s="165"/>
      <c r="BF199" s="166">
        <f>SUM(D199:S199)</f>
        <v>0</v>
      </c>
      <c r="BG199" s="167">
        <f>(BF199*15)/40</f>
        <v>0</v>
      </c>
      <c r="BH199" s="46"/>
      <c r="BI199" s="153">
        <f>SUMIF($D$7:$BG$7,"1",$D199:$BG199)</f>
        <v>0</v>
      </c>
      <c r="BJ199" s="140">
        <f>SUMIFS($D$9:$BG$9,$D$7:$BG$7,"1",$D199:$BG199,"&gt;"&amp;-1)</f>
        <v>0</v>
      </c>
      <c r="BK199" s="141">
        <f t="shared" si="0"/>
        <v>0</v>
      </c>
      <c r="BL199" s="142">
        <f>SUMIF($D$7:$BG$7,"2",$D199:$BG199)</f>
        <v>0</v>
      </c>
      <c r="BM199" s="140">
        <f>SUMIFS($D$9:$BG$9,$D$7:$BG$7,"2",$D199:$BG199,"&gt;"&amp;-1)</f>
        <v>0</v>
      </c>
      <c r="BN199" s="141">
        <f t="shared" si="1"/>
        <v>0</v>
      </c>
      <c r="BO199" s="142">
        <f>SUMIF($D$7:$BG$7,"3",$D199:$BG199)</f>
        <v>0</v>
      </c>
      <c r="BP199" s="140">
        <f>SUMIFS($D$9:$BG$9,$D$7:$BG$7,"3",$D199:$BG199,"&gt;"&amp;-1)</f>
        <v>0</v>
      </c>
      <c r="BQ199" s="141">
        <f t="shared" si="2"/>
        <v>0</v>
      </c>
      <c r="BR199" s="142">
        <f>SUMIF($D$7:$BG$7,"4",$D199:$BG199)</f>
        <v>0</v>
      </c>
      <c r="BS199" s="140">
        <f>SUMIFS($D$9:$BG$9,$D$7:$BG$7,"4",$D199:$BG199,"&gt;"&amp;-1)</f>
        <v>0</v>
      </c>
      <c r="BT199" s="141">
        <f t="shared" si="3"/>
        <v>0</v>
      </c>
      <c r="BU199" s="142">
        <f>SUMIF($D$7:$BG$7,"5",$D199:$BG199)</f>
        <v>0</v>
      </c>
      <c r="BV199" s="140">
        <f>SUMIFS($D$9:$BG$9,$D$7:$BG$7,"5",$D199:$BG199,"&gt;"&amp;-1)</f>
        <v>0</v>
      </c>
      <c r="BW199" s="141">
        <f t="shared" si="4"/>
        <v>0</v>
      </c>
      <c r="BX199" s="142">
        <f>SUMIF($D$7:$BG$7,"6",$D199:$BG199)</f>
        <v>0</v>
      </c>
      <c r="BY199" s="140">
        <f>SUMIFS($D$9:$BG$9,$D$7:$BG$7,"6",$D199:$BG199,"&gt;"&amp;-1)</f>
        <v>0</v>
      </c>
      <c r="BZ199" s="141">
        <f t="shared" si="5"/>
        <v>0</v>
      </c>
    </row>
    <row r="200" ht="15.75" customHeight="1" spans="1:78" x14ac:dyDescent="0.25">
      <c r="A200" s="171" t="s">
        <v>192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72" t="s">
        <v>192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65"/>
      <c r="BB200" s="165"/>
      <c r="BC200" s="165"/>
      <c r="BD200" s="165"/>
      <c r="BE200" s="165"/>
      <c r="BF200" s="166">
        <f>SUM(D200:S200)</f>
        <v>0</v>
      </c>
      <c r="BG200" s="167">
        <f>(BF200*15)/40</f>
        <v>0</v>
      </c>
      <c r="BH200" s="46"/>
      <c r="BI200" s="153">
        <f>SUMIF($D$7:$BG$7,"1",$D200:$BG200)</f>
        <v>0</v>
      </c>
      <c r="BJ200" s="140">
        <f>SUMIFS($D$9:$BG$9,$D$7:$BG$7,"1",$D200:$BG200,"&gt;"&amp;-1)</f>
        <v>0</v>
      </c>
      <c r="BK200" s="141">
        <f t="shared" si="0"/>
        <v>0</v>
      </c>
      <c r="BL200" s="142">
        <f>SUMIF($D$7:$BG$7,"2",$D200:$BG200)</f>
        <v>0</v>
      </c>
      <c r="BM200" s="140">
        <f>SUMIFS($D$9:$BG$9,$D$7:$BG$7,"2",$D200:$BG200,"&gt;"&amp;-1)</f>
        <v>0</v>
      </c>
      <c r="BN200" s="141">
        <f t="shared" si="1"/>
        <v>0</v>
      </c>
      <c r="BO200" s="142">
        <f>SUMIF($D$7:$BG$7,"3",$D200:$BG200)</f>
        <v>0</v>
      </c>
      <c r="BP200" s="140">
        <f>SUMIFS($D$9:$BG$9,$D$7:$BG$7,"3",$D200:$BG200,"&gt;"&amp;-1)</f>
        <v>0</v>
      </c>
      <c r="BQ200" s="141">
        <f t="shared" si="2"/>
        <v>0</v>
      </c>
      <c r="BR200" s="142">
        <f>SUMIF($D$7:$BG$7,"4",$D200:$BG200)</f>
        <v>0</v>
      </c>
      <c r="BS200" s="140">
        <f>SUMIFS($D$9:$BG$9,$D$7:$BG$7,"4",$D200:$BG200,"&gt;"&amp;-1)</f>
        <v>0</v>
      </c>
      <c r="BT200" s="141">
        <f t="shared" si="3"/>
        <v>0</v>
      </c>
      <c r="BU200" s="142">
        <f>SUMIF($D$7:$BG$7,"5",$D200:$BG200)</f>
        <v>0</v>
      </c>
      <c r="BV200" s="140">
        <f>SUMIFS($D$9:$BG$9,$D$7:$BG$7,"5",$D200:$BG200,"&gt;"&amp;-1)</f>
        <v>0</v>
      </c>
      <c r="BW200" s="141">
        <f t="shared" si="4"/>
        <v>0</v>
      </c>
      <c r="BX200" s="142">
        <f>SUMIF($D$7:$BG$7,"6",$D200:$BG200)</f>
        <v>0</v>
      </c>
      <c r="BY200" s="140">
        <f>SUMIFS($D$9:$BG$9,$D$7:$BG$7,"6",$D200:$BG200,"&gt;"&amp;-1)</f>
        <v>0</v>
      </c>
      <c r="BZ200" s="141">
        <f t="shared" si="5"/>
        <v>0</v>
      </c>
    </row>
    <row r="201" ht="15.75" customHeight="1" spans="1:78" x14ac:dyDescent="0.25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46"/>
      <c r="BJ201" s="46"/>
      <c r="BK201" s="173"/>
      <c r="BL201" s="164"/>
      <c r="BM201" s="164"/>
      <c r="BN201" s="164"/>
      <c r="BO201" s="164"/>
      <c r="BP201" s="164"/>
      <c r="BQ201" s="164"/>
      <c r="BR201" s="164"/>
      <c r="BS201" s="164"/>
      <c r="BT201" s="164"/>
      <c r="BU201" s="164"/>
      <c r="BV201" s="164"/>
      <c r="BW201" s="164"/>
      <c r="BX201" s="164"/>
      <c r="BY201" s="164"/>
      <c r="BZ201" s="164"/>
    </row>
    <row r="202" ht="15.75" customHeight="1" spans="1:78" x14ac:dyDescent="0.25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46"/>
      <c r="BJ202" s="46"/>
      <c r="BK202" s="173"/>
      <c r="BL202" s="164"/>
      <c r="BM202" s="164"/>
      <c r="BN202" s="164"/>
      <c r="BO202" s="164"/>
      <c r="BP202" s="164"/>
      <c r="BQ202" s="164"/>
      <c r="BR202" s="164"/>
      <c r="BS202" s="164"/>
      <c r="BT202" s="164"/>
      <c r="BU202" s="164"/>
      <c r="BV202" s="164"/>
      <c r="BW202" s="164"/>
      <c r="BX202" s="164"/>
      <c r="BY202" s="164"/>
      <c r="BZ202" s="164"/>
    </row>
    <row r="203" ht="15.75" customHeight="1" spans="1:78" x14ac:dyDescent="0.25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46"/>
      <c r="BJ203" s="46"/>
      <c r="BK203" s="173"/>
      <c r="BL203" s="164"/>
      <c r="BM203" s="164"/>
      <c r="BN203" s="164"/>
      <c r="BO203" s="164"/>
      <c r="BP203" s="164"/>
      <c r="BQ203" s="164"/>
      <c r="BR203" s="164"/>
      <c r="BS203" s="164"/>
      <c r="BT203" s="164"/>
      <c r="BU203" s="164"/>
      <c r="BV203" s="164"/>
      <c r="BW203" s="164"/>
      <c r="BX203" s="164"/>
      <c r="BY203" s="164"/>
      <c r="BZ203" s="164"/>
    </row>
    <row r="204" ht="15.75" customHeight="1" spans="1:78" x14ac:dyDescent="0.25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46"/>
      <c r="BJ204" s="46"/>
      <c r="BK204" s="173"/>
      <c r="BL204" s="164"/>
      <c r="BM204" s="164"/>
      <c r="BN204" s="164"/>
      <c r="BO204" s="164"/>
      <c r="BP204" s="164"/>
      <c r="BQ204" s="164"/>
      <c r="BR204" s="164"/>
      <c r="BS204" s="164"/>
      <c r="BT204" s="164"/>
      <c r="BU204" s="164"/>
      <c r="BV204" s="164"/>
      <c r="BW204" s="164"/>
      <c r="BX204" s="164"/>
      <c r="BY204" s="164"/>
      <c r="BZ204" s="164"/>
    </row>
    <row r="205" ht="15.75" customHeight="1" spans="1:78" x14ac:dyDescent="0.2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46"/>
      <c r="BJ205" s="46"/>
      <c r="BK205" s="173"/>
      <c r="BL205" s="164"/>
      <c r="BM205" s="164"/>
      <c r="BN205" s="164"/>
      <c r="BO205" s="164"/>
      <c r="BP205" s="164"/>
      <c r="BQ205" s="164"/>
      <c r="BR205" s="164"/>
      <c r="BS205" s="164"/>
      <c r="BT205" s="164"/>
      <c r="BU205" s="164"/>
      <c r="BV205" s="164"/>
      <c r="BW205" s="164"/>
      <c r="BX205" s="164"/>
      <c r="BY205" s="164"/>
      <c r="BZ205" s="164"/>
    </row>
    <row r="206" ht="15.75" customHeight="1" spans="1:78" x14ac:dyDescent="0.25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  <c r="BH206" s="164"/>
      <c r="BI206" s="46"/>
      <c r="BJ206" s="46"/>
      <c r="BK206" s="173"/>
      <c r="BL206" s="164"/>
      <c r="BM206" s="164"/>
      <c r="BN206" s="164"/>
      <c r="BO206" s="164"/>
      <c r="BP206" s="164"/>
      <c r="BQ206" s="164"/>
      <c r="BR206" s="164"/>
      <c r="BS206" s="164"/>
      <c r="BT206" s="164"/>
      <c r="BU206" s="164"/>
      <c r="BV206" s="164"/>
      <c r="BW206" s="164"/>
      <c r="BX206" s="164"/>
      <c r="BY206" s="164"/>
      <c r="BZ206" s="164"/>
    </row>
    <row r="207" ht="15.75" customHeight="1" spans="1:78" x14ac:dyDescent="0.25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  <c r="BH207" s="164"/>
      <c r="BI207" s="46"/>
      <c r="BJ207" s="46"/>
      <c r="BK207" s="173"/>
      <c r="BL207" s="164"/>
      <c r="BM207" s="164"/>
      <c r="BN207" s="164"/>
      <c r="BO207" s="164"/>
      <c r="BP207" s="164"/>
      <c r="BQ207" s="164"/>
      <c r="BR207" s="164"/>
      <c r="BS207" s="164"/>
      <c r="BT207" s="164"/>
      <c r="BU207" s="164"/>
      <c r="BV207" s="164"/>
      <c r="BW207" s="164"/>
      <c r="BX207" s="164"/>
      <c r="BY207" s="164"/>
      <c r="BZ207" s="164"/>
    </row>
    <row r="208" ht="15.75" customHeight="1" spans="1:78" x14ac:dyDescent="0.25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  <c r="BH208" s="164"/>
      <c r="BI208" s="46"/>
      <c r="BJ208" s="46"/>
      <c r="BK208" s="173"/>
      <c r="BL208" s="164"/>
      <c r="BM208" s="164"/>
      <c r="BN208" s="164"/>
      <c r="BO208" s="164"/>
      <c r="BP208" s="164"/>
      <c r="BQ208" s="164"/>
      <c r="BR208" s="164"/>
      <c r="BS208" s="164"/>
      <c r="BT208" s="164"/>
      <c r="BU208" s="164"/>
      <c r="BV208" s="164"/>
      <c r="BW208" s="164"/>
      <c r="BX208" s="164"/>
      <c r="BY208" s="164"/>
      <c r="BZ208" s="164"/>
    </row>
    <row r="209" ht="15.75" customHeight="1" spans="1:78" x14ac:dyDescent="0.25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  <c r="BH209" s="164"/>
      <c r="BI209" s="46"/>
      <c r="BJ209" s="46"/>
      <c r="BK209" s="173"/>
      <c r="BL209" s="164"/>
      <c r="BM209" s="164"/>
      <c r="BN209" s="164"/>
      <c r="BO209" s="164"/>
      <c r="BP209" s="164"/>
      <c r="BQ209" s="164"/>
      <c r="BR209" s="164"/>
      <c r="BS209" s="164"/>
      <c r="BT209" s="164"/>
      <c r="BU209" s="164"/>
      <c r="BV209" s="164"/>
      <c r="BW209" s="164"/>
      <c r="BX209" s="164"/>
      <c r="BY209" s="164"/>
      <c r="BZ209" s="164"/>
    </row>
    <row r="210" ht="15.75" customHeight="1" spans="1:78" x14ac:dyDescent="0.25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  <c r="BH210" s="164"/>
      <c r="BI210" s="46"/>
      <c r="BJ210" s="46"/>
      <c r="BK210" s="173"/>
      <c r="BL210" s="164"/>
      <c r="BM210" s="164"/>
      <c r="BN210" s="164"/>
      <c r="BO210" s="164"/>
      <c r="BP210" s="164"/>
      <c r="BQ210" s="164"/>
      <c r="BR210" s="164"/>
      <c r="BS210" s="164"/>
      <c r="BT210" s="164"/>
      <c r="BU210" s="164"/>
      <c r="BV210" s="164"/>
      <c r="BW210" s="164"/>
      <c r="BX210" s="164"/>
      <c r="BY210" s="164"/>
      <c r="BZ210" s="164"/>
    </row>
    <row r="211" ht="15.75" customHeight="1" spans="1:78" x14ac:dyDescent="0.25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  <c r="BH211" s="164"/>
      <c r="BI211" s="46"/>
      <c r="BJ211" s="46"/>
      <c r="BK211" s="173"/>
      <c r="BL211" s="164"/>
      <c r="BM211" s="164"/>
      <c r="BN211" s="164"/>
      <c r="BO211" s="164"/>
      <c r="BP211" s="164"/>
      <c r="BQ211" s="164"/>
      <c r="BR211" s="164"/>
      <c r="BS211" s="164"/>
      <c r="BT211" s="164"/>
      <c r="BU211" s="164"/>
      <c r="BV211" s="164"/>
      <c r="BW211" s="164"/>
      <c r="BX211" s="164"/>
      <c r="BY211" s="164"/>
      <c r="BZ211" s="164"/>
    </row>
    <row r="212" ht="15.75" customHeight="1" spans="1:78" x14ac:dyDescent="0.25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  <c r="BH212" s="164"/>
      <c r="BI212" s="46"/>
      <c r="BJ212" s="46"/>
      <c r="BK212" s="173"/>
      <c r="BL212" s="164"/>
      <c r="BM212" s="164"/>
      <c r="BN212" s="164"/>
      <c r="BO212" s="164"/>
      <c r="BP212" s="164"/>
      <c r="BQ212" s="164"/>
      <c r="BR212" s="164"/>
      <c r="BS212" s="164"/>
      <c r="BT212" s="164"/>
      <c r="BU212" s="164"/>
      <c r="BV212" s="164"/>
      <c r="BW212" s="164"/>
      <c r="BX212" s="164"/>
      <c r="BY212" s="164"/>
      <c r="BZ212" s="164"/>
    </row>
    <row r="213" ht="15.75" customHeight="1" spans="1:78" x14ac:dyDescent="0.25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  <c r="BH213" s="164"/>
      <c r="BI213" s="46"/>
      <c r="BJ213" s="46"/>
      <c r="BK213" s="173"/>
      <c r="BL213" s="164"/>
      <c r="BM213" s="164"/>
      <c r="BN213" s="164"/>
      <c r="BO213" s="164"/>
      <c r="BP213" s="164"/>
      <c r="BQ213" s="164"/>
      <c r="BR213" s="164"/>
      <c r="BS213" s="164"/>
      <c r="BT213" s="164"/>
      <c r="BU213" s="164"/>
      <c r="BV213" s="164"/>
      <c r="BW213" s="164"/>
      <c r="BX213" s="164"/>
      <c r="BY213" s="164"/>
      <c r="BZ213" s="164"/>
    </row>
    <row r="214" ht="15.75" customHeight="1" spans="1:78" x14ac:dyDescent="0.25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46"/>
      <c r="BJ214" s="46"/>
      <c r="BK214" s="173"/>
      <c r="BL214" s="164"/>
      <c r="BM214" s="164"/>
      <c r="BN214" s="164"/>
      <c r="BO214" s="164"/>
      <c r="BP214" s="164"/>
      <c r="BQ214" s="164"/>
      <c r="BR214" s="164"/>
      <c r="BS214" s="164"/>
      <c r="BT214" s="164"/>
      <c r="BU214" s="164"/>
      <c r="BV214" s="164"/>
      <c r="BW214" s="164"/>
      <c r="BX214" s="164"/>
      <c r="BY214" s="164"/>
      <c r="BZ214" s="164"/>
    </row>
    <row r="215" ht="15.75" customHeight="1" spans="1:78" x14ac:dyDescent="0.25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  <c r="BH215" s="164"/>
      <c r="BI215" s="46"/>
      <c r="BJ215" s="46"/>
      <c r="BK215" s="173"/>
      <c r="BL215" s="164"/>
      <c r="BM215" s="164"/>
      <c r="BN215" s="164"/>
      <c r="BO215" s="164"/>
      <c r="BP215" s="164"/>
      <c r="BQ215" s="164"/>
      <c r="BR215" s="164"/>
      <c r="BS215" s="164"/>
      <c r="BT215" s="164"/>
      <c r="BU215" s="164"/>
      <c r="BV215" s="164"/>
      <c r="BW215" s="164"/>
      <c r="BX215" s="164"/>
      <c r="BY215" s="164"/>
      <c r="BZ215" s="164"/>
    </row>
    <row r="216" ht="15.75" customHeight="1" spans="1:78" x14ac:dyDescent="0.25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  <c r="BH216" s="164"/>
      <c r="BI216" s="46"/>
      <c r="BJ216" s="46"/>
      <c r="BK216" s="173"/>
      <c r="BL216" s="164"/>
      <c r="BM216" s="164"/>
      <c r="BN216" s="164"/>
      <c r="BO216" s="164"/>
      <c r="BP216" s="164"/>
      <c r="BQ216" s="164"/>
      <c r="BR216" s="164"/>
      <c r="BS216" s="164"/>
      <c r="BT216" s="164"/>
      <c r="BU216" s="164"/>
      <c r="BV216" s="164"/>
      <c r="BW216" s="164"/>
      <c r="BX216" s="164"/>
      <c r="BY216" s="164"/>
      <c r="BZ216" s="164"/>
    </row>
    <row r="217" ht="15.75" customHeight="1" spans="1:78" x14ac:dyDescent="0.25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  <c r="BH217" s="164"/>
      <c r="BI217" s="46"/>
      <c r="BJ217" s="46"/>
      <c r="BK217" s="173"/>
      <c r="BL217" s="164"/>
      <c r="BM217" s="164"/>
      <c r="BN217" s="164"/>
      <c r="BO217" s="164"/>
      <c r="BP217" s="164"/>
      <c r="BQ217" s="164"/>
      <c r="BR217" s="164"/>
      <c r="BS217" s="164"/>
      <c r="BT217" s="164"/>
      <c r="BU217" s="164"/>
      <c r="BV217" s="164"/>
      <c r="BW217" s="164"/>
      <c r="BX217" s="164"/>
      <c r="BY217" s="164"/>
      <c r="BZ217" s="164"/>
    </row>
    <row r="218" ht="15.75" customHeight="1" spans="1:78" x14ac:dyDescent="0.25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  <c r="BH218" s="164"/>
      <c r="BI218" s="46"/>
      <c r="BJ218" s="46"/>
      <c r="BK218" s="173"/>
      <c r="BL218" s="164"/>
      <c r="BM218" s="164"/>
      <c r="BN218" s="164"/>
      <c r="BO218" s="164"/>
      <c r="BP218" s="164"/>
      <c r="BQ218" s="164"/>
      <c r="BR218" s="164"/>
      <c r="BS218" s="164"/>
      <c r="BT218" s="164"/>
      <c r="BU218" s="164"/>
      <c r="BV218" s="164"/>
      <c r="BW218" s="164"/>
      <c r="BX218" s="164"/>
      <c r="BY218" s="164"/>
      <c r="BZ218" s="164"/>
    </row>
    <row r="219" ht="15.75" customHeight="1" spans="1:78" x14ac:dyDescent="0.25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  <c r="BH219" s="164"/>
      <c r="BI219" s="46"/>
      <c r="BJ219" s="46"/>
      <c r="BK219" s="173"/>
      <c r="BL219" s="164"/>
      <c r="BM219" s="164"/>
      <c r="BN219" s="164"/>
      <c r="BO219" s="164"/>
      <c r="BP219" s="164"/>
      <c r="BQ219" s="164"/>
      <c r="BR219" s="164"/>
      <c r="BS219" s="164"/>
      <c r="BT219" s="164"/>
      <c r="BU219" s="164"/>
      <c r="BV219" s="164"/>
      <c r="BW219" s="164"/>
      <c r="BX219" s="164"/>
      <c r="BY219" s="164"/>
      <c r="BZ219" s="164"/>
    </row>
    <row r="220" ht="15.75" customHeight="1" spans="1:78" x14ac:dyDescent="0.25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  <c r="BH220" s="164"/>
      <c r="BI220" s="46"/>
      <c r="BJ220" s="46"/>
      <c r="BK220" s="173"/>
      <c r="BL220" s="164"/>
      <c r="BM220" s="164"/>
      <c r="BN220" s="164"/>
      <c r="BO220" s="164"/>
      <c r="BP220" s="164"/>
      <c r="BQ220" s="164"/>
      <c r="BR220" s="164"/>
      <c r="BS220" s="164"/>
      <c r="BT220" s="164"/>
      <c r="BU220" s="164"/>
      <c r="BV220" s="164"/>
      <c r="BW220" s="164"/>
      <c r="BX220" s="164"/>
      <c r="BY220" s="164"/>
      <c r="BZ220" s="164"/>
    </row>
    <row r="221" ht="15.75" customHeight="1" spans="1:78" x14ac:dyDescent="0.25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  <c r="BH221" s="164"/>
      <c r="BI221" s="46"/>
      <c r="BJ221" s="46"/>
      <c r="BK221" s="173"/>
      <c r="BL221" s="164"/>
      <c r="BM221" s="164"/>
      <c r="BN221" s="164"/>
      <c r="BO221" s="164"/>
      <c r="BP221" s="164"/>
      <c r="BQ221" s="164"/>
      <c r="BR221" s="164"/>
      <c r="BS221" s="164"/>
      <c r="BT221" s="164"/>
      <c r="BU221" s="164"/>
      <c r="BV221" s="164"/>
      <c r="BW221" s="164"/>
      <c r="BX221" s="164"/>
      <c r="BY221" s="164"/>
      <c r="BZ221" s="164"/>
    </row>
    <row r="222" ht="15.75" customHeight="1" spans="1:78" x14ac:dyDescent="0.25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  <c r="BH222" s="164"/>
      <c r="BI222" s="46"/>
      <c r="BJ222" s="46"/>
      <c r="BK222" s="173"/>
      <c r="BL222" s="164"/>
      <c r="BM222" s="164"/>
      <c r="BN222" s="164"/>
      <c r="BO222" s="164"/>
      <c r="BP222" s="164"/>
      <c r="BQ222" s="164"/>
      <c r="BR222" s="164"/>
      <c r="BS222" s="164"/>
      <c r="BT222" s="164"/>
      <c r="BU222" s="164"/>
      <c r="BV222" s="164"/>
      <c r="BW222" s="164"/>
      <c r="BX222" s="164"/>
      <c r="BY222" s="164"/>
      <c r="BZ222" s="164"/>
    </row>
    <row r="223" ht="15.75" customHeight="1" spans="1:78" x14ac:dyDescent="0.25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  <c r="BH223" s="164"/>
      <c r="BI223" s="46"/>
      <c r="BJ223" s="46"/>
      <c r="BK223" s="173"/>
      <c r="BL223" s="164"/>
      <c r="BM223" s="164"/>
      <c r="BN223" s="164"/>
      <c r="BO223" s="164"/>
      <c r="BP223" s="164"/>
      <c r="BQ223" s="164"/>
      <c r="BR223" s="164"/>
      <c r="BS223" s="164"/>
      <c r="BT223" s="164"/>
      <c r="BU223" s="164"/>
      <c r="BV223" s="164"/>
      <c r="BW223" s="164"/>
      <c r="BX223" s="164"/>
      <c r="BY223" s="164"/>
      <c r="BZ223" s="164"/>
    </row>
    <row r="224" ht="15.75" customHeight="1" spans="1:78" x14ac:dyDescent="0.25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  <c r="BH224" s="164"/>
      <c r="BI224" s="46"/>
      <c r="BJ224" s="46"/>
      <c r="BK224" s="173"/>
      <c r="BL224" s="164"/>
      <c r="BM224" s="164"/>
      <c r="BN224" s="164"/>
      <c r="BO224" s="164"/>
      <c r="BP224" s="164"/>
      <c r="BQ224" s="164"/>
      <c r="BR224" s="164"/>
      <c r="BS224" s="164"/>
      <c r="BT224" s="164"/>
      <c r="BU224" s="164"/>
      <c r="BV224" s="164"/>
      <c r="BW224" s="164"/>
      <c r="BX224" s="164"/>
      <c r="BY224" s="164"/>
      <c r="BZ224" s="164"/>
    </row>
    <row r="225" ht="15.75" customHeight="1" spans="1:78" x14ac:dyDescent="0.25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  <c r="BH225" s="164"/>
      <c r="BI225" s="46"/>
      <c r="BJ225" s="46"/>
      <c r="BK225" s="173"/>
      <c r="BL225" s="164"/>
      <c r="BM225" s="164"/>
      <c r="BN225" s="164"/>
      <c r="BO225" s="164"/>
      <c r="BP225" s="164"/>
      <c r="BQ225" s="164"/>
      <c r="BR225" s="164"/>
      <c r="BS225" s="164"/>
      <c r="BT225" s="164"/>
      <c r="BU225" s="164"/>
      <c r="BV225" s="164"/>
      <c r="BW225" s="164"/>
      <c r="BX225" s="164"/>
      <c r="BY225" s="164"/>
      <c r="BZ225" s="164"/>
    </row>
    <row r="226" ht="15.75" customHeight="1" spans="1:78" x14ac:dyDescent="0.25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  <c r="BH226" s="164"/>
      <c r="BI226" s="46"/>
      <c r="BJ226" s="46"/>
      <c r="BK226" s="173"/>
      <c r="BL226" s="164"/>
      <c r="BM226" s="164"/>
      <c r="BN226" s="164"/>
      <c r="BO226" s="164"/>
      <c r="BP226" s="164"/>
      <c r="BQ226" s="164"/>
      <c r="BR226" s="164"/>
      <c r="BS226" s="164"/>
      <c r="BT226" s="164"/>
      <c r="BU226" s="164"/>
      <c r="BV226" s="164"/>
      <c r="BW226" s="164"/>
      <c r="BX226" s="164"/>
      <c r="BY226" s="164"/>
      <c r="BZ226" s="164"/>
    </row>
    <row r="227" ht="15.75" customHeight="1" spans="1:78" x14ac:dyDescent="0.25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  <c r="BH227" s="164"/>
      <c r="BI227" s="46"/>
      <c r="BJ227" s="46"/>
      <c r="BK227" s="173"/>
      <c r="BL227" s="164"/>
      <c r="BM227" s="164"/>
      <c r="BN227" s="164"/>
      <c r="BO227" s="164"/>
      <c r="BP227" s="164"/>
      <c r="BQ227" s="164"/>
      <c r="BR227" s="164"/>
      <c r="BS227" s="164"/>
      <c r="BT227" s="164"/>
      <c r="BU227" s="164"/>
      <c r="BV227" s="164"/>
      <c r="BW227" s="164"/>
      <c r="BX227" s="164"/>
      <c r="BY227" s="164"/>
      <c r="BZ227" s="164"/>
    </row>
    <row r="228" ht="15.75" customHeight="1" spans="1:78" x14ac:dyDescent="0.25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  <c r="BH228" s="164"/>
      <c r="BI228" s="46"/>
      <c r="BJ228" s="46"/>
      <c r="BK228" s="173"/>
      <c r="BL228" s="164"/>
      <c r="BM228" s="164"/>
      <c r="BN228" s="164"/>
      <c r="BO228" s="164"/>
      <c r="BP228" s="164"/>
      <c r="BQ228" s="164"/>
      <c r="BR228" s="164"/>
      <c r="BS228" s="164"/>
      <c r="BT228" s="164"/>
      <c r="BU228" s="164"/>
      <c r="BV228" s="164"/>
      <c r="BW228" s="164"/>
      <c r="BX228" s="164"/>
      <c r="BY228" s="164"/>
      <c r="BZ228" s="164"/>
    </row>
    <row r="229" ht="15.75" customHeight="1" spans="1:78" x14ac:dyDescent="0.25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  <c r="BH229" s="164"/>
      <c r="BI229" s="46"/>
      <c r="BJ229" s="46"/>
      <c r="BK229" s="173"/>
      <c r="BL229" s="164"/>
      <c r="BM229" s="164"/>
      <c r="BN229" s="164"/>
      <c r="BO229" s="164"/>
      <c r="BP229" s="164"/>
      <c r="BQ229" s="164"/>
      <c r="BR229" s="164"/>
      <c r="BS229" s="164"/>
      <c r="BT229" s="164"/>
      <c r="BU229" s="164"/>
      <c r="BV229" s="164"/>
      <c r="BW229" s="164"/>
      <c r="BX229" s="164"/>
      <c r="BY229" s="164"/>
      <c r="BZ229" s="164"/>
    </row>
    <row r="230" ht="15.75" customHeight="1" spans="1:78" x14ac:dyDescent="0.25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  <c r="BH230" s="164"/>
      <c r="BI230" s="46"/>
      <c r="BJ230" s="46"/>
      <c r="BK230" s="173"/>
      <c r="BL230" s="164"/>
      <c r="BM230" s="164"/>
      <c r="BN230" s="164"/>
      <c r="BO230" s="164"/>
      <c r="BP230" s="164"/>
      <c r="BQ230" s="164"/>
      <c r="BR230" s="164"/>
      <c r="BS230" s="164"/>
      <c r="BT230" s="164"/>
      <c r="BU230" s="164"/>
      <c r="BV230" s="164"/>
      <c r="BW230" s="164"/>
      <c r="BX230" s="164"/>
      <c r="BY230" s="164"/>
      <c r="BZ230" s="164"/>
    </row>
    <row r="231" ht="15.75" customHeight="1" spans="1:78" x14ac:dyDescent="0.25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  <c r="BH231" s="164"/>
      <c r="BI231" s="46"/>
      <c r="BJ231" s="46"/>
      <c r="BK231" s="173"/>
      <c r="BL231" s="164"/>
      <c r="BM231" s="164"/>
      <c r="BN231" s="164"/>
      <c r="BO231" s="164"/>
      <c r="BP231" s="164"/>
      <c r="BQ231" s="164"/>
      <c r="BR231" s="164"/>
      <c r="BS231" s="164"/>
      <c r="BT231" s="164"/>
      <c r="BU231" s="164"/>
      <c r="BV231" s="164"/>
      <c r="BW231" s="164"/>
      <c r="BX231" s="164"/>
      <c r="BY231" s="164"/>
      <c r="BZ231" s="164"/>
    </row>
    <row r="232" ht="15.75" customHeight="1" spans="1:78" x14ac:dyDescent="0.25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  <c r="BH232" s="164"/>
      <c r="BI232" s="46"/>
      <c r="BJ232" s="46"/>
      <c r="BK232" s="173"/>
      <c r="BL232" s="164"/>
      <c r="BM232" s="164"/>
      <c r="BN232" s="164"/>
      <c r="BO232" s="164"/>
      <c r="BP232" s="164"/>
      <c r="BQ232" s="164"/>
      <c r="BR232" s="164"/>
      <c r="BS232" s="164"/>
      <c r="BT232" s="164"/>
      <c r="BU232" s="164"/>
      <c r="BV232" s="164"/>
      <c r="BW232" s="164"/>
      <c r="BX232" s="164"/>
      <c r="BY232" s="164"/>
      <c r="BZ232" s="164"/>
    </row>
    <row r="233" ht="15.75" customHeight="1" spans="1:78" x14ac:dyDescent="0.25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  <c r="BH233" s="164"/>
      <c r="BI233" s="46"/>
      <c r="BJ233" s="46"/>
      <c r="BK233" s="173"/>
      <c r="BL233" s="164"/>
      <c r="BM233" s="164"/>
      <c r="BN233" s="164"/>
      <c r="BO233" s="164"/>
      <c r="BP233" s="164"/>
      <c r="BQ233" s="164"/>
      <c r="BR233" s="164"/>
      <c r="BS233" s="164"/>
      <c r="BT233" s="164"/>
      <c r="BU233" s="164"/>
      <c r="BV233" s="164"/>
      <c r="BW233" s="164"/>
      <c r="BX233" s="164"/>
      <c r="BY233" s="164"/>
      <c r="BZ233" s="164"/>
    </row>
    <row r="234" ht="15.75" customHeight="1" spans="1:78" x14ac:dyDescent="0.25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  <c r="BH234" s="164"/>
      <c r="BI234" s="46"/>
      <c r="BJ234" s="46"/>
      <c r="BK234" s="173"/>
      <c r="BL234" s="164"/>
      <c r="BM234" s="164"/>
      <c r="BN234" s="164"/>
      <c r="BO234" s="164"/>
      <c r="BP234" s="164"/>
      <c r="BQ234" s="164"/>
      <c r="BR234" s="164"/>
      <c r="BS234" s="164"/>
      <c r="BT234" s="164"/>
      <c r="BU234" s="164"/>
      <c r="BV234" s="164"/>
      <c r="BW234" s="164"/>
      <c r="BX234" s="164"/>
      <c r="BY234" s="164"/>
      <c r="BZ234" s="164"/>
    </row>
    <row r="235" ht="15.75" customHeight="1" spans="1:78" x14ac:dyDescent="0.25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  <c r="BH235" s="164"/>
      <c r="BI235" s="46"/>
      <c r="BJ235" s="46"/>
      <c r="BK235" s="173"/>
      <c r="BL235" s="164"/>
      <c r="BM235" s="164"/>
      <c r="BN235" s="164"/>
      <c r="BO235" s="164"/>
      <c r="BP235" s="164"/>
      <c r="BQ235" s="164"/>
      <c r="BR235" s="164"/>
      <c r="BS235" s="164"/>
      <c r="BT235" s="164"/>
      <c r="BU235" s="164"/>
      <c r="BV235" s="164"/>
      <c r="BW235" s="164"/>
      <c r="BX235" s="164"/>
      <c r="BY235" s="164"/>
      <c r="BZ235" s="164"/>
    </row>
    <row r="236" ht="15.75" customHeight="1" spans="1:78" x14ac:dyDescent="0.25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  <c r="BH236" s="164"/>
      <c r="BI236" s="46"/>
      <c r="BJ236" s="46"/>
      <c r="BK236" s="173"/>
      <c r="BL236" s="164"/>
      <c r="BM236" s="164"/>
      <c r="BN236" s="164"/>
      <c r="BO236" s="164"/>
      <c r="BP236" s="164"/>
      <c r="BQ236" s="164"/>
      <c r="BR236" s="164"/>
      <c r="BS236" s="164"/>
      <c r="BT236" s="164"/>
      <c r="BU236" s="164"/>
      <c r="BV236" s="164"/>
      <c r="BW236" s="164"/>
      <c r="BX236" s="164"/>
      <c r="BY236" s="164"/>
      <c r="BZ236" s="164"/>
    </row>
    <row r="237" ht="15.75" customHeight="1" spans="1:78" x14ac:dyDescent="0.25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  <c r="BH237" s="164"/>
      <c r="BI237" s="46"/>
      <c r="BJ237" s="46"/>
      <c r="BK237" s="173"/>
      <c r="BL237" s="164"/>
      <c r="BM237" s="164"/>
      <c r="BN237" s="164"/>
      <c r="BO237" s="164"/>
      <c r="BP237" s="164"/>
      <c r="BQ237" s="164"/>
      <c r="BR237" s="164"/>
      <c r="BS237" s="164"/>
      <c r="BT237" s="164"/>
      <c r="BU237" s="164"/>
      <c r="BV237" s="164"/>
      <c r="BW237" s="164"/>
      <c r="BX237" s="164"/>
      <c r="BY237" s="164"/>
      <c r="BZ237" s="164"/>
    </row>
    <row r="238" ht="15.75" customHeight="1" spans="1:78" x14ac:dyDescent="0.25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  <c r="BH238" s="164"/>
      <c r="BI238" s="46"/>
      <c r="BJ238" s="46"/>
      <c r="BK238" s="173"/>
      <c r="BL238" s="164"/>
      <c r="BM238" s="164"/>
      <c r="BN238" s="164"/>
      <c r="BO238" s="164"/>
      <c r="BP238" s="164"/>
      <c r="BQ238" s="164"/>
      <c r="BR238" s="164"/>
      <c r="BS238" s="164"/>
      <c r="BT238" s="164"/>
      <c r="BU238" s="164"/>
      <c r="BV238" s="164"/>
      <c r="BW238" s="164"/>
      <c r="BX238" s="164"/>
      <c r="BY238" s="164"/>
      <c r="BZ238" s="164"/>
    </row>
    <row r="239" ht="15.75" customHeight="1" spans="1:78" x14ac:dyDescent="0.25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  <c r="AE239" s="164"/>
      <c r="AF239" s="164"/>
      <c r="AG239" s="164"/>
      <c r="AH239" s="164"/>
      <c r="AI239" s="164"/>
      <c r="AJ239" s="164"/>
      <c r="AK239" s="164"/>
      <c r="AL239" s="164"/>
      <c r="AM239" s="164"/>
      <c r="AN239" s="164"/>
      <c r="AO239" s="164"/>
      <c r="AP239" s="164"/>
      <c r="AQ239" s="164"/>
      <c r="AR239" s="164"/>
      <c r="AS239" s="164"/>
      <c r="AT239" s="164"/>
      <c r="AU239" s="164"/>
      <c r="AV239" s="164"/>
      <c r="AW239" s="164"/>
      <c r="AX239" s="164"/>
      <c r="AY239" s="164"/>
      <c r="AZ239" s="164"/>
      <c r="BA239" s="164"/>
      <c r="BB239" s="164"/>
      <c r="BC239" s="164"/>
      <c r="BD239" s="164"/>
      <c r="BE239" s="164"/>
      <c r="BF239" s="164"/>
      <c r="BG239" s="164"/>
      <c r="BH239" s="164"/>
      <c r="BI239" s="46"/>
      <c r="BJ239" s="46"/>
      <c r="BK239" s="173"/>
      <c r="BL239" s="164"/>
      <c r="BM239" s="164"/>
      <c r="BN239" s="164"/>
      <c r="BO239" s="164"/>
      <c r="BP239" s="164"/>
      <c r="BQ239" s="164"/>
      <c r="BR239" s="164"/>
      <c r="BS239" s="164"/>
      <c r="BT239" s="164"/>
      <c r="BU239" s="164"/>
      <c r="BV239" s="164"/>
      <c r="BW239" s="164"/>
      <c r="BX239" s="164"/>
      <c r="BY239" s="164"/>
      <c r="BZ239" s="164"/>
    </row>
    <row r="240" ht="15.75" customHeight="1" spans="1:78" x14ac:dyDescent="0.25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  <c r="AI240" s="164"/>
      <c r="AJ240" s="164"/>
      <c r="AK240" s="164"/>
      <c r="AL240" s="164"/>
      <c r="AM240" s="164"/>
      <c r="AN240" s="164"/>
      <c r="AO240" s="164"/>
      <c r="AP240" s="164"/>
      <c r="AQ240" s="164"/>
      <c r="AR240" s="164"/>
      <c r="AS240" s="164"/>
      <c r="AT240" s="164"/>
      <c r="AU240" s="164"/>
      <c r="AV240" s="164"/>
      <c r="AW240" s="164"/>
      <c r="AX240" s="164"/>
      <c r="AY240" s="164"/>
      <c r="AZ240" s="164"/>
      <c r="BA240" s="164"/>
      <c r="BB240" s="164"/>
      <c r="BC240" s="164"/>
      <c r="BD240" s="164"/>
      <c r="BE240" s="164"/>
      <c r="BF240" s="164"/>
      <c r="BG240" s="164"/>
      <c r="BH240" s="164"/>
      <c r="BI240" s="46"/>
      <c r="BJ240" s="46"/>
      <c r="BK240" s="173"/>
      <c r="BL240" s="164"/>
      <c r="BM240" s="164"/>
      <c r="BN240" s="164"/>
      <c r="BO240" s="164"/>
      <c r="BP240" s="164"/>
      <c r="BQ240" s="164"/>
      <c r="BR240" s="164"/>
      <c r="BS240" s="164"/>
      <c r="BT240" s="164"/>
      <c r="BU240" s="164"/>
      <c r="BV240" s="164"/>
      <c r="BW240" s="164"/>
      <c r="BX240" s="164"/>
      <c r="BY240" s="164"/>
      <c r="BZ240" s="164"/>
    </row>
    <row r="241" ht="15.75" customHeight="1" spans="1:78" x14ac:dyDescent="0.25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  <c r="AK241" s="164"/>
      <c r="AL241" s="164"/>
      <c r="AM241" s="164"/>
      <c r="AN241" s="164"/>
      <c r="AO241" s="164"/>
      <c r="AP241" s="164"/>
      <c r="AQ241" s="164"/>
      <c r="AR241" s="164"/>
      <c r="AS241" s="164"/>
      <c r="AT241" s="164"/>
      <c r="AU241" s="164"/>
      <c r="AV241" s="164"/>
      <c r="AW241" s="164"/>
      <c r="AX241" s="164"/>
      <c r="AY241" s="164"/>
      <c r="AZ241" s="164"/>
      <c r="BA241" s="164"/>
      <c r="BB241" s="164"/>
      <c r="BC241" s="164"/>
      <c r="BD241" s="164"/>
      <c r="BE241" s="164"/>
      <c r="BF241" s="164"/>
      <c r="BG241" s="164"/>
      <c r="BH241" s="164"/>
      <c r="BI241" s="46"/>
      <c r="BJ241" s="46"/>
      <c r="BK241" s="173"/>
      <c r="BL241" s="164"/>
      <c r="BM241" s="164"/>
      <c r="BN241" s="164"/>
      <c r="BO241" s="164"/>
      <c r="BP241" s="164"/>
      <c r="BQ241" s="164"/>
      <c r="BR241" s="164"/>
      <c r="BS241" s="164"/>
      <c r="BT241" s="164"/>
      <c r="BU241" s="164"/>
      <c r="BV241" s="164"/>
      <c r="BW241" s="164"/>
      <c r="BX241" s="164"/>
      <c r="BY241" s="164"/>
      <c r="BZ241" s="164"/>
    </row>
    <row r="242" ht="15.75" customHeight="1" spans="1:78" x14ac:dyDescent="0.25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/>
      <c r="AJ242" s="164"/>
      <c r="AK242" s="164"/>
      <c r="AL242" s="164"/>
      <c r="AM242" s="164"/>
      <c r="AN242" s="164"/>
      <c r="AO242" s="164"/>
      <c r="AP242" s="164"/>
      <c r="AQ242" s="164"/>
      <c r="AR242" s="164"/>
      <c r="AS242" s="164"/>
      <c r="AT242" s="164"/>
      <c r="AU242" s="164"/>
      <c r="AV242" s="164"/>
      <c r="AW242" s="164"/>
      <c r="AX242" s="164"/>
      <c r="AY242" s="164"/>
      <c r="AZ242" s="164"/>
      <c r="BA242" s="164"/>
      <c r="BB242" s="164"/>
      <c r="BC242" s="164"/>
      <c r="BD242" s="164"/>
      <c r="BE242" s="164"/>
      <c r="BF242" s="164"/>
      <c r="BG242" s="164"/>
      <c r="BH242" s="164"/>
      <c r="BI242" s="46"/>
      <c r="BJ242" s="46"/>
      <c r="BK242" s="173"/>
      <c r="BL242" s="164"/>
      <c r="BM242" s="164"/>
      <c r="BN242" s="164"/>
      <c r="BO242" s="164"/>
      <c r="BP242" s="164"/>
      <c r="BQ242" s="164"/>
      <c r="BR242" s="164"/>
      <c r="BS242" s="164"/>
      <c r="BT242" s="164"/>
      <c r="BU242" s="164"/>
      <c r="BV242" s="164"/>
      <c r="BW242" s="164"/>
      <c r="BX242" s="164"/>
      <c r="BY242" s="164"/>
      <c r="BZ242" s="164"/>
    </row>
    <row r="243" ht="15.75" customHeight="1" spans="1:78" x14ac:dyDescent="0.25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164"/>
      <c r="AK243" s="164"/>
      <c r="AL243" s="164"/>
      <c r="AM243" s="164"/>
      <c r="AN243" s="164"/>
      <c r="AO243" s="164"/>
      <c r="AP243" s="164"/>
      <c r="AQ243" s="164"/>
      <c r="AR243" s="164"/>
      <c r="AS243" s="164"/>
      <c r="AT243" s="164"/>
      <c r="AU243" s="164"/>
      <c r="AV243" s="164"/>
      <c r="AW243" s="164"/>
      <c r="AX243" s="164"/>
      <c r="AY243" s="164"/>
      <c r="AZ243" s="164"/>
      <c r="BA243" s="164"/>
      <c r="BB243" s="164"/>
      <c r="BC243" s="164"/>
      <c r="BD243" s="164"/>
      <c r="BE243" s="164"/>
      <c r="BF243" s="164"/>
      <c r="BG243" s="164"/>
      <c r="BH243" s="164"/>
      <c r="BI243" s="46"/>
      <c r="BJ243" s="46"/>
      <c r="BK243" s="173"/>
      <c r="BL243" s="164"/>
      <c r="BM243" s="164"/>
      <c r="BN243" s="164"/>
      <c r="BO243" s="164"/>
      <c r="BP243" s="164"/>
      <c r="BQ243" s="164"/>
      <c r="BR243" s="164"/>
      <c r="BS243" s="164"/>
      <c r="BT243" s="164"/>
      <c r="BU243" s="164"/>
      <c r="BV243" s="164"/>
      <c r="BW243" s="164"/>
      <c r="BX243" s="164"/>
      <c r="BY243" s="164"/>
      <c r="BZ243" s="164"/>
    </row>
    <row r="244" ht="15.75" customHeight="1" spans="1:78" x14ac:dyDescent="0.25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64"/>
      <c r="AJ244" s="164"/>
      <c r="AK244" s="164"/>
      <c r="AL244" s="164"/>
      <c r="AM244" s="164"/>
      <c r="AN244" s="164"/>
      <c r="AO244" s="164"/>
      <c r="AP244" s="164"/>
      <c r="AQ244" s="164"/>
      <c r="AR244" s="164"/>
      <c r="AS244" s="164"/>
      <c r="AT244" s="164"/>
      <c r="AU244" s="164"/>
      <c r="AV244" s="164"/>
      <c r="AW244" s="164"/>
      <c r="AX244" s="164"/>
      <c r="AY244" s="164"/>
      <c r="AZ244" s="164"/>
      <c r="BA244" s="164"/>
      <c r="BB244" s="164"/>
      <c r="BC244" s="164"/>
      <c r="BD244" s="164"/>
      <c r="BE244" s="164"/>
      <c r="BF244" s="164"/>
      <c r="BG244" s="164"/>
      <c r="BH244" s="164"/>
      <c r="BI244" s="46"/>
      <c r="BJ244" s="46"/>
      <c r="BK244" s="173"/>
      <c r="BL244" s="164"/>
      <c r="BM244" s="164"/>
      <c r="BN244" s="164"/>
      <c r="BO244" s="164"/>
      <c r="BP244" s="164"/>
      <c r="BQ244" s="164"/>
      <c r="BR244" s="164"/>
      <c r="BS244" s="164"/>
      <c r="BT244" s="164"/>
      <c r="BU244" s="164"/>
      <c r="BV244" s="164"/>
      <c r="BW244" s="164"/>
      <c r="BX244" s="164"/>
      <c r="BY244" s="164"/>
      <c r="BZ244" s="164"/>
    </row>
    <row r="245" ht="15.75" customHeight="1" spans="1:78" x14ac:dyDescent="0.25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164"/>
      <c r="AI245" s="164"/>
      <c r="AJ245" s="164"/>
      <c r="AK245" s="164"/>
      <c r="AL245" s="164"/>
      <c r="AM245" s="164"/>
      <c r="AN245" s="164"/>
      <c r="AO245" s="164"/>
      <c r="AP245" s="164"/>
      <c r="AQ245" s="164"/>
      <c r="AR245" s="164"/>
      <c r="AS245" s="164"/>
      <c r="AT245" s="164"/>
      <c r="AU245" s="164"/>
      <c r="AV245" s="164"/>
      <c r="AW245" s="164"/>
      <c r="AX245" s="164"/>
      <c r="AY245" s="164"/>
      <c r="AZ245" s="164"/>
      <c r="BA245" s="164"/>
      <c r="BB245" s="164"/>
      <c r="BC245" s="164"/>
      <c r="BD245" s="164"/>
      <c r="BE245" s="164"/>
      <c r="BF245" s="164"/>
      <c r="BG245" s="164"/>
      <c r="BH245" s="164"/>
      <c r="BI245" s="46"/>
      <c r="BJ245" s="46"/>
      <c r="BK245" s="173"/>
      <c r="BL245" s="164"/>
      <c r="BM245" s="164"/>
      <c r="BN245" s="164"/>
      <c r="BO245" s="164"/>
      <c r="BP245" s="164"/>
      <c r="BQ245" s="164"/>
      <c r="BR245" s="164"/>
      <c r="BS245" s="164"/>
      <c r="BT245" s="164"/>
      <c r="BU245" s="164"/>
      <c r="BV245" s="164"/>
      <c r="BW245" s="164"/>
      <c r="BX245" s="164"/>
      <c r="BY245" s="164"/>
      <c r="BZ245" s="164"/>
    </row>
    <row r="246" ht="15.75" customHeight="1" spans="1:78" x14ac:dyDescent="0.25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164"/>
      <c r="AI246" s="164"/>
      <c r="AJ246" s="164"/>
      <c r="AK246" s="164"/>
      <c r="AL246" s="164"/>
      <c r="AM246" s="164"/>
      <c r="AN246" s="164"/>
      <c r="AO246" s="164"/>
      <c r="AP246" s="164"/>
      <c r="AQ246" s="164"/>
      <c r="AR246" s="164"/>
      <c r="AS246" s="164"/>
      <c r="AT246" s="164"/>
      <c r="AU246" s="164"/>
      <c r="AV246" s="164"/>
      <c r="AW246" s="164"/>
      <c r="AX246" s="164"/>
      <c r="AY246" s="164"/>
      <c r="AZ246" s="164"/>
      <c r="BA246" s="164"/>
      <c r="BB246" s="164"/>
      <c r="BC246" s="164"/>
      <c r="BD246" s="164"/>
      <c r="BE246" s="164"/>
      <c r="BF246" s="164"/>
      <c r="BG246" s="164"/>
      <c r="BH246" s="164"/>
      <c r="BI246" s="46"/>
      <c r="BJ246" s="46"/>
      <c r="BK246" s="173"/>
      <c r="BL246" s="164"/>
      <c r="BM246" s="164"/>
      <c r="BN246" s="164"/>
      <c r="BO246" s="164"/>
      <c r="BP246" s="164"/>
      <c r="BQ246" s="164"/>
      <c r="BR246" s="164"/>
      <c r="BS246" s="164"/>
      <c r="BT246" s="164"/>
      <c r="BU246" s="164"/>
      <c r="BV246" s="164"/>
      <c r="BW246" s="164"/>
      <c r="BX246" s="164"/>
      <c r="BY246" s="164"/>
      <c r="BZ246" s="164"/>
    </row>
    <row r="247" ht="15.75" customHeight="1" spans="1:78" x14ac:dyDescent="0.25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4"/>
      <c r="AK247" s="164"/>
      <c r="AL247" s="164"/>
      <c r="AM247" s="164"/>
      <c r="AN247" s="164"/>
      <c r="AO247" s="164"/>
      <c r="AP247" s="164"/>
      <c r="AQ247" s="164"/>
      <c r="AR247" s="164"/>
      <c r="AS247" s="164"/>
      <c r="AT247" s="164"/>
      <c r="AU247" s="164"/>
      <c r="AV247" s="164"/>
      <c r="AW247" s="164"/>
      <c r="AX247" s="164"/>
      <c r="AY247" s="164"/>
      <c r="AZ247" s="164"/>
      <c r="BA247" s="164"/>
      <c r="BB247" s="164"/>
      <c r="BC247" s="164"/>
      <c r="BD247" s="164"/>
      <c r="BE247" s="164"/>
      <c r="BF247" s="164"/>
      <c r="BG247" s="164"/>
      <c r="BH247" s="164"/>
      <c r="BI247" s="46"/>
      <c r="BJ247" s="46"/>
      <c r="BK247" s="173"/>
      <c r="BL247" s="164"/>
      <c r="BM247" s="164"/>
      <c r="BN247" s="164"/>
      <c r="BO247" s="164"/>
      <c r="BP247" s="164"/>
      <c r="BQ247" s="164"/>
      <c r="BR247" s="164"/>
      <c r="BS247" s="164"/>
      <c r="BT247" s="164"/>
      <c r="BU247" s="164"/>
      <c r="BV247" s="164"/>
      <c r="BW247" s="164"/>
      <c r="BX247" s="164"/>
      <c r="BY247" s="164"/>
      <c r="BZ247" s="164"/>
    </row>
    <row r="248" ht="15.75" customHeight="1" spans="1:78" x14ac:dyDescent="0.25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/>
      <c r="AJ248" s="164"/>
      <c r="AK248" s="164"/>
      <c r="AL248" s="164"/>
      <c r="AM248" s="164"/>
      <c r="AN248" s="164"/>
      <c r="AO248" s="164"/>
      <c r="AP248" s="164"/>
      <c r="AQ248" s="164"/>
      <c r="AR248" s="164"/>
      <c r="AS248" s="164"/>
      <c r="AT248" s="164"/>
      <c r="AU248" s="164"/>
      <c r="AV248" s="164"/>
      <c r="AW248" s="164"/>
      <c r="AX248" s="164"/>
      <c r="AY248" s="164"/>
      <c r="AZ248" s="164"/>
      <c r="BA248" s="164"/>
      <c r="BB248" s="164"/>
      <c r="BC248" s="164"/>
      <c r="BD248" s="164"/>
      <c r="BE248" s="164"/>
      <c r="BF248" s="164"/>
      <c r="BG248" s="164"/>
      <c r="BH248" s="164"/>
      <c r="BI248" s="46"/>
      <c r="BJ248" s="46"/>
      <c r="BK248" s="173"/>
      <c r="BL248" s="164"/>
      <c r="BM248" s="164"/>
      <c r="BN248" s="164"/>
      <c r="BO248" s="164"/>
      <c r="BP248" s="164"/>
      <c r="BQ248" s="164"/>
      <c r="BR248" s="164"/>
      <c r="BS248" s="164"/>
      <c r="BT248" s="164"/>
      <c r="BU248" s="164"/>
      <c r="BV248" s="164"/>
      <c r="BW248" s="164"/>
      <c r="BX248" s="164"/>
      <c r="BY248" s="164"/>
      <c r="BZ248" s="164"/>
    </row>
    <row r="249" ht="15.75" customHeight="1" spans="1:78" x14ac:dyDescent="0.25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  <c r="AJ249" s="164"/>
      <c r="AK249" s="164"/>
      <c r="AL249" s="164"/>
      <c r="AM249" s="164"/>
      <c r="AN249" s="164"/>
      <c r="AO249" s="164"/>
      <c r="AP249" s="164"/>
      <c r="AQ249" s="164"/>
      <c r="AR249" s="164"/>
      <c r="AS249" s="164"/>
      <c r="AT249" s="164"/>
      <c r="AU249" s="164"/>
      <c r="AV249" s="164"/>
      <c r="AW249" s="164"/>
      <c r="AX249" s="164"/>
      <c r="AY249" s="164"/>
      <c r="AZ249" s="164"/>
      <c r="BA249" s="164"/>
      <c r="BB249" s="164"/>
      <c r="BC249" s="164"/>
      <c r="BD249" s="164"/>
      <c r="BE249" s="164"/>
      <c r="BF249" s="164"/>
      <c r="BG249" s="164"/>
      <c r="BH249" s="164"/>
      <c r="BI249" s="46"/>
      <c r="BJ249" s="46"/>
      <c r="BK249" s="173"/>
      <c r="BL249" s="164"/>
      <c r="BM249" s="164"/>
      <c r="BN249" s="164"/>
      <c r="BO249" s="164"/>
      <c r="BP249" s="164"/>
      <c r="BQ249" s="164"/>
      <c r="BR249" s="164"/>
      <c r="BS249" s="164"/>
      <c r="BT249" s="164"/>
      <c r="BU249" s="164"/>
      <c r="BV249" s="164"/>
      <c r="BW249" s="164"/>
      <c r="BX249" s="164"/>
      <c r="BY249" s="164"/>
      <c r="BZ249" s="164"/>
    </row>
    <row r="250" ht="15.75" customHeight="1" spans="1:78" x14ac:dyDescent="0.25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64"/>
      <c r="AJ250" s="164"/>
      <c r="AK250" s="164"/>
      <c r="AL250" s="164"/>
      <c r="AM250" s="164"/>
      <c r="AN250" s="164"/>
      <c r="AO250" s="164"/>
      <c r="AP250" s="164"/>
      <c r="AQ250" s="164"/>
      <c r="AR250" s="164"/>
      <c r="AS250" s="164"/>
      <c r="AT250" s="164"/>
      <c r="AU250" s="164"/>
      <c r="AV250" s="164"/>
      <c r="AW250" s="164"/>
      <c r="AX250" s="164"/>
      <c r="AY250" s="164"/>
      <c r="AZ250" s="164"/>
      <c r="BA250" s="164"/>
      <c r="BB250" s="164"/>
      <c r="BC250" s="164"/>
      <c r="BD250" s="164"/>
      <c r="BE250" s="164"/>
      <c r="BF250" s="164"/>
      <c r="BG250" s="164"/>
      <c r="BH250" s="164"/>
      <c r="BI250" s="46"/>
      <c r="BJ250" s="46"/>
      <c r="BK250" s="173"/>
      <c r="BL250" s="164"/>
      <c r="BM250" s="164"/>
      <c r="BN250" s="164"/>
      <c r="BO250" s="164"/>
      <c r="BP250" s="164"/>
      <c r="BQ250" s="164"/>
      <c r="BR250" s="164"/>
      <c r="BS250" s="164"/>
      <c r="BT250" s="164"/>
      <c r="BU250" s="164"/>
      <c r="BV250" s="164"/>
      <c r="BW250" s="164"/>
      <c r="BX250" s="164"/>
      <c r="BY250" s="164"/>
      <c r="BZ250" s="164"/>
    </row>
    <row r="251" ht="15.75" customHeight="1" spans="1:78" x14ac:dyDescent="0.25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64"/>
      <c r="AJ251" s="164"/>
      <c r="AK251" s="164"/>
      <c r="AL251" s="164"/>
      <c r="AM251" s="164"/>
      <c r="AN251" s="164"/>
      <c r="AO251" s="164"/>
      <c r="AP251" s="164"/>
      <c r="AQ251" s="164"/>
      <c r="AR251" s="164"/>
      <c r="AS251" s="164"/>
      <c r="AT251" s="164"/>
      <c r="AU251" s="164"/>
      <c r="AV251" s="164"/>
      <c r="AW251" s="164"/>
      <c r="AX251" s="164"/>
      <c r="AY251" s="164"/>
      <c r="AZ251" s="164"/>
      <c r="BA251" s="164"/>
      <c r="BB251" s="164"/>
      <c r="BC251" s="164"/>
      <c r="BD251" s="164"/>
      <c r="BE251" s="164"/>
      <c r="BF251" s="164"/>
      <c r="BG251" s="164"/>
      <c r="BH251" s="164"/>
      <c r="BI251" s="46"/>
      <c r="BJ251" s="46"/>
      <c r="BK251" s="173"/>
      <c r="BL251" s="164"/>
      <c r="BM251" s="164"/>
      <c r="BN251" s="164"/>
      <c r="BO251" s="164"/>
      <c r="BP251" s="164"/>
      <c r="BQ251" s="164"/>
      <c r="BR251" s="164"/>
      <c r="BS251" s="164"/>
      <c r="BT251" s="164"/>
      <c r="BU251" s="164"/>
      <c r="BV251" s="164"/>
      <c r="BW251" s="164"/>
      <c r="BX251" s="164"/>
      <c r="BY251" s="164"/>
      <c r="BZ251" s="164"/>
    </row>
    <row r="252" ht="15.75" customHeight="1" spans="1:78" x14ac:dyDescent="0.25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  <c r="AG252" s="164"/>
      <c r="AH252" s="164"/>
      <c r="AI252" s="164"/>
      <c r="AJ252" s="164"/>
      <c r="AK252" s="164"/>
      <c r="AL252" s="164"/>
      <c r="AM252" s="164"/>
      <c r="AN252" s="164"/>
      <c r="AO252" s="164"/>
      <c r="AP252" s="164"/>
      <c r="AQ252" s="164"/>
      <c r="AR252" s="164"/>
      <c r="AS252" s="164"/>
      <c r="AT252" s="164"/>
      <c r="AU252" s="164"/>
      <c r="AV252" s="164"/>
      <c r="AW252" s="164"/>
      <c r="AX252" s="164"/>
      <c r="AY252" s="164"/>
      <c r="AZ252" s="164"/>
      <c r="BA252" s="164"/>
      <c r="BB252" s="164"/>
      <c r="BC252" s="164"/>
      <c r="BD252" s="164"/>
      <c r="BE252" s="164"/>
      <c r="BF252" s="164"/>
      <c r="BG252" s="164"/>
      <c r="BH252" s="164"/>
      <c r="BI252" s="46"/>
      <c r="BJ252" s="46"/>
      <c r="BK252" s="173"/>
      <c r="BL252" s="164"/>
      <c r="BM252" s="164"/>
      <c r="BN252" s="164"/>
      <c r="BO252" s="164"/>
      <c r="BP252" s="164"/>
      <c r="BQ252" s="164"/>
      <c r="BR252" s="164"/>
      <c r="BS252" s="164"/>
      <c r="BT252" s="164"/>
      <c r="BU252" s="164"/>
      <c r="BV252" s="164"/>
      <c r="BW252" s="164"/>
      <c r="BX252" s="164"/>
      <c r="BY252" s="164"/>
      <c r="BZ252" s="164"/>
    </row>
    <row r="253" ht="15.75" customHeight="1" spans="1:78" x14ac:dyDescent="0.25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64"/>
      <c r="AJ253" s="164"/>
      <c r="AK253" s="164"/>
      <c r="AL253" s="164"/>
      <c r="AM253" s="164"/>
      <c r="AN253" s="164"/>
      <c r="AO253" s="164"/>
      <c r="AP253" s="164"/>
      <c r="AQ253" s="164"/>
      <c r="AR253" s="164"/>
      <c r="AS253" s="164"/>
      <c r="AT253" s="164"/>
      <c r="AU253" s="164"/>
      <c r="AV253" s="164"/>
      <c r="AW253" s="164"/>
      <c r="AX253" s="164"/>
      <c r="AY253" s="164"/>
      <c r="AZ253" s="164"/>
      <c r="BA253" s="164"/>
      <c r="BB253" s="164"/>
      <c r="BC253" s="164"/>
      <c r="BD253" s="164"/>
      <c r="BE253" s="164"/>
      <c r="BF253" s="164"/>
      <c r="BG253" s="164"/>
      <c r="BH253" s="164"/>
      <c r="BI253" s="46"/>
      <c r="BJ253" s="46"/>
      <c r="BK253" s="173"/>
      <c r="BL253" s="164"/>
      <c r="BM253" s="164"/>
      <c r="BN253" s="164"/>
      <c r="BO253" s="164"/>
      <c r="BP253" s="164"/>
      <c r="BQ253" s="164"/>
      <c r="BR253" s="164"/>
      <c r="BS253" s="164"/>
      <c r="BT253" s="164"/>
      <c r="BU253" s="164"/>
      <c r="BV253" s="164"/>
      <c r="BW253" s="164"/>
      <c r="BX253" s="164"/>
      <c r="BY253" s="164"/>
      <c r="BZ253" s="164"/>
    </row>
    <row r="254" ht="15.75" customHeight="1" spans="1:78" x14ac:dyDescent="0.25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/>
      <c r="AJ254" s="164"/>
      <c r="AK254" s="164"/>
      <c r="AL254" s="164"/>
      <c r="AM254" s="164"/>
      <c r="AN254" s="164"/>
      <c r="AO254" s="164"/>
      <c r="AP254" s="164"/>
      <c r="AQ254" s="164"/>
      <c r="AR254" s="164"/>
      <c r="AS254" s="164"/>
      <c r="AT254" s="164"/>
      <c r="AU254" s="164"/>
      <c r="AV254" s="164"/>
      <c r="AW254" s="164"/>
      <c r="AX254" s="164"/>
      <c r="AY254" s="164"/>
      <c r="AZ254" s="164"/>
      <c r="BA254" s="164"/>
      <c r="BB254" s="164"/>
      <c r="BC254" s="164"/>
      <c r="BD254" s="164"/>
      <c r="BE254" s="164"/>
      <c r="BF254" s="164"/>
      <c r="BG254" s="164"/>
      <c r="BH254" s="164"/>
      <c r="BI254" s="46"/>
      <c r="BJ254" s="46"/>
      <c r="BK254" s="173"/>
      <c r="BL254" s="164"/>
      <c r="BM254" s="164"/>
      <c r="BN254" s="164"/>
      <c r="BO254" s="164"/>
      <c r="BP254" s="164"/>
      <c r="BQ254" s="164"/>
      <c r="BR254" s="164"/>
      <c r="BS254" s="164"/>
      <c r="BT254" s="164"/>
      <c r="BU254" s="164"/>
      <c r="BV254" s="164"/>
      <c r="BW254" s="164"/>
      <c r="BX254" s="164"/>
      <c r="BY254" s="164"/>
      <c r="BZ254" s="164"/>
    </row>
    <row r="255" ht="15.75" customHeight="1" spans="1:78" x14ac:dyDescent="0.25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  <c r="AG255" s="164"/>
      <c r="AH255" s="164"/>
      <c r="AI255" s="164"/>
      <c r="AJ255" s="164"/>
      <c r="AK255" s="164"/>
      <c r="AL255" s="164"/>
      <c r="AM255" s="164"/>
      <c r="AN255" s="164"/>
      <c r="AO255" s="164"/>
      <c r="AP255" s="164"/>
      <c r="AQ255" s="164"/>
      <c r="AR255" s="164"/>
      <c r="AS255" s="164"/>
      <c r="AT255" s="164"/>
      <c r="AU255" s="164"/>
      <c r="AV255" s="164"/>
      <c r="AW255" s="164"/>
      <c r="AX255" s="164"/>
      <c r="AY255" s="164"/>
      <c r="AZ255" s="164"/>
      <c r="BA255" s="164"/>
      <c r="BB255" s="164"/>
      <c r="BC255" s="164"/>
      <c r="BD255" s="164"/>
      <c r="BE255" s="164"/>
      <c r="BF255" s="164"/>
      <c r="BG255" s="164"/>
      <c r="BH255" s="164"/>
      <c r="BI255" s="46"/>
      <c r="BJ255" s="46"/>
      <c r="BK255" s="173"/>
      <c r="BL255" s="164"/>
      <c r="BM255" s="164"/>
      <c r="BN255" s="164"/>
      <c r="BO255" s="164"/>
      <c r="BP255" s="164"/>
      <c r="BQ255" s="164"/>
      <c r="BR255" s="164"/>
      <c r="BS255" s="164"/>
      <c r="BT255" s="164"/>
      <c r="BU255" s="164"/>
      <c r="BV255" s="164"/>
      <c r="BW255" s="164"/>
      <c r="BX255" s="164"/>
      <c r="BY255" s="164"/>
      <c r="BZ255" s="164"/>
    </row>
    <row r="256" ht="15.75" customHeight="1" spans="1:78" x14ac:dyDescent="0.25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  <c r="AG256" s="164"/>
      <c r="AH256" s="164"/>
      <c r="AI256" s="164"/>
      <c r="AJ256" s="164"/>
      <c r="AK256" s="164"/>
      <c r="AL256" s="164"/>
      <c r="AM256" s="164"/>
      <c r="AN256" s="164"/>
      <c r="AO256" s="164"/>
      <c r="AP256" s="164"/>
      <c r="AQ256" s="164"/>
      <c r="AR256" s="164"/>
      <c r="AS256" s="164"/>
      <c r="AT256" s="164"/>
      <c r="AU256" s="164"/>
      <c r="AV256" s="164"/>
      <c r="AW256" s="164"/>
      <c r="AX256" s="164"/>
      <c r="AY256" s="164"/>
      <c r="AZ256" s="164"/>
      <c r="BA256" s="164"/>
      <c r="BB256" s="164"/>
      <c r="BC256" s="164"/>
      <c r="BD256" s="164"/>
      <c r="BE256" s="164"/>
      <c r="BF256" s="164"/>
      <c r="BG256" s="164"/>
      <c r="BH256" s="164"/>
      <c r="BI256" s="46"/>
      <c r="BJ256" s="46"/>
      <c r="BK256" s="173"/>
      <c r="BL256" s="164"/>
      <c r="BM256" s="164"/>
      <c r="BN256" s="164"/>
      <c r="BO256" s="164"/>
      <c r="BP256" s="164"/>
      <c r="BQ256" s="164"/>
      <c r="BR256" s="164"/>
      <c r="BS256" s="164"/>
      <c r="BT256" s="164"/>
      <c r="BU256" s="164"/>
      <c r="BV256" s="164"/>
      <c r="BW256" s="164"/>
      <c r="BX256" s="164"/>
      <c r="BY256" s="164"/>
      <c r="BZ256" s="164"/>
    </row>
    <row r="257" ht="15.75" customHeight="1" spans="1:78" x14ac:dyDescent="0.25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  <c r="AG257" s="164"/>
      <c r="AH257" s="164"/>
      <c r="AI257" s="164"/>
      <c r="AJ257" s="164"/>
      <c r="AK257" s="164"/>
      <c r="AL257" s="164"/>
      <c r="AM257" s="164"/>
      <c r="AN257" s="164"/>
      <c r="AO257" s="164"/>
      <c r="AP257" s="164"/>
      <c r="AQ257" s="164"/>
      <c r="AR257" s="164"/>
      <c r="AS257" s="164"/>
      <c r="AT257" s="164"/>
      <c r="AU257" s="164"/>
      <c r="AV257" s="164"/>
      <c r="AW257" s="164"/>
      <c r="AX257" s="164"/>
      <c r="AY257" s="164"/>
      <c r="AZ257" s="164"/>
      <c r="BA257" s="164"/>
      <c r="BB257" s="164"/>
      <c r="BC257" s="164"/>
      <c r="BD257" s="164"/>
      <c r="BE257" s="164"/>
      <c r="BF257" s="164"/>
      <c r="BG257" s="164"/>
      <c r="BH257" s="164"/>
      <c r="BI257" s="46"/>
      <c r="BJ257" s="46"/>
      <c r="BK257" s="173"/>
      <c r="BL257" s="164"/>
      <c r="BM257" s="164"/>
      <c r="BN257" s="164"/>
      <c r="BO257" s="164"/>
      <c r="BP257" s="164"/>
      <c r="BQ257" s="164"/>
      <c r="BR257" s="164"/>
      <c r="BS257" s="164"/>
      <c r="BT257" s="164"/>
      <c r="BU257" s="164"/>
      <c r="BV257" s="164"/>
      <c r="BW257" s="164"/>
      <c r="BX257" s="164"/>
      <c r="BY257" s="164"/>
      <c r="BZ257" s="164"/>
    </row>
    <row r="258" ht="15.75" customHeight="1" spans="1:78" x14ac:dyDescent="0.25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  <c r="AK258" s="164"/>
      <c r="AL258" s="164"/>
      <c r="AM258" s="164"/>
      <c r="AN258" s="164"/>
      <c r="AO258" s="164"/>
      <c r="AP258" s="164"/>
      <c r="AQ258" s="164"/>
      <c r="AR258" s="164"/>
      <c r="AS258" s="164"/>
      <c r="AT258" s="164"/>
      <c r="AU258" s="164"/>
      <c r="AV258" s="164"/>
      <c r="AW258" s="164"/>
      <c r="AX258" s="164"/>
      <c r="AY258" s="164"/>
      <c r="AZ258" s="164"/>
      <c r="BA258" s="164"/>
      <c r="BB258" s="164"/>
      <c r="BC258" s="164"/>
      <c r="BD258" s="164"/>
      <c r="BE258" s="164"/>
      <c r="BF258" s="164"/>
      <c r="BG258" s="164"/>
      <c r="BH258" s="164"/>
      <c r="BI258" s="46"/>
      <c r="BJ258" s="46"/>
      <c r="BK258" s="173"/>
      <c r="BL258" s="164"/>
      <c r="BM258" s="164"/>
      <c r="BN258" s="164"/>
      <c r="BO258" s="164"/>
      <c r="BP258" s="164"/>
      <c r="BQ258" s="164"/>
      <c r="BR258" s="164"/>
      <c r="BS258" s="164"/>
      <c r="BT258" s="164"/>
      <c r="BU258" s="164"/>
      <c r="BV258" s="164"/>
      <c r="BW258" s="164"/>
      <c r="BX258" s="164"/>
      <c r="BY258" s="164"/>
      <c r="BZ258" s="164"/>
    </row>
    <row r="259" ht="15.75" customHeight="1" spans="1:78" x14ac:dyDescent="0.25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  <c r="AG259" s="164"/>
      <c r="AH259" s="164"/>
      <c r="AI259" s="164"/>
      <c r="AJ259" s="164"/>
      <c r="AK259" s="164"/>
      <c r="AL259" s="164"/>
      <c r="AM259" s="164"/>
      <c r="AN259" s="164"/>
      <c r="AO259" s="164"/>
      <c r="AP259" s="164"/>
      <c r="AQ259" s="164"/>
      <c r="AR259" s="164"/>
      <c r="AS259" s="164"/>
      <c r="AT259" s="164"/>
      <c r="AU259" s="164"/>
      <c r="AV259" s="164"/>
      <c r="AW259" s="164"/>
      <c r="AX259" s="164"/>
      <c r="AY259" s="164"/>
      <c r="AZ259" s="164"/>
      <c r="BA259" s="164"/>
      <c r="BB259" s="164"/>
      <c r="BC259" s="164"/>
      <c r="BD259" s="164"/>
      <c r="BE259" s="164"/>
      <c r="BF259" s="164"/>
      <c r="BG259" s="164"/>
      <c r="BH259" s="164"/>
      <c r="BI259" s="46"/>
      <c r="BJ259" s="46"/>
      <c r="BK259" s="173"/>
      <c r="BL259" s="164"/>
      <c r="BM259" s="164"/>
      <c r="BN259" s="164"/>
      <c r="BO259" s="164"/>
      <c r="BP259" s="164"/>
      <c r="BQ259" s="164"/>
      <c r="BR259" s="164"/>
      <c r="BS259" s="164"/>
      <c r="BT259" s="164"/>
      <c r="BU259" s="164"/>
      <c r="BV259" s="164"/>
      <c r="BW259" s="164"/>
      <c r="BX259" s="164"/>
      <c r="BY259" s="164"/>
      <c r="BZ259" s="164"/>
    </row>
    <row r="260" ht="15.75" customHeight="1" spans="1:78" x14ac:dyDescent="0.25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  <c r="AG260" s="164"/>
      <c r="AH260" s="164"/>
      <c r="AI260" s="164"/>
      <c r="AJ260" s="164"/>
      <c r="AK260" s="164"/>
      <c r="AL260" s="164"/>
      <c r="AM260" s="164"/>
      <c r="AN260" s="164"/>
      <c r="AO260" s="164"/>
      <c r="AP260" s="164"/>
      <c r="AQ260" s="164"/>
      <c r="AR260" s="164"/>
      <c r="AS260" s="164"/>
      <c r="AT260" s="164"/>
      <c r="AU260" s="164"/>
      <c r="AV260" s="164"/>
      <c r="AW260" s="164"/>
      <c r="AX260" s="164"/>
      <c r="AY260" s="164"/>
      <c r="AZ260" s="164"/>
      <c r="BA260" s="164"/>
      <c r="BB260" s="164"/>
      <c r="BC260" s="164"/>
      <c r="BD260" s="164"/>
      <c r="BE260" s="164"/>
      <c r="BF260" s="164"/>
      <c r="BG260" s="164"/>
      <c r="BH260" s="164"/>
      <c r="BI260" s="46"/>
      <c r="BJ260" s="46"/>
      <c r="BK260" s="173"/>
      <c r="BL260" s="164"/>
      <c r="BM260" s="164"/>
      <c r="BN260" s="164"/>
      <c r="BO260" s="164"/>
      <c r="BP260" s="164"/>
      <c r="BQ260" s="164"/>
      <c r="BR260" s="164"/>
      <c r="BS260" s="164"/>
      <c r="BT260" s="164"/>
      <c r="BU260" s="164"/>
      <c r="BV260" s="164"/>
      <c r="BW260" s="164"/>
      <c r="BX260" s="164"/>
      <c r="BY260" s="164"/>
      <c r="BZ260" s="164"/>
    </row>
    <row r="261" ht="15.75" customHeight="1" spans="1:78" x14ac:dyDescent="0.25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  <c r="AH261" s="164"/>
      <c r="AI261" s="164"/>
      <c r="AJ261" s="164"/>
      <c r="AK261" s="164"/>
      <c r="AL261" s="164"/>
      <c r="AM261" s="164"/>
      <c r="AN261" s="164"/>
      <c r="AO261" s="164"/>
      <c r="AP261" s="164"/>
      <c r="AQ261" s="164"/>
      <c r="AR261" s="164"/>
      <c r="AS261" s="164"/>
      <c r="AT261" s="164"/>
      <c r="AU261" s="164"/>
      <c r="AV261" s="164"/>
      <c r="AW261" s="164"/>
      <c r="AX261" s="164"/>
      <c r="AY261" s="164"/>
      <c r="AZ261" s="164"/>
      <c r="BA261" s="164"/>
      <c r="BB261" s="164"/>
      <c r="BC261" s="164"/>
      <c r="BD261" s="164"/>
      <c r="BE261" s="164"/>
      <c r="BF261" s="164"/>
      <c r="BG261" s="164"/>
      <c r="BH261" s="164"/>
      <c r="BI261" s="46"/>
      <c r="BJ261" s="46"/>
      <c r="BK261" s="173"/>
      <c r="BL261" s="164"/>
      <c r="BM261" s="164"/>
      <c r="BN261" s="164"/>
      <c r="BO261" s="164"/>
      <c r="BP261" s="164"/>
      <c r="BQ261" s="164"/>
      <c r="BR261" s="164"/>
      <c r="BS261" s="164"/>
      <c r="BT261" s="164"/>
      <c r="BU261" s="164"/>
      <c r="BV261" s="164"/>
      <c r="BW261" s="164"/>
      <c r="BX261" s="164"/>
      <c r="BY261" s="164"/>
      <c r="BZ261" s="164"/>
    </row>
    <row r="262" ht="15.75" customHeight="1" spans="1:78" x14ac:dyDescent="0.25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64"/>
      <c r="AJ262" s="164"/>
      <c r="AK262" s="164"/>
      <c r="AL262" s="164"/>
      <c r="AM262" s="164"/>
      <c r="AN262" s="164"/>
      <c r="AO262" s="164"/>
      <c r="AP262" s="164"/>
      <c r="AQ262" s="164"/>
      <c r="AR262" s="164"/>
      <c r="AS262" s="164"/>
      <c r="AT262" s="164"/>
      <c r="AU262" s="164"/>
      <c r="AV262" s="164"/>
      <c r="AW262" s="164"/>
      <c r="AX262" s="164"/>
      <c r="AY262" s="164"/>
      <c r="AZ262" s="164"/>
      <c r="BA262" s="164"/>
      <c r="BB262" s="164"/>
      <c r="BC262" s="164"/>
      <c r="BD262" s="164"/>
      <c r="BE262" s="164"/>
      <c r="BF262" s="164"/>
      <c r="BG262" s="164"/>
      <c r="BH262" s="164"/>
      <c r="BI262" s="46"/>
      <c r="BJ262" s="46"/>
      <c r="BK262" s="173"/>
      <c r="BL262" s="164"/>
      <c r="BM262" s="164"/>
      <c r="BN262" s="164"/>
      <c r="BO262" s="164"/>
      <c r="BP262" s="164"/>
      <c r="BQ262" s="164"/>
      <c r="BR262" s="164"/>
      <c r="BS262" s="164"/>
      <c r="BT262" s="164"/>
      <c r="BU262" s="164"/>
      <c r="BV262" s="164"/>
      <c r="BW262" s="164"/>
      <c r="BX262" s="164"/>
      <c r="BY262" s="164"/>
      <c r="BZ262" s="164"/>
    </row>
    <row r="263" ht="15.75" customHeight="1" spans="1:78" x14ac:dyDescent="0.25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64"/>
      <c r="AJ263" s="164"/>
      <c r="AK263" s="164"/>
      <c r="AL263" s="164"/>
      <c r="AM263" s="164"/>
      <c r="AN263" s="164"/>
      <c r="AO263" s="164"/>
      <c r="AP263" s="164"/>
      <c r="AQ263" s="164"/>
      <c r="AR263" s="164"/>
      <c r="AS263" s="164"/>
      <c r="AT263" s="164"/>
      <c r="AU263" s="164"/>
      <c r="AV263" s="164"/>
      <c r="AW263" s="164"/>
      <c r="AX263" s="164"/>
      <c r="AY263" s="164"/>
      <c r="AZ263" s="164"/>
      <c r="BA263" s="164"/>
      <c r="BB263" s="164"/>
      <c r="BC263" s="164"/>
      <c r="BD263" s="164"/>
      <c r="BE263" s="164"/>
      <c r="BF263" s="164"/>
      <c r="BG263" s="164"/>
      <c r="BH263" s="164"/>
      <c r="BI263" s="46"/>
      <c r="BJ263" s="46"/>
      <c r="BK263" s="173"/>
      <c r="BL263" s="164"/>
      <c r="BM263" s="164"/>
      <c r="BN263" s="164"/>
      <c r="BO263" s="164"/>
      <c r="BP263" s="164"/>
      <c r="BQ263" s="164"/>
      <c r="BR263" s="164"/>
      <c r="BS263" s="164"/>
      <c r="BT263" s="164"/>
      <c r="BU263" s="164"/>
      <c r="BV263" s="164"/>
      <c r="BW263" s="164"/>
      <c r="BX263" s="164"/>
      <c r="BY263" s="164"/>
      <c r="BZ263" s="164"/>
    </row>
    <row r="264" ht="15.75" customHeight="1" spans="1:78" x14ac:dyDescent="0.25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4"/>
      <c r="AF264" s="164"/>
      <c r="AG264" s="164"/>
      <c r="AH264" s="164"/>
      <c r="AI264" s="164"/>
      <c r="AJ264" s="164"/>
      <c r="AK264" s="164"/>
      <c r="AL264" s="164"/>
      <c r="AM264" s="164"/>
      <c r="AN264" s="164"/>
      <c r="AO264" s="164"/>
      <c r="AP264" s="164"/>
      <c r="AQ264" s="164"/>
      <c r="AR264" s="164"/>
      <c r="AS264" s="164"/>
      <c r="AT264" s="164"/>
      <c r="AU264" s="164"/>
      <c r="AV264" s="164"/>
      <c r="AW264" s="164"/>
      <c r="AX264" s="164"/>
      <c r="AY264" s="164"/>
      <c r="AZ264" s="164"/>
      <c r="BA264" s="164"/>
      <c r="BB264" s="164"/>
      <c r="BC264" s="164"/>
      <c r="BD264" s="164"/>
      <c r="BE264" s="164"/>
      <c r="BF264" s="164"/>
      <c r="BG264" s="164"/>
      <c r="BH264" s="164"/>
      <c r="BI264" s="46"/>
      <c r="BJ264" s="46"/>
      <c r="BK264" s="173"/>
      <c r="BL264" s="164"/>
      <c r="BM264" s="164"/>
      <c r="BN264" s="164"/>
      <c r="BO264" s="164"/>
      <c r="BP264" s="164"/>
      <c r="BQ264" s="164"/>
      <c r="BR264" s="164"/>
      <c r="BS264" s="164"/>
      <c r="BT264" s="164"/>
      <c r="BU264" s="164"/>
      <c r="BV264" s="164"/>
      <c r="BW264" s="164"/>
      <c r="BX264" s="164"/>
      <c r="BY264" s="164"/>
      <c r="BZ264" s="164"/>
    </row>
    <row r="265" ht="15.75" customHeight="1" spans="1:78" x14ac:dyDescent="0.25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  <c r="AE265" s="164"/>
      <c r="AF265" s="164"/>
      <c r="AG265" s="164"/>
      <c r="AH265" s="164"/>
      <c r="AI265" s="164"/>
      <c r="AJ265" s="164"/>
      <c r="AK265" s="164"/>
      <c r="AL265" s="164"/>
      <c r="AM265" s="164"/>
      <c r="AN265" s="164"/>
      <c r="AO265" s="164"/>
      <c r="AP265" s="164"/>
      <c r="AQ265" s="164"/>
      <c r="AR265" s="164"/>
      <c r="AS265" s="164"/>
      <c r="AT265" s="164"/>
      <c r="AU265" s="164"/>
      <c r="AV265" s="164"/>
      <c r="AW265" s="164"/>
      <c r="AX265" s="164"/>
      <c r="AY265" s="164"/>
      <c r="AZ265" s="164"/>
      <c r="BA265" s="164"/>
      <c r="BB265" s="164"/>
      <c r="BC265" s="164"/>
      <c r="BD265" s="164"/>
      <c r="BE265" s="164"/>
      <c r="BF265" s="164"/>
      <c r="BG265" s="164"/>
      <c r="BH265" s="164"/>
      <c r="BI265" s="46"/>
      <c r="BJ265" s="46"/>
      <c r="BK265" s="173"/>
      <c r="BL265" s="164"/>
      <c r="BM265" s="164"/>
      <c r="BN265" s="164"/>
      <c r="BO265" s="164"/>
      <c r="BP265" s="164"/>
      <c r="BQ265" s="164"/>
      <c r="BR265" s="164"/>
      <c r="BS265" s="164"/>
      <c r="BT265" s="164"/>
      <c r="BU265" s="164"/>
      <c r="BV265" s="164"/>
      <c r="BW265" s="164"/>
      <c r="BX265" s="164"/>
      <c r="BY265" s="164"/>
      <c r="BZ265" s="164"/>
    </row>
    <row r="266" ht="15.75" customHeight="1" spans="1:78" x14ac:dyDescent="0.25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  <c r="AE266" s="164"/>
      <c r="AF266" s="164"/>
      <c r="AG266" s="164"/>
      <c r="AH266" s="164"/>
      <c r="AI266" s="164"/>
      <c r="AJ266" s="164"/>
      <c r="AK266" s="164"/>
      <c r="AL266" s="164"/>
      <c r="AM266" s="164"/>
      <c r="AN266" s="164"/>
      <c r="AO266" s="164"/>
      <c r="AP266" s="164"/>
      <c r="AQ266" s="164"/>
      <c r="AR266" s="164"/>
      <c r="AS266" s="164"/>
      <c r="AT266" s="164"/>
      <c r="AU266" s="164"/>
      <c r="AV266" s="164"/>
      <c r="AW266" s="164"/>
      <c r="AX266" s="164"/>
      <c r="AY266" s="164"/>
      <c r="AZ266" s="164"/>
      <c r="BA266" s="164"/>
      <c r="BB266" s="164"/>
      <c r="BC266" s="164"/>
      <c r="BD266" s="164"/>
      <c r="BE266" s="164"/>
      <c r="BF266" s="164"/>
      <c r="BG266" s="164"/>
      <c r="BH266" s="164"/>
      <c r="BI266" s="46"/>
      <c r="BJ266" s="46"/>
      <c r="BK266" s="173"/>
      <c r="BL266" s="164"/>
      <c r="BM266" s="164"/>
      <c r="BN266" s="164"/>
      <c r="BO266" s="164"/>
      <c r="BP266" s="164"/>
      <c r="BQ266" s="164"/>
      <c r="BR266" s="164"/>
      <c r="BS266" s="164"/>
      <c r="BT266" s="164"/>
      <c r="BU266" s="164"/>
      <c r="BV266" s="164"/>
      <c r="BW266" s="164"/>
      <c r="BX266" s="164"/>
      <c r="BY266" s="164"/>
      <c r="BZ266" s="164"/>
    </row>
    <row r="267" ht="15.75" customHeight="1" spans="1:78" x14ac:dyDescent="0.25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  <c r="AG267" s="164"/>
      <c r="AH267" s="164"/>
      <c r="AI267" s="164"/>
      <c r="AJ267" s="164"/>
      <c r="AK267" s="164"/>
      <c r="AL267" s="164"/>
      <c r="AM267" s="164"/>
      <c r="AN267" s="164"/>
      <c r="AO267" s="164"/>
      <c r="AP267" s="164"/>
      <c r="AQ267" s="164"/>
      <c r="AR267" s="164"/>
      <c r="AS267" s="164"/>
      <c r="AT267" s="164"/>
      <c r="AU267" s="164"/>
      <c r="AV267" s="164"/>
      <c r="AW267" s="164"/>
      <c r="AX267" s="164"/>
      <c r="AY267" s="164"/>
      <c r="AZ267" s="164"/>
      <c r="BA267" s="164"/>
      <c r="BB267" s="164"/>
      <c r="BC267" s="164"/>
      <c r="BD267" s="164"/>
      <c r="BE267" s="164"/>
      <c r="BF267" s="164"/>
      <c r="BG267" s="164"/>
      <c r="BH267" s="164"/>
      <c r="BI267" s="46"/>
      <c r="BJ267" s="46"/>
      <c r="BK267" s="173"/>
      <c r="BL267" s="164"/>
      <c r="BM267" s="164"/>
      <c r="BN267" s="164"/>
      <c r="BO267" s="164"/>
      <c r="BP267" s="164"/>
      <c r="BQ267" s="164"/>
      <c r="BR267" s="164"/>
      <c r="BS267" s="164"/>
      <c r="BT267" s="164"/>
      <c r="BU267" s="164"/>
      <c r="BV267" s="164"/>
      <c r="BW267" s="164"/>
      <c r="BX267" s="164"/>
      <c r="BY267" s="164"/>
      <c r="BZ267" s="164"/>
    </row>
    <row r="268" ht="15.75" customHeight="1" spans="1:78" x14ac:dyDescent="0.25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64"/>
      <c r="AJ268" s="164"/>
      <c r="AK268" s="164"/>
      <c r="AL268" s="164"/>
      <c r="AM268" s="164"/>
      <c r="AN268" s="164"/>
      <c r="AO268" s="164"/>
      <c r="AP268" s="164"/>
      <c r="AQ268" s="164"/>
      <c r="AR268" s="164"/>
      <c r="AS268" s="164"/>
      <c r="AT268" s="164"/>
      <c r="AU268" s="164"/>
      <c r="AV268" s="164"/>
      <c r="AW268" s="164"/>
      <c r="AX268" s="164"/>
      <c r="AY268" s="164"/>
      <c r="AZ268" s="164"/>
      <c r="BA268" s="164"/>
      <c r="BB268" s="164"/>
      <c r="BC268" s="164"/>
      <c r="BD268" s="164"/>
      <c r="BE268" s="164"/>
      <c r="BF268" s="164"/>
      <c r="BG268" s="164"/>
      <c r="BH268" s="164"/>
      <c r="BI268" s="46"/>
      <c r="BJ268" s="46"/>
      <c r="BK268" s="173"/>
      <c r="BL268" s="164"/>
      <c r="BM268" s="164"/>
      <c r="BN268" s="164"/>
      <c r="BO268" s="164"/>
      <c r="BP268" s="164"/>
      <c r="BQ268" s="164"/>
      <c r="BR268" s="164"/>
      <c r="BS268" s="164"/>
      <c r="BT268" s="164"/>
      <c r="BU268" s="164"/>
      <c r="BV268" s="164"/>
      <c r="BW268" s="164"/>
      <c r="BX268" s="164"/>
      <c r="BY268" s="164"/>
      <c r="BZ268" s="164"/>
    </row>
    <row r="269" ht="15.75" customHeight="1" spans="1:78" x14ac:dyDescent="0.25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64"/>
      <c r="AJ269" s="164"/>
      <c r="AK269" s="164"/>
      <c r="AL269" s="164"/>
      <c r="AM269" s="164"/>
      <c r="AN269" s="164"/>
      <c r="AO269" s="164"/>
      <c r="AP269" s="164"/>
      <c r="AQ269" s="164"/>
      <c r="AR269" s="164"/>
      <c r="AS269" s="164"/>
      <c r="AT269" s="164"/>
      <c r="AU269" s="164"/>
      <c r="AV269" s="164"/>
      <c r="AW269" s="164"/>
      <c r="AX269" s="164"/>
      <c r="AY269" s="164"/>
      <c r="AZ269" s="164"/>
      <c r="BA269" s="164"/>
      <c r="BB269" s="164"/>
      <c r="BC269" s="164"/>
      <c r="BD269" s="164"/>
      <c r="BE269" s="164"/>
      <c r="BF269" s="164"/>
      <c r="BG269" s="164"/>
      <c r="BH269" s="164"/>
      <c r="BI269" s="46"/>
      <c r="BJ269" s="46"/>
      <c r="BK269" s="173"/>
      <c r="BL269" s="164"/>
      <c r="BM269" s="164"/>
      <c r="BN269" s="164"/>
      <c r="BO269" s="164"/>
      <c r="BP269" s="164"/>
      <c r="BQ269" s="164"/>
      <c r="BR269" s="164"/>
      <c r="BS269" s="164"/>
      <c r="BT269" s="164"/>
      <c r="BU269" s="164"/>
      <c r="BV269" s="164"/>
      <c r="BW269" s="164"/>
      <c r="BX269" s="164"/>
      <c r="BY269" s="164"/>
      <c r="BZ269" s="164"/>
    </row>
    <row r="270" ht="15.75" customHeight="1" spans="1:78" x14ac:dyDescent="0.25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64"/>
      <c r="AJ270" s="164"/>
      <c r="AK270" s="164"/>
      <c r="AL270" s="164"/>
      <c r="AM270" s="164"/>
      <c r="AN270" s="164"/>
      <c r="AO270" s="164"/>
      <c r="AP270" s="164"/>
      <c r="AQ270" s="164"/>
      <c r="AR270" s="164"/>
      <c r="AS270" s="164"/>
      <c r="AT270" s="164"/>
      <c r="AU270" s="164"/>
      <c r="AV270" s="164"/>
      <c r="AW270" s="164"/>
      <c r="AX270" s="164"/>
      <c r="AY270" s="164"/>
      <c r="AZ270" s="164"/>
      <c r="BA270" s="164"/>
      <c r="BB270" s="164"/>
      <c r="BC270" s="164"/>
      <c r="BD270" s="164"/>
      <c r="BE270" s="164"/>
      <c r="BF270" s="164"/>
      <c r="BG270" s="164"/>
      <c r="BH270" s="164"/>
      <c r="BI270" s="46"/>
      <c r="BJ270" s="46"/>
      <c r="BK270" s="173"/>
      <c r="BL270" s="164"/>
      <c r="BM270" s="164"/>
      <c r="BN270" s="164"/>
      <c r="BO270" s="164"/>
      <c r="BP270" s="164"/>
      <c r="BQ270" s="164"/>
      <c r="BR270" s="164"/>
      <c r="BS270" s="164"/>
      <c r="BT270" s="164"/>
      <c r="BU270" s="164"/>
      <c r="BV270" s="164"/>
      <c r="BW270" s="164"/>
      <c r="BX270" s="164"/>
      <c r="BY270" s="164"/>
      <c r="BZ270" s="164"/>
    </row>
    <row r="271" ht="15.75" customHeight="1" spans="1:78" x14ac:dyDescent="0.25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64"/>
      <c r="AJ271" s="164"/>
      <c r="AK271" s="164"/>
      <c r="AL271" s="164"/>
      <c r="AM271" s="164"/>
      <c r="AN271" s="164"/>
      <c r="AO271" s="164"/>
      <c r="AP271" s="164"/>
      <c r="AQ271" s="164"/>
      <c r="AR271" s="164"/>
      <c r="AS271" s="164"/>
      <c r="AT271" s="164"/>
      <c r="AU271" s="164"/>
      <c r="AV271" s="164"/>
      <c r="AW271" s="164"/>
      <c r="AX271" s="164"/>
      <c r="AY271" s="164"/>
      <c r="AZ271" s="164"/>
      <c r="BA271" s="164"/>
      <c r="BB271" s="164"/>
      <c r="BC271" s="164"/>
      <c r="BD271" s="164"/>
      <c r="BE271" s="164"/>
      <c r="BF271" s="164"/>
      <c r="BG271" s="164"/>
      <c r="BH271" s="164"/>
      <c r="BI271" s="46"/>
      <c r="BJ271" s="46"/>
      <c r="BK271" s="173"/>
      <c r="BL271" s="164"/>
      <c r="BM271" s="164"/>
      <c r="BN271" s="164"/>
      <c r="BO271" s="164"/>
      <c r="BP271" s="164"/>
      <c r="BQ271" s="164"/>
      <c r="BR271" s="164"/>
      <c r="BS271" s="164"/>
      <c r="BT271" s="164"/>
      <c r="BU271" s="164"/>
      <c r="BV271" s="164"/>
      <c r="BW271" s="164"/>
      <c r="BX271" s="164"/>
      <c r="BY271" s="164"/>
      <c r="BZ271" s="164"/>
    </row>
    <row r="272" ht="15.75" customHeight="1" spans="1:78" x14ac:dyDescent="0.25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  <c r="AG272" s="164"/>
      <c r="AH272" s="164"/>
      <c r="AI272" s="164"/>
      <c r="AJ272" s="164"/>
      <c r="AK272" s="164"/>
      <c r="AL272" s="164"/>
      <c r="AM272" s="164"/>
      <c r="AN272" s="164"/>
      <c r="AO272" s="164"/>
      <c r="AP272" s="164"/>
      <c r="AQ272" s="164"/>
      <c r="AR272" s="164"/>
      <c r="AS272" s="164"/>
      <c r="AT272" s="164"/>
      <c r="AU272" s="164"/>
      <c r="AV272" s="164"/>
      <c r="AW272" s="164"/>
      <c r="AX272" s="164"/>
      <c r="AY272" s="164"/>
      <c r="AZ272" s="164"/>
      <c r="BA272" s="164"/>
      <c r="BB272" s="164"/>
      <c r="BC272" s="164"/>
      <c r="BD272" s="164"/>
      <c r="BE272" s="164"/>
      <c r="BF272" s="164"/>
      <c r="BG272" s="164"/>
      <c r="BH272" s="164"/>
      <c r="BI272" s="46"/>
      <c r="BJ272" s="46"/>
      <c r="BK272" s="173"/>
      <c r="BL272" s="164"/>
      <c r="BM272" s="164"/>
      <c r="BN272" s="164"/>
      <c r="BO272" s="164"/>
      <c r="BP272" s="164"/>
      <c r="BQ272" s="164"/>
      <c r="BR272" s="164"/>
      <c r="BS272" s="164"/>
      <c r="BT272" s="164"/>
      <c r="BU272" s="164"/>
      <c r="BV272" s="164"/>
      <c r="BW272" s="164"/>
      <c r="BX272" s="164"/>
      <c r="BY272" s="164"/>
      <c r="BZ272" s="164"/>
    </row>
    <row r="273" ht="15.75" customHeight="1" spans="1:78" x14ac:dyDescent="0.25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  <c r="AG273" s="164"/>
      <c r="AH273" s="164"/>
      <c r="AI273" s="164"/>
      <c r="AJ273" s="164"/>
      <c r="AK273" s="164"/>
      <c r="AL273" s="164"/>
      <c r="AM273" s="164"/>
      <c r="AN273" s="164"/>
      <c r="AO273" s="164"/>
      <c r="AP273" s="164"/>
      <c r="AQ273" s="164"/>
      <c r="AR273" s="164"/>
      <c r="AS273" s="164"/>
      <c r="AT273" s="164"/>
      <c r="AU273" s="164"/>
      <c r="AV273" s="164"/>
      <c r="AW273" s="164"/>
      <c r="AX273" s="164"/>
      <c r="AY273" s="164"/>
      <c r="AZ273" s="164"/>
      <c r="BA273" s="164"/>
      <c r="BB273" s="164"/>
      <c r="BC273" s="164"/>
      <c r="BD273" s="164"/>
      <c r="BE273" s="164"/>
      <c r="BF273" s="164"/>
      <c r="BG273" s="164"/>
      <c r="BH273" s="164"/>
      <c r="BI273" s="46"/>
      <c r="BJ273" s="46"/>
      <c r="BK273" s="173"/>
      <c r="BL273" s="164"/>
      <c r="BM273" s="164"/>
      <c r="BN273" s="164"/>
      <c r="BO273" s="164"/>
      <c r="BP273" s="164"/>
      <c r="BQ273" s="164"/>
      <c r="BR273" s="164"/>
      <c r="BS273" s="164"/>
      <c r="BT273" s="164"/>
      <c r="BU273" s="164"/>
      <c r="BV273" s="164"/>
      <c r="BW273" s="164"/>
      <c r="BX273" s="164"/>
      <c r="BY273" s="164"/>
      <c r="BZ273" s="164"/>
    </row>
    <row r="274" ht="15.75" customHeight="1" spans="1:78" x14ac:dyDescent="0.25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  <c r="AG274" s="164"/>
      <c r="AH274" s="164"/>
      <c r="AI274" s="164"/>
      <c r="AJ274" s="164"/>
      <c r="AK274" s="164"/>
      <c r="AL274" s="164"/>
      <c r="AM274" s="164"/>
      <c r="AN274" s="164"/>
      <c r="AO274" s="164"/>
      <c r="AP274" s="164"/>
      <c r="AQ274" s="164"/>
      <c r="AR274" s="164"/>
      <c r="AS274" s="164"/>
      <c r="AT274" s="164"/>
      <c r="AU274" s="164"/>
      <c r="AV274" s="164"/>
      <c r="AW274" s="164"/>
      <c r="AX274" s="164"/>
      <c r="AY274" s="164"/>
      <c r="AZ274" s="164"/>
      <c r="BA274" s="164"/>
      <c r="BB274" s="164"/>
      <c r="BC274" s="164"/>
      <c r="BD274" s="164"/>
      <c r="BE274" s="164"/>
      <c r="BF274" s="164"/>
      <c r="BG274" s="164"/>
      <c r="BH274" s="164"/>
      <c r="BI274" s="46"/>
      <c r="BJ274" s="46"/>
      <c r="BK274" s="173"/>
      <c r="BL274" s="164"/>
      <c r="BM274" s="164"/>
      <c r="BN274" s="164"/>
      <c r="BO274" s="164"/>
      <c r="BP274" s="164"/>
      <c r="BQ274" s="164"/>
      <c r="BR274" s="164"/>
      <c r="BS274" s="164"/>
      <c r="BT274" s="164"/>
      <c r="BU274" s="164"/>
      <c r="BV274" s="164"/>
      <c r="BW274" s="164"/>
      <c r="BX274" s="164"/>
      <c r="BY274" s="164"/>
      <c r="BZ274" s="164"/>
    </row>
    <row r="275" ht="15.75" customHeight="1" spans="1:78" x14ac:dyDescent="0.25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/>
      <c r="AJ275" s="164"/>
      <c r="AK275" s="164"/>
      <c r="AL275" s="164"/>
      <c r="AM275" s="164"/>
      <c r="AN275" s="164"/>
      <c r="AO275" s="164"/>
      <c r="AP275" s="164"/>
      <c r="AQ275" s="164"/>
      <c r="AR275" s="164"/>
      <c r="AS275" s="164"/>
      <c r="AT275" s="164"/>
      <c r="AU275" s="164"/>
      <c r="AV275" s="164"/>
      <c r="AW275" s="164"/>
      <c r="AX275" s="164"/>
      <c r="AY275" s="164"/>
      <c r="AZ275" s="164"/>
      <c r="BA275" s="164"/>
      <c r="BB275" s="164"/>
      <c r="BC275" s="164"/>
      <c r="BD275" s="164"/>
      <c r="BE275" s="164"/>
      <c r="BF275" s="164"/>
      <c r="BG275" s="164"/>
      <c r="BH275" s="164"/>
      <c r="BI275" s="46"/>
      <c r="BJ275" s="46"/>
      <c r="BK275" s="173"/>
      <c r="BL275" s="164"/>
      <c r="BM275" s="164"/>
      <c r="BN275" s="164"/>
      <c r="BO275" s="164"/>
      <c r="BP275" s="164"/>
      <c r="BQ275" s="164"/>
      <c r="BR275" s="164"/>
      <c r="BS275" s="164"/>
      <c r="BT275" s="164"/>
      <c r="BU275" s="164"/>
      <c r="BV275" s="164"/>
      <c r="BW275" s="164"/>
      <c r="BX275" s="164"/>
      <c r="BY275" s="164"/>
      <c r="BZ275" s="164"/>
    </row>
    <row r="276" ht="15.75" customHeight="1" spans="3:63" x14ac:dyDescent="0.25">
      <c r="C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W276" s="164"/>
      <c r="X276" s="164"/>
      <c r="Y276" s="164"/>
      <c r="AD276" s="164"/>
      <c r="AE276" s="164"/>
      <c r="AF276" s="164"/>
      <c r="AL276" s="164"/>
      <c r="AM276" s="164"/>
      <c r="AN276" s="164"/>
      <c r="AT276" s="164"/>
      <c r="AU276" s="164"/>
      <c r="AV276" s="164"/>
      <c r="BD276" s="164"/>
      <c r="BE276" s="164"/>
      <c r="BI276" s="46"/>
      <c r="BJ276" s="46"/>
      <c r="BK276" s="173"/>
    </row>
    <row r="277" ht="15.75" customHeight="1" spans="3:63" x14ac:dyDescent="0.25">
      <c r="C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W277" s="164"/>
      <c r="X277" s="164"/>
      <c r="Y277" s="164"/>
      <c r="AD277" s="164"/>
      <c r="AE277" s="164"/>
      <c r="AF277" s="164"/>
      <c r="AL277" s="164"/>
      <c r="AM277" s="164"/>
      <c r="AN277" s="164"/>
      <c r="AT277" s="164"/>
      <c r="AU277" s="164"/>
      <c r="AV277" s="164"/>
      <c r="BD277" s="164"/>
      <c r="BE277" s="164"/>
      <c r="BI277" s="46"/>
      <c r="BJ277" s="46"/>
      <c r="BK277" s="173"/>
    </row>
    <row r="278" ht="15.75" customHeight="1" spans="3:63" x14ac:dyDescent="0.25">
      <c r="C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W278" s="164"/>
      <c r="X278" s="164"/>
      <c r="Y278" s="164"/>
      <c r="AD278" s="164"/>
      <c r="AE278" s="164"/>
      <c r="AF278" s="164"/>
      <c r="AL278" s="164"/>
      <c r="AM278" s="164"/>
      <c r="AN278" s="164"/>
      <c r="AT278" s="164"/>
      <c r="AU278" s="164"/>
      <c r="AV278" s="164"/>
      <c r="BD278" s="164"/>
      <c r="BE278" s="164"/>
      <c r="BI278" s="46"/>
      <c r="BJ278" s="46"/>
      <c r="BK278" s="173"/>
    </row>
    <row r="279" ht="15.75" customHeight="1" spans="3:63" x14ac:dyDescent="0.25">
      <c r="C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W279" s="164"/>
      <c r="X279" s="164"/>
      <c r="Y279" s="164"/>
      <c r="AD279" s="164"/>
      <c r="AE279" s="164"/>
      <c r="AF279" s="164"/>
      <c r="AL279" s="164"/>
      <c r="AM279" s="164"/>
      <c r="AN279" s="164"/>
      <c r="AT279" s="164"/>
      <c r="AU279" s="164"/>
      <c r="AV279" s="164"/>
      <c r="BD279" s="164"/>
      <c r="BE279" s="164"/>
      <c r="BI279" s="46"/>
      <c r="BJ279" s="46"/>
      <c r="BK279" s="173"/>
    </row>
    <row r="280" ht="15.75" customHeight="1" spans="3:63" x14ac:dyDescent="0.25">
      <c r="C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W280" s="164"/>
      <c r="X280" s="164"/>
      <c r="Y280" s="164"/>
      <c r="AD280" s="164"/>
      <c r="AE280" s="164"/>
      <c r="AF280" s="164"/>
      <c r="AL280" s="164"/>
      <c r="AM280" s="164"/>
      <c r="AN280" s="164"/>
      <c r="AT280" s="164"/>
      <c r="AU280" s="164"/>
      <c r="AV280" s="164"/>
      <c r="BD280" s="164"/>
      <c r="BE280" s="164"/>
      <c r="BI280" s="46"/>
      <c r="BJ280" s="46"/>
      <c r="BK280" s="173"/>
    </row>
    <row r="281" ht="15.75" customHeight="1" spans="3:63" x14ac:dyDescent="0.25">
      <c r="C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W281" s="164"/>
      <c r="X281" s="164"/>
      <c r="Y281" s="164"/>
      <c r="AD281" s="164"/>
      <c r="AE281" s="164"/>
      <c r="AF281" s="164"/>
      <c r="AL281" s="164"/>
      <c r="AM281" s="164"/>
      <c r="AN281" s="164"/>
      <c r="AT281" s="164"/>
      <c r="AU281" s="164"/>
      <c r="AV281" s="164"/>
      <c r="BD281" s="164"/>
      <c r="BE281" s="164"/>
      <c r="BI281" s="46"/>
      <c r="BJ281" s="46"/>
      <c r="BK281" s="173"/>
    </row>
    <row r="282" ht="15.75" customHeight="1" spans="3:63" x14ac:dyDescent="0.25">
      <c r="C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W282" s="164"/>
      <c r="X282" s="164"/>
      <c r="Y282" s="164"/>
      <c r="AD282" s="164"/>
      <c r="AE282" s="164"/>
      <c r="AF282" s="164"/>
      <c r="AL282" s="164"/>
      <c r="AM282" s="164"/>
      <c r="AN282" s="164"/>
      <c r="AT282" s="164"/>
      <c r="AU282" s="164"/>
      <c r="AV282" s="164"/>
      <c r="BD282" s="164"/>
      <c r="BE282" s="164"/>
      <c r="BI282" s="46"/>
      <c r="BJ282" s="46"/>
      <c r="BK282" s="173"/>
    </row>
    <row r="283" ht="15.75" customHeight="1" spans="3:63" x14ac:dyDescent="0.25">
      <c r="C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W283" s="164"/>
      <c r="X283" s="164"/>
      <c r="Y283" s="164"/>
      <c r="AD283" s="164"/>
      <c r="AE283" s="164"/>
      <c r="AF283" s="164"/>
      <c r="AL283" s="164"/>
      <c r="AM283" s="164"/>
      <c r="AN283" s="164"/>
      <c r="AT283" s="164"/>
      <c r="AU283" s="164"/>
      <c r="AV283" s="164"/>
      <c r="BD283" s="164"/>
      <c r="BE283" s="164"/>
      <c r="BI283" s="46"/>
      <c r="BJ283" s="46"/>
      <c r="BK283" s="173"/>
    </row>
    <row r="284" ht="15.75" customHeight="1" spans="3:63" x14ac:dyDescent="0.25">
      <c r="C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W284" s="164"/>
      <c r="X284" s="164"/>
      <c r="Y284" s="164"/>
      <c r="AD284" s="164"/>
      <c r="AE284" s="164"/>
      <c r="AF284" s="164"/>
      <c r="AL284" s="164"/>
      <c r="AM284" s="164"/>
      <c r="AN284" s="164"/>
      <c r="AT284" s="164"/>
      <c r="AU284" s="164"/>
      <c r="AV284" s="164"/>
      <c r="BD284" s="164"/>
      <c r="BE284" s="164"/>
      <c r="BI284" s="46"/>
      <c r="BJ284" s="46"/>
      <c r="BK284" s="173"/>
    </row>
    <row r="285" ht="15.75" customHeight="1" spans="3:63" x14ac:dyDescent="0.25">
      <c r="C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W285" s="164"/>
      <c r="X285" s="164"/>
      <c r="Y285" s="164"/>
      <c r="AD285" s="164"/>
      <c r="AE285" s="164"/>
      <c r="AF285" s="164"/>
      <c r="AL285" s="164"/>
      <c r="AM285" s="164"/>
      <c r="AN285" s="164"/>
      <c r="AT285" s="164"/>
      <c r="AU285" s="164"/>
      <c r="AV285" s="164"/>
      <c r="BD285" s="164"/>
      <c r="BE285" s="164"/>
      <c r="BI285" s="46"/>
      <c r="BJ285" s="46"/>
      <c r="BK285" s="173"/>
    </row>
    <row r="286" ht="15.75" customHeight="1" spans="3:63" x14ac:dyDescent="0.25">
      <c r="C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W286" s="164"/>
      <c r="X286" s="164"/>
      <c r="Y286" s="164"/>
      <c r="AD286" s="164"/>
      <c r="AE286" s="164"/>
      <c r="AF286" s="164"/>
      <c r="AL286" s="164"/>
      <c r="AM286" s="164"/>
      <c r="AN286" s="164"/>
      <c r="AT286" s="164"/>
      <c r="AU286" s="164"/>
      <c r="AV286" s="164"/>
      <c r="BD286" s="164"/>
      <c r="BE286" s="164"/>
      <c r="BI286" s="46"/>
      <c r="BJ286" s="46"/>
      <c r="BK286" s="173"/>
    </row>
    <row r="287" ht="15.75" customHeight="1" spans="3:63" x14ac:dyDescent="0.25">
      <c r="C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W287" s="164"/>
      <c r="X287" s="164"/>
      <c r="Y287" s="164"/>
      <c r="AD287" s="164"/>
      <c r="AE287" s="164"/>
      <c r="AF287" s="164"/>
      <c r="AL287" s="164"/>
      <c r="AM287" s="164"/>
      <c r="AN287" s="164"/>
      <c r="AT287" s="164"/>
      <c r="AU287" s="164"/>
      <c r="AV287" s="164"/>
      <c r="BD287" s="164"/>
      <c r="BE287" s="164"/>
      <c r="BI287" s="46"/>
      <c r="BJ287" s="46"/>
      <c r="BK287" s="173"/>
    </row>
    <row r="288" ht="15.75" customHeight="1" spans="3:63" x14ac:dyDescent="0.25">
      <c r="C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W288" s="164"/>
      <c r="X288" s="164"/>
      <c r="Y288" s="164"/>
      <c r="AD288" s="164"/>
      <c r="AE288" s="164"/>
      <c r="AF288" s="164"/>
      <c r="AL288" s="164"/>
      <c r="AM288" s="164"/>
      <c r="AN288" s="164"/>
      <c r="AT288" s="164"/>
      <c r="AU288" s="164"/>
      <c r="AV288" s="164"/>
      <c r="BD288" s="164"/>
      <c r="BE288" s="164"/>
      <c r="BI288" s="46"/>
      <c r="BJ288" s="46"/>
      <c r="BK288" s="173"/>
    </row>
    <row r="289" ht="15.75" customHeight="1" spans="3:63" x14ac:dyDescent="0.25">
      <c r="C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W289" s="164"/>
      <c r="X289" s="164"/>
      <c r="Y289" s="164"/>
      <c r="AD289" s="164"/>
      <c r="AE289" s="164"/>
      <c r="AF289" s="164"/>
      <c r="AL289" s="164"/>
      <c r="AM289" s="164"/>
      <c r="AN289" s="164"/>
      <c r="AT289" s="164"/>
      <c r="AU289" s="164"/>
      <c r="AV289" s="164"/>
      <c r="BD289" s="164"/>
      <c r="BE289" s="164"/>
      <c r="BI289" s="46"/>
      <c r="BJ289" s="46"/>
      <c r="BK289" s="173"/>
    </row>
    <row r="290" ht="15.75" customHeight="1" spans="3:63" x14ac:dyDescent="0.25">
      <c r="C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W290" s="164"/>
      <c r="X290" s="164"/>
      <c r="Y290" s="164"/>
      <c r="AD290" s="164"/>
      <c r="AE290" s="164"/>
      <c r="AF290" s="164"/>
      <c r="AL290" s="164"/>
      <c r="AM290" s="164"/>
      <c r="AN290" s="164"/>
      <c r="AT290" s="164"/>
      <c r="AU290" s="164"/>
      <c r="AV290" s="164"/>
      <c r="BD290" s="164"/>
      <c r="BE290" s="164"/>
      <c r="BI290" s="46"/>
      <c r="BJ290" s="46"/>
      <c r="BK290" s="173"/>
    </row>
    <row r="291" ht="15.75" customHeight="1" spans="3:63" x14ac:dyDescent="0.25">
      <c r="C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W291" s="164"/>
      <c r="X291" s="164"/>
      <c r="Y291" s="164"/>
      <c r="AD291" s="164"/>
      <c r="AE291" s="164"/>
      <c r="AF291" s="164"/>
      <c r="AL291" s="164"/>
      <c r="AM291" s="164"/>
      <c r="AN291" s="164"/>
      <c r="AT291" s="164"/>
      <c r="AU291" s="164"/>
      <c r="AV291" s="164"/>
      <c r="BD291" s="164"/>
      <c r="BE291" s="164"/>
      <c r="BI291" s="46"/>
      <c r="BJ291" s="46"/>
      <c r="BK291" s="173"/>
    </row>
    <row r="292" ht="15.75" customHeight="1" spans="3:63" x14ac:dyDescent="0.25">
      <c r="C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W292" s="164"/>
      <c r="X292" s="164"/>
      <c r="Y292" s="164"/>
      <c r="AD292" s="164"/>
      <c r="AE292" s="164"/>
      <c r="AF292" s="164"/>
      <c r="AL292" s="164"/>
      <c r="AM292" s="164"/>
      <c r="AN292" s="164"/>
      <c r="AT292" s="164"/>
      <c r="AU292" s="164"/>
      <c r="AV292" s="164"/>
      <c r="BD292" s="164"/>
      <c r="BE292" s="164"/>
      <c r="BI292" s="46"/>
      <c r="BJ292" s="46"/>
      <c r="BK292" s="173"/>
    </row>
    <row r="293" ht="15.75" customHeight="1" spans="3:63" x14ac:dyDescent="0.25">
      <c r="C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W293" s="164"/>
      <c r="X293" s="164"/>
      <c r="Y293" s="164"/>
      <c r="AD293" s="164"/>
      <c r="AE293" s="164"/>
      <c r="AF293" s="164"/>
      <c r="AL293" s="164"/>
      <c r="AM293" s="164"/>
      <c r="AN293" s="164"/>
      <c r="AT293" s="164"/>
      <c r="AU293" s="164"/>
      <c r="AV293" s="164"/>
      <c r="BD293" s="164"/>
      <c r="BE293" s="164"/>
      <c r="BI293" s="46"/>
      <c r="BJ293" s="46"/>
      <c r="BK293" s="173"/>
    </row>
    <row r="294" ht="15.75" customHeight="1" spans="3:63" x14ac:dyDescent="0.25">
      <c r="C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W294" s="164"/>
      <c r="X294" s="164"/>
      <c r="Y294" s="164"/>
      <c r="AD294" s="164"/>
      <c r="AE294" s="164"/>
      <c r="AF294" s="164"/>
      <c r="AL294" s="164"/>
      <c r="AM294" s="164"/>
      <c r="AN294" s="164"/>
      <c r="AT294" s="164"/>
      <c r="AU294" s="164"/>
      <c r="AV294" s="164"/>
      <c r="BD294" s="164"/>
      <c r="BE294" s="164"/>
      <c r="BI294" s="46"/>
      <c r="BJ294" s="46"/>
      <c r="BK294" s="173"/>
    </row>
    <row r="295" ht="15.75" customHeight="1" spans="3:63" x14ac:dyDescent="0.25">
      <c r="C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W295" s="164"/>
      <c r="X295" s="164"/>
      <c r="Y295" s="164"/>
      <c r="AD295" s="164"/>
      <c r="AE295" s="164"/>
      <c r="AF295" s="164"/>
      <c r="AL295" s="164"/>
      <c r="AM295" s="164"/>
      <c r="AN295" s="164"/>
      <c r="AT295" s="164"/>
      <c r="AU295" s="164"/>
      <c r="AV295" s="164"/>
      <c r="BD295" s="164"/>
      <c r="BE295" s="164"/>
      <c r="BI295" s="46"/>
      <c r="BJ295" s="46"/>
      <c r="BK295" s="173"/>
    </row>
    <row r="296" ht="15.75" customHeight="1" spans="3:63" x14ac:dyDescent="0.25">
      <c r="C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W296" s="164"/>
      <c r="X296" s="164"/>
      <c r="Y296" s="164"/>
      <c r="AD296" s="164"/>
      <c r="AE296" s="164"/>
      <c r="AF296" s="164"/>
      <c r="AL296" s="164"/>
      <c r="AM296" s="164"/>
      <c r="AN296" s="164"/>
      <c r="AT296" s="164"/>
      <c r="AU296" s="164"/>
      <c r="AV296" s="164"/>
      <c r="BD296" s="164"/>
      <c r="BE296" s="164"/>
      <c r="BI296" s="46"/>
      <c r="BJ296" s="46"/>
      <c r="BK296" s="173"/>
    </row>
    <row r="297" ht="15.75" customHeight="1" spans="3:63" x14ac:dyDescent="0.25">
      <c r="C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W297" s="164"/>
      <c r="X297" s="164"/>
      <c r="Y297" s="164"/>
      <c r="AD297" s="164"/>
      <c r="AE297" s="164"/>
      <c r="AF297" s="164"/>
      <c r="AL297" s="164"/>
      <c r="AM297" s="164"/>
      <c r="AN297" s="164"/>
      <c r="AT297" s="164"/>
      <c r="AU297" s="164"/>
      <c r="AV297" s="164"/>
      <c r="BD297" s="164"/>
      <c r="BE297" s="164"/>
      <c r="BI297" s="46"/>
      <c r="BJ297" s="46"/>
      <c r="BK297" s="173"/>
    </row>
    <row r="298" ht="15.75" customHeight="1" spans="3:63" x14ac:dyDescent="0.25">
      <c r="C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W298" s="164"/>
      <c r="X298" s="164"/>
      <c r="Y298" s="164"/>
      <c r="AD298" s="164"/>
      <c r="AE298" s="164"/>
      <c r="AF298" s="164"/>
      <c r="AL298" s="164"/>
      <c r="AM298" s="164"/>
      <c r="AN298" s="164"/>
      <c r="AT298" s="164"/>
      <c r="AU298" s="164"/>
      <c r="AV298" s="164"/>
      <c r="BD298" s="164"/>
      <c r="BE298" s="164"/>
      <c r="BI298" s="46"/>
      <c r="BJ298" s="46"/>
      <c r="BK298" s="173"/>
    </row>
    <row r="299" ht="15.75" customHeight="1" spans="3:63" x14ac:dyDescent="0.25">
      <c r="C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W299" s="164"/>
      <c r="X299" s="164"/>
      <c r="Y299" s="164"/>
      <c r="AD299" s="164"/>
      <c r="AE299" s="164"/>
      <c r="AF299" s="164"/>
      <c r="AL299" s="164"/>
      <c r="AM299" s="164"/>
      <c r="AN299" s="164"/>
      <c r="AT299" s="164"/>
      <c r="AU299" s="164"/>
      <c r="AV299" s="164"/>
      <c r="BD299" s="164"/>
      <c r="BE299" s="164"/>
      <c r="BI299" s="46"/>
      <c r="BJ299" s="46"/>
      <c r="BK299" s="173"/>
    </row>
    <row r="300" ht="15.75" customHeight="1" spans="3:63" x14ac:dyDescent="0.25">
      <c r="C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W300" s="164"/>
      <c r="X300" s="164"/>
      <c r="Y300" s="164"/>
      <c r="AD300" s="164"/>
      <c r="AE300" s="164"/>
      <c r="AF300" s="164"/>
      <c r="AL300" s="164"/>
      <c r="AM300" s="164"/>
      <c r="AN300" s="164"/>
      <c r="AT300" s="164"/>
      <c r="AU300" s="164"/>
      <c r="AV300" s="164"/>
      <c r="BD300" s="164"/>
      <c r="BE300" s="164"/>
      <c r="BI300" s="46"/>
      <c r="BJ300" s="46"/>
      <c r="BK300" s="173"/>
    </row>
    <row r="301" ht="15.75" customHeight="1" spans="3:63" x14ac:dyDescent="0.25">
      <c r="C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W301" s="164"/>
      <c r="X301" s="164"/>
      <c r="Y301" s="164"/>
      <c r="AD301" s="164"/>
      <c r="AE301" s="164"/>
      <c r="AF301" s="164"/>
      <c r="AL301" s="164"/>
      <c r="AM301" s="164"/>
      <c r="AN301" s="164"/>
      <c r="AT301" s="164"/>
      <c r="AU301" s="164"/>
      <c r="AV301" s="164"/>
      <c r="BD301" s="164"/>
      <c r="BE301" s="164"/>
      <c r="BI301" s="46"/>
      <c r="BJ301" s="46"/>
      <c r="BK301" s="173"/>
    </row>
    <row r="302" ht="15.75" customHeight="1" spans="3:63" x14ac:dyDescent="0.25">
      <c r="C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W302" s="164"/>
      <c r="X302" s="164"/>
      <c r="Y302" s="164"/>
      <c r="AD302" s="164"/>
      <c r="AE302" s="164"/>
      <c r="AF302" s="164"/>
      <c r="AL302" s="164"/>
      <c r="AM302" s="164"/>
      <c r="AN302" s="164"/>
      <c r="AT302" s="164"/>
      <c r="AU302" s="164"/>
      <c r="AV302" s="164"/>
      <c r="BD302" s="164"/>
      <c r="BE302" s="164"/>
      <c r="BI302" s="46"/>
      <c r="BJ302" s="46"/>
      <c r="BK302" s="173"/>
    </row>
    <row r="303" ht="15.75" customHeight="1" spans="3:63" x14ac:dyDescent="0.25">
      <c r="C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W303" s="164"/>
      <c r="X303" s="164"/>
      <c r="Y303" s="164"/>
      <c r="AD303" s="164"/>
      <c r="AE303" s="164"/>
      <c r="AF303" s="164"/>
      <c r="AL303" s="164"/>
      <c r="AM303" s="164"/>
      <c r="AN303" s="164"/>
      <c r="AT303" s="164"/>
      <c r="AU303" s="164"/>
      <c r="AV303" s="164"/>
      <c r="BD303" s="164"/>
      <c r="BE303" s="164"/>
      <c r="BI303" s="46"/>
      <c r="BJ303" s="46"/>
      <c r="BK303" s="173"/>
    </row>
    <row r="304" ht="15.75" customHeight="1" spans="3:63" x14ac:dyDescent="0.25">
      <c r="C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W304" s="164"/>
      <c r="X304" s="164"/>
      <c r="Y304" s="164"/>
      <c r="AD304" s="164"/>
      <c r="AE304" s="164"/>
      <c r="AF304" s="164"/>
      <c r="AL304" s="164"/>
      <c r="AM304" s="164"/>
      <c r="AN304" s="164"/>
      <c r="AT304" s="164"/>
      <c r="AU304" s="164"/>
      <c r="AV304" s="164"/>
      <c r="BD304" s="164"/>
      <c r="BE304" s="164"/>
      <c r="BI304" s="46"/>
      <c r="BJ304" s="46"/>
      <c r="BK304" s="173"/>
    </row>
    <row r="305" ht="15.75" customHeight="1" spans="3:63" x14ac:dyDescent="0.25">
      <c r="C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W305" s="164"/>
      <c r="X305" s="164"/>
      <c r="Y305" s="164"/>
      <c r="AD305" s="164"/>
      <c r="AE305" s="164"/>
      <c r="AF305" s="164"/>
      <c r="AL305" s="164"/>
      <c r="AM305" s="164"/>
      <c r="AN305" s="164"/>
      <c r="AT305" s="164"/>
      <c r="AU305" s="164"/>
      <c r="AV305" s="164"/>
      <c r="BD305" s="164"/>
      <c r="BE305" s="164"/>
      <c r="BI305" s="46"/>
      <c r="BJ305" s="46"/>
      <c r="BK305" s="173"/>
    </row>
    <row r="306" ht="15.75" customHeight="1" spans="3:63" x14ac:dyDescent="0.25">
      <c r="C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W306" s="164"/>
      <c r="X306" s="164"/>
      <c r="Y306" s="164"/>
      <c r="AD306" s="164"/>
      <c r="AE306" s="164"/>
      <c r="AF306" s="164"/>
      <c r="AL306" s="164"/>
      <c r="AM306" s="164"/>
      <c r="AN306" s="164"/>
      <c r="AT306" s="164"/>
      <c r="AU306" s="164"/>
      <c r="AV306" s="164"/>
      <c r="BD306" s="164"/>
      <c r="BE306" s="164"/>
      <c r="BI306" s="46"/>
      <c r="BJ306" s="46"/>
      <c r="BK306" s="173"/>
    </row>
    <row r="307" ht="15.75" customHeight="1" spans="3:63" x14ac:dyDescent="0.25">
      <c r="C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W307" s="164"/>
      <c r="X307" s="164"/>
      <c r="Y307" s="164"/>
      <c r="AD307" s="164"/>
      <c r="AE307" s="164"/>
      <c r="AF307" s="164"/>
      <c r="AL307" s="164"/>
      <c r="AM307" s="164"/>
      <c r="AN307" s="164"/>
      <c r="AT307" s="164"/>
      <c r="AU307" s="164"/>
      <c r="AV307" s="164"/>
      <c r="BD307" s="164"/>
      <c r="BE307" s="164"/>
      <c r="BI307" s="46"/>
      <c r="BJ307" s="46"/>
      <c r="BK307" s="173"/>
    </row>
    <row r="308" ht="15.75" customHeight="1" spans="3:63" x14ac:dyDescent="0.25">
      <c r="C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W308" s="164"/>
      <c r="X308" s="164"/>
      <c r="Y308" s="164"/>
      <c r="AD308" s="164"/>
      <c r="AE308" s="164"/>
      <c r="AF308" s="164"/>
      <c r="AL308" s="164"/>
      <c r="AM308" s="164"/>
      <c r="AN308" s="164"/>
      <c r="AT308" s="164"/>
      <c r="AU308" s="164"/>
      <c r="AV308" s="164"/>
      <c r="BD308" s="164"/>
      <c r="BE308" s="164"/>
      <c r="BI308" s="46"/>
      <c r="BJ308" s="46"/>
      <c r="BK308" s="173"/>
    </row>
    <row r="309" ht="15.75" customHeight="1" spans="3:63" x14ac:dyDescent="0.25">
      <c r="C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W309" s="164"/>
      <c r="X309" s="164"/>
      <c r="Y309" s="164"/>
      <c r="AD309" s="164"/>
      <c r="AE309" s="164"/>
      <c r="AF309" s="164"/>
      <c r="AL309" s="164"/>
      <c r="AM309" s="164"/>
      <c r="AN309" s="164"/>
      <c r="AT309" s="164"/>
      <c r="AU309" s="164"/>
      <c r="AV309" s="164"/>
      <c r="BD309" s="164"/>
      <c r="BE309" s="164"/>
      <c r="BI309" s="46"/>
      <c r="BJ309" s="46"/>
      <c r="BK309" s="173"/>
    </row>
    <row r="310" ht="15.75" customHeight="1" spans="3:63" x14ac:dyDescent="0.25">
      <c r="C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W310" s="164"/>
      <c r="X310" s="164"/>
      <c r="Y310" s="164"/>
      <c r="AD310" s="164"/>
      <c r="AE310" s="164"/>
      <c r="AF310" s="164"/>
      <c r="AL310" s="164"/>
      <c r="AM310" s="164"/>
      <c r="AN310" s="164"/>
      <c r="AT310" s="164"/>
      <c r="AU310" s="164"/>
      <c r="AV310" s="164"/>
      <c r="BD310" s="164"/>
      <c r="BE310" s="164"/>
      <c r="BI310" s="46"/>
      <c r="BJ310" s="46"/>
      <c r="BK310" s="173"/>
    </row>
    <row r="311" ht="15.75" customHeight="1" spans="3:63" x14ac:dyDescent="0.25">
      <c r="C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W311" s="164"/>
      <c r="X311" s="164"/>
      <c r="Y311" s="164"/>
      <c r="AD311" s="164"/>
      <c r="AE311" s="164"/>
      <c r="AF311" s="164"/>
      <c r="AL311" s="164"/>
      <c r="AM311" s="164"/>
      <c r="AN311" s="164"/>
      <c r="AT311" s="164"/>
      <c r="AU311" s="164"/>
      <c r="AV311" s="164"/>
      <c r="BD311" s="164"/>
      <c r="BE311" s="164"/>
      <c r="BI311" s="46"/>
      <c r="BJ311" s="46"/>
      <c r="BK311" s="173"/>
    </row>
    <row r="312" ht="15.75" customHeight="1" spans="3:63" x14ac:dyDescent="0.25">
      <c r="C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W312" s="164"/>
      <c r="X312" s="164"/>
      <c r="Y312" s="164"/>
      <c r="AD312" s="164"/>
      <c r="AE312" s="164"/>
      <c r="AF312" s="164"/>
      <c r="AL312" s="164"/>
      <c r="AM312" s="164"/>
      <c r="AN312" s="164"/>
      <c r="AT312" s="164"/>
      <c r="AU312" s="164"/>
      <c r="AV312" s="164"/>
      <c r="BD312" s="164"/>
      <c r="BE312" s="164"/>
      <c r="BI312" s="46"/>
      <c r="BJ312" s="46"/>
      <c r="BK312" s="173"/>
    </row>
    <row r="313" ht="15.75" customHeight="1" spans="3:63" x14ac:dyDescent="0.25">
      <c r="C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W313" s="164"/>
      <c r="X313" s="164"/>
      <c r="Y313" s="164"/>
      <c r="AD313" s="164"/>
      <c r="AE313" s="164"/>
      <c r="AF313" s="164"/>
      <c r="AL313" s="164"/>
      <c r="AM313" s="164"/>
      <c r="AN313" s="164"/>
      <c r="AT313" s="164"/>
      <c r="AU313" s="164"/>
      <c r="AV313" s="164"/>
      <c r="BD313" s="164"/>
      <c r="BE313" s="164"/>
      <c r="BI313" s="46"/>
      <c r="BJ313" s="46"/>
      <c r="BK313" s="173"/>
    </row>
    <row r="314" ht="15.75" customHeight="1" spans="3:63" x14ac:dyDescent="0.25">
      <c r="C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W314" s="164"/>
      <c r="X314" s="164"/>
      <c r="Y314" s="164"/>
      <c r="AD314" s="164"/>
      <c r="AE314" s="164"/>
      <c r="AF314" s="164"/>
      <c r="AL314" s="164"/>
      <c r="AM314" s="164"/>
      <c r="AN314" s="164"/>
      <c r="AT314" s="164"/>
      <c r="AU314" s="164"/>
      <c r="AV314" s="164"/>
      <c r="BD314" s="164"/>
      <c r="BE314" s="164"/>
      <c r="BI314" s="46"/>
      <c r="BJ314" s="46"/>
      <c r="BK314" s="173"/>
    </row>
    <row r="315" ht="15.75" customHeight="1" spans="3:63" x14ac:dyDescent="0.25">
      <c r="C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W315" s="164"/>
      <c r="X315" s="164"/>
      <c r="Y315" s="164"/>
      <c r="AD315" s="164"/>
      <c r="AE315" s="164"/>
      <c r="AF315" s="164"/>
      <c r="AL315" s="164"/>
      <c r="AM315" s="164"/>
      <c r="AN315" s="164"/>
      <c r="AT315" s="164"/>
      <c r="AU315" s="164"/>
      <c r="AV315" s="164"/>
      <c r="BD315" s="164"/>
      <c r="BE315" s="164"/>
      <c r="BI315" s="46"/>
      <c r="BJ315" s="46"/>
      <c r="BK315" s="173"/>
    </row>
    <row r="316" ht="15.75" customHeight="1" spans="3:63" x14ac:dyDescent="0.25">
      <c r="C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W316" s="164"/>
      <c r="X316" s="164"/>
      <c r="Y316" s="164"/>
      <c r="AD316" s="164"/>
      <c r="AE316" s="164"/>
      <c r="AF316" s="164"/>
      <c r="AL316" s="164"/>
      <c r="AM316" s="164"/>
      <c r="AN316" s="164"/>
      <c r="AT316" s="164"/>
      <c r="AU316" s="164"/>
      <c r="AV316" s="164"/>
      <c r="BD316" s="164"/>
      <c r="BE316" s="164"/>
      <c r="BI316" s="46"/>
      <c r="BJ316" s="46"/>
      <c r="BK316" s="173"/>
    </row>
    <row r="317" ht="15.75" customHeight="1" spans="3:63" x14ac:dyDescent="0.25">
      <c r="C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W317" s="164"/>
      <c r="X317" s="164"/>
      <c r="Y317" s="164"/>
      <c r="AD317" s="164"/>
      <c r="AE317" s="164"/>
      <c r="AF317" s="164"/>
      <c r="AL317" s="164"/>
      <c r="AM317" s="164"/>
      <c r="AN317" s="164"/>
      <c r="AT317" s="164"/>
      <c r="AU317" s="164"/>
      <c r="AV317" s="164"/>
      <c r="BD317" s="164"/>
      <c r="BE317" s="164"/>
      <c r="BI317" s="46"/>
      <c r="BJ317" s="46"/>
      <c r="BK317" s="173"/>
    </row>
    <row r="318" ht="15.75" customHeight="1" spans="3:63" x14ac:dyDescent="0.25">
      <c r="C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W318" s="164"/>
      <c r="X318" s="164"/>
      <c r="Y318" s="164"/>
      <c r="AD318" s="164"/>
      <c r="AE318" s="164"/>
      <c r="AF318" s="164"/>
      <c r="AL318" s="164"/>
      <c r="AM318" s="164"/>
      <c r="AN318" s="164"/>
      <c r="AT318" s="164"/>
      <c r="AU318" s="164"/>
      <c r="AV318" s="164"/>
      <c r="BD318" s="164"/>
      <c r="BE318" s="164"/>
      <c r="BI318" s="46"/>
      <c r="BJ318" s="46"/>
      <c r="BK318" s="173"/>
    </row>
    <row r="319" ht="15.75" customHeight="1" spans="3:63" x14ac:dyDescent="0.25">
      <c r="C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W319" s="164"/>
      <c r="X319" s="164"/>
      <c r="Y319" s="164"/>
      <c r="AD319" s="164"/>
      <c r="AE319" s="164"/>
      <c r="AF319" s="164"/>
      <c r="AL319" s="164"/>
      <c r="AM319" s="164"/>
      <c r="AN319" s="164"/>
      <c r="AT319" s="164"/>
      <c r="AU319" s="164"/>
      <c r="AV319" s="164"/>
      <c r="BD319" s="164"/>
      <c r="BE319" s="164"/>
      <c r="BI319" s="46"/>
      <c r="BJ319" s="46"/>
      <c r="BK319" s="173"/>
    </row>
    <row r="320" ht="15.75" customHeight="1" spans="3:63" x14ac:dyDescent="0.25">
      <c r="C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W320" s="164"/>
      <c r="X320" s="164"/>
      <c r="Y320" s="164"/>
      <c r="AD320" s="164"/>
      <c r="AE320" s="164"/>
      <c r="AF320" s="164"/>
      <c r="AL320" s="164"/>
      <c r="AM320" s="164"/>
      <c r="AN320" s="164"/>
      <c r="AT320" s="164"/>
      <c r="AU320" s="164"/>
      <c r="AV320" s="164"/>
      <c r="BD320" s="164"/>
      <c r="BE320" s="164"/>
      <c r="BI320" s="46"/>
      <c r="BJ320" s="46"/>
      <c r="BK320" s="173"/>
    </row>
    <row r="321" ht="15.75" customHeight="1" spans="3:63" x14ac:dyDescent="0.25">
      <c r="C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W321" s="164"/>
      <c r="X321" s="164"/>
      <c r="Y321" s="164"/>
      <c r="AD321" s="164"/>
      <c r="AE321" s="164"/>
      <c r="AF321" s="164"/>
      <c r="AL321" s="164"/>
      <c r="AM321" s="164"/>
      <c r="AN321" s="164"/>
      <c r="AT321" s="164"/>
      <c r="AU321" s="164"/>
      <c r="AV321" s="164"/>
      <c r="BD321" s="164"/>
      <c r="BE321" s="164"/>
      <c r="BI321" s="46"/>
      <c r="BJ321" s="46"/>
      <c r="BK321" s="173"/>
    </row>
    <row r="322" ht="15.75" customHeight="1" spans="3:63" x14ac:dyDescent="0.25">
      <c r="C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W322" s="164"/>
      <c r="X322" s="164"/>
      <c r="Y322" s="164"/>
      <c r="AD322" s="164"/>
      <c r="AE322" s="164"/>
      <c r="AF322" s="164"/>
      <c r="AL322" s="164"/>
      <c r="AM322" s="164"/>
      <c r="AN322" s="164"/>
      <c r="AT322" s="164"/>
      <c r="AU322" s="164"/>
      <c r="AV322" s="164"/>
      <c r="BD322" s="164"/>
      <c r="BE322" s="164"/>
      <c r="BI322" s="46"/>
      <c r="BJ322" s="46"/>
      <c r="BK322" s="173"/>
    </row>
    <row r="323" ht="15.75" customHeight="1" spans="3:63" x14ac:dyDescent="0.25">
      <c r="C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W323" s="164"/>
      <c r="X323" s="164"/>
      <c r="Y323" s="164"/>
      <c r="AD323" s="164"/>
      <c r="AE323" s="164"/>
      <c r="AF323" s="164"/>
      <c r="AL323" s="164"/>
      <c r="AM323" s="164"/>
      <c r="AN323" s="164"/>
      <c r="AT323" s="164"/>
      <c r="AU323" s="164"/>
      <c r="AV323" s="164"/>
      <c r="BD323" s="164"/>
      <c r="BE323" s="164"/>
      <c r="BI323" s="46"/>
      <c r="BJ323" s="46"/>
      <c r="BK323" s="173"/>
    </row>
    <row r="324" ht="15.75" customHeight="1" spans="3:63" x14ac:dyDescent="0.25">
      <c r="C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W324" s="164"/>
      <c r="X324" s="164"/>
      <c r="Y324" s="164"/>
      <c r="AD324" s="164"/>
      <c r="AE324" s="164"/>
      <c r="AF324" s="164"/>
      <c r="AL324" s="164"/>
      <c r="AM324" s="164"/>
      <c r="AN324" s="164"/>
      <c r="AT324" s="164"/>
      <c r="AU324" s="164"/>
      <c r="AV324" s="164"/>
      <c r="BD324" s="164"/>
      <c r="BE324" s="164"/>
      <c r="BI324" s="46"/>
      <c r="BJ324" s="46"/>
      <c r="BK324" s="173"/>
    </row>
    <row r="325" ht="15.75" customHeight="1" spans="3:63" x14ac:dyDescent="0.25">
      <c r="C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W325" s="164"/>
      <c r="X325" s="164"/>
      <c r="Y325" s="164"/>
      <c r="AD325" s="164"/>
      <c r="AE325" s="164"/>
      <c r="AF325" s="164"/>
      <c r="AL325" s="164"/>
      <c r="AM325" s="164"/>
      <c r="AN325" s="164"/>
      <c r="AT325" s="164"/>
      <c r="AU325" s="164"/>
      <c r="AV325" s="164"/>
      <c r="BD325" s="164"/>
      <c r="BE325" s="164"/>
      <c r="BI325" s="46"/>
      <c r="BJ325" s="46"/>
      <c r="BK325" s="173"/>
    </row>
    <row r="326" ht="15.75" customHeight="1" spans="3:63" x14ac:dyDescent="0.25">
      <c r="C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W326" s="164"/>
      <c r="X326" s="164"/>
      <c r="Y326" s="164"/>
      <c r="AD326" s="164"/>
      <c r="AE326" s="164"/>
      <c r="AF326" s="164"/>
      <c r="AL326" s="164"/>
      <c r="AM326" s="164"/>
      <c r="AN326" s="164"/>
      <c r="AT326" s="164"/>
      <c r="AU326" s="164"/>
      <c r="AV326" s="164"/>
      <c r="BD326" s="164"/>
      <c r="BE326" s="164"/>
      <c r="BI326" s="46"/>
      <c r="BJ326" s="46"/>
      <c r="BK326" s="173"/>
    </row>
    <row r="327" ht="15.75" customHeight="1" spans="3:63" x14ac:dyDescent="0.25">
      <c r="C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W327" s="164"/>
      <c r="X327" s="164"/>
      <c r="Y327" s="164"/>
      <c r="AD327" s="164"/>
      <c r="AE327" s="164"/>
      <c r="AF327" s="164"/>
      <c r="AL327" s="164"/>
      <c r="AM327" s="164"/>
      <c r="AN327" s="164"/>
      <c r="AT327" s="164"/>
      <c r="AU327" s="164"/>
      <c r="AV327" s="164"/>
      <c r="BD327" s="164"/>
      <c r="BE327" s="164"/>
      <c r="BI327" s="46"/>
      <c r="BJ327" s="46"/>
      <c r="BK327" s="173"/>
    </row>
    <row r="328" ht="15.75" customHeight="1" spans="3:63" x14ac:dyDescent="0.25">
      <c r="C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W328" s="164"/>
      <c r="X328" s="164"/>
      <c r="Y328" s="164"/>
      <c r="AD328" s="164"/>
      <c r="AE328" s="164"/>
      <c r="AF328" s="164"/>
      <c r="AL328" s="164"/>
      <c r="AM328" s="164"/>
      <c r="AN328" s="164"/>
      <c r="AT328" s="164"/>
      <c r="AU328" s="164"/>
      <c r="AV328" s="164"/>
      <c r="BD328" s="164"/>
      <c r="BE328" s="164"/>
      <c r="BI328" s="46"/>
      <c r="BJ328" s="46"/>
      <c r="BK328" s="173"/>
    </row>
    <row r="329" ht="15.75" customHeight="1" spans="3:63" x14ac:dyDescent="0.25">
      <c r="C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W329" s="164"/>
      <c r="X329" s="164"/>
      <c r="Y329" s="164"/>
      <c r="AD329" s="164"/>
      <c r="AE329" s="164"/>
      <c r="AF329" s="164"/>
      <c r="AL329" s="164"/>
      <c r="AM329" s="164"/>
      <c r="AN329" s="164"/>
      <c r="AT329" s="164"/>
      <c r="AU329" s="164"/>
      <c r="AV329" s="164"/>
      <c r="BD329" s="164"/>
      <c r="BE329" s="164"/>
      <c r="BI329" s="46"/>
      <c r="BJ329" s="46"/>
      <c r="BK329" s="173"/>
    </row>
    <row r="330" ht="15.75" customHeight="1" spans="3:63" x14ac:dyDescent="0.25">
      <c r="C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W330" s="164"/>
      <c r="X330" s="164"/>
      <c r="Y330" s="164"/>
      <c r="AD330" s="164"/>
      <c r="AE330" s="164"/>
      <c r="AF330" s="164"/>
      <c r="AL330" s="164"/>
      <c r="AM330" s="164"/>
      <c r="AN330" s="164"/>
      <c r="AT330" s="164"/>
      <c r="AU330" s="164"/>
      <c r="AV330" s="164"/>
      <c r="BD330" s="164"/>
      <c r="BE330" s="164"/>
      <c r="BI330" s="46"/>
      <c r="BJ330" s="46"/>
      <c r="BK330" s="173"/>
    </row>
    <row r="331" ht="15.75" customHeight="1" spans="3:63" x14ac:dyDescent="0.25">
      <c r="C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W331" s="164"/>
      <c r="X331" s="164"/>
      <c r="Y331" s="164"/>
      <c r="AD331" s="164"/>
      <c r="AE331" s="164"/>
      <c r="AF331" s="164"/>
      <c r="AL331" s="164"/>
      <c r="AM331" s="164"/>
      <c r="AN331" s="164"/>
      <c r="AT331" s="164"/>
      <c r="AU331" s="164"/>
      <c r="AV331" s="164"/>
      <c r="BD331" s="164"/>
      <c r="BE331" s="164"/>
      <c r="BI331" s="46"/>
      <c r="BJ331" s="46"/>
      <c r="BK331" s="173"/>
    </row>
    <row r="332" ht="15.75" customHeight="1" spans="3:63" x14ac:dyDescent="0.25">
      <c r="C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W332" s="164"/>
      <c r="X332" s="164"/>
      <c r="Y332" s="164"/>
      <c r="AD332" s="164"/>
      <c r="AE332" s="164"/>
      <c r="AF332" s="164"/>
      <c r="AL332" s="164"/>
      <c r="AM332" s="164"/>
      <c r="AN332" s="164"/>
      <c r="AT332" s="164"/>
      <c r="AU332" s="164"/>
      <c r="AV332" s="164"/>
      <c r="BD332" s="164"/>
      <c r="BE332" s="164"/>
      <c r="BI332" s="46"/>
      <c r="BJ332" s="46"/>
      <c r="BK332" s="173"/>
    </row>
    <row r="333" ht="15.75" customHeight="1" spans="3:63" x14ac:dyDescent="0.25">
      <c r="C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W333" s="164"/>
      <c r="X333" s="164"/>
      <c r="Y333" s="164"/>
      <c r="AD333" s="164"/>
      <c r="AE333" s="164"/>
      <c r="AF333" s="164"/>
      <c r="AL333" s="164"/>
      <c r="AM333" s="164"/>
      <c r="AN333" s="164"/>
      <c r="AT333" s="164"/>
      <c r="AU333" s="164"/>
      <c r="AV333" s="164"/>
      <c r="BD333" s="164"/>
      <c r="BE333" s="164"/>
      <c r="BI333" s="46"/>
      <c r="BJ333" s="46"/>
      <c r="BK333" s="173"/>
    </row>
    <row r="334" ht="15.75" customHeight="1" spans="3:63" x14ac:dyDescent="0.25">
      <c r="C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W334" s="164"/>
      <c r="X334" s="164"/>
      <c r="Y334" s="164"/>
      <c r="AD334" s="164"/>
      <c r="AE334" s="164"/>
      <c r="AF334" s="164"/>
      <c r="AL334" s="164"/>
      <c r="AM334" s="164"/>
      <c r="AN334" s="164"/>
      <c r="AT334" s="164"/>
      <c r="AU334" s="164"/>
      <c r="AV334" s="164"/>
      <c r="BD334" s="164"/>
      <c r="BE334" s="164"/>
      <c r="BI334" s="46"/>
      <c r="BJ334" s="46"/>
      <c r="BK334" s="173"/>
    </row>
    <row r="335" ht="15.75" customHeight="1" spans="3:63" x14ac:dyDescent="0.25">
      <c r="C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W335" s="164"/>
      <c r="X335" s="164"/>
      <c r="Y335" s="164"/>
      <c r="AD335" s="164"/>
      <c r="AE335" s="164"/>
      <c r="AF335" s="164"/>
      <c r="AL335" s="164"/>
      <c r="AM335" s="164"/>
      <c r="AN335" s="164"/>
      <c r="AT335" s="164"/>
      <c r="AU335" s="164"/>
      <c r="AV335" s="164"/>
      <c r="BD335" s="164"/>
      <c r="BE335" s="164"/>
      <c r="BI335" s="46"/>
      <c r="BJ335" s="46"/>
      <c r="BK335" s="173"/>
    </row>
    <row r="336" ht="15.75" customHeight="1" spans="3:63" x14ac:dyDescent="0.25">
      <c r="C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W336" s="164"/>
      <c r="X336" s="164"/>
      <c r="Y336" s="164"/>
      <c r="AD336" s="164"/>
      <c r="AE336" s="164"/>
      <c r="AF336" s="164"/>
      <c r="AL336" s="164"/>
      <c r="AM336" s="164"/>
      <c r="AN336" s="164"/>
      <c r="AT336" s="164"/>
      <c r="AU336" s="164"/>
      <c r="AV336" s="164"/>
      <c r="BD336" s="164"/>
      <c r="BE336" s="164"/>
      <c r="BI336" s="46"/>
      <c r="BJ336" s="46"/>
      <c r="BK336" s="173"/>
    </row>
    <row r="337" ht="15.75" customHeight="1" spans="3:63" x14ac:dyDescent="0.25">
      <c r="C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W337" s="164"/>
      <c r="X337" s="164"/>
      <c r="Y337" s="164"/>
      <c r="AD337" s="164"/>
      <c r="AE337" s="164"/>
      <c r="AF337" s="164"/>
      <c r="AL337" s="164"/>
      <c r="AM337" s="164"/>
      <c r="AN337" s="164"/>
      <c r="AT337" s="164"/>
      <c r="AU337" s="164"/>
      <c r="AV337" s="164"/>
      <c r="BD337" s="164"/>
      <c r="BE337" s="164"/>
      <c r="BI337" s="46"/>
      <c r="BJ337" s="46"/>
      <c r="BK337" s="173"/>
    </row>
    <row r="338" ht="15.75" customHeight="1" spans="3:63" x14ac:dyDescent="0.25">
      <c r="C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W338" s="164"/>
      <c r="X338" s="164"/>
      <c r="Y338" s="164"/>
      <c r="AD338" s="164"/>
      <c r="AE338" s="164"/>
      <c r="AF338" s="164"/>
      <c r="AL338" s="164"/>
      <c r="AM338" s="164"/>
      <c r="AN338" s="164"/>
      <c r="AT338" s="164"/>
      <c r="AU338" s="164"/>
      <c r="AV338" s="164"/>
      <c r="BD338" s="164"/>
      <c r="BE338" s="164"/>
      <c r="BI338" s="46"/>
      <c r="BJ338" s="46"/>
      <c r="BK338" s="173"/>
    </row>
    <row r="339" ht="15.75" customHeight="1" spans="3:63" x14ac:dyDescent="0.25">
      <c r="C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W339" s="164"/>
      <c r="X339" s="164"/>
      <c r="Y339" s="164"/>
      <c r="AD339" s="164"/>
      <c r="AE339" s="164"/>
      <c r="AF339" s="164"/>
      <c r="AL339" s="164"/>
      <c r="AM339" s="164"/>
      <c r="AN339" s="164"/>
      <c r="AT339" s="164"/>
      <c r="AU339" s="164"/>
      <c r="AV339" s="164"/>
      <c r="BD339" s="164"/>
      <c r="BE339" s="164"/>
      <c r="BI339" s="46"/>
      <c r="BJ339" s="46"/>
      <c r="BK339" s="173"/>
    </row>
    <row r="340" ht="15.75" customHeight="1" spans="3:63" x14ac:dyDescent="0.25">
      <c r="C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W340" s="164"/>
      <c r="X340" s="164"/>
      <c r="Y340" s="164"/>
      <c r="AD340" s="164"/>
      <c r="AE340" s="164"/>
      <c r="AF340" s="164"/>
      <c r="AL340" s="164"/>
      <c r="AM340" s="164"/>
      <c r="AN340" s="164"/>
      <c r="AT340" s="164"/>
      <c r="AU340" s="164"/>
      <c r="AV340" s="164"/>
      <c r="BD340" s="164"/>
      <c r="BE340" s="164"/>
      <c r="BI340" s="46"/>
      <c r="BJ340" s="46"/>
      <c r="BK340" s="173"/>
    </row>
    <row r="341" ht="15.75" customHeight="1" spans="3:63" x14ac:dyDescent="0.25">
      <c r="C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W341" s="164"/>
      <c r="X341" s="164"/>
      <c r="Y341" s="164"/>
      <c r="AD341" s="164"/>
      <c r="AE341" s="164"/>
      <c r="AF341" s="164"/>
      <c r="AL341" s="164"/>
      <c r="AM341" s="164"/>
      <c r="AN341" s="164"/>
      <c r="AT341" s="164"/>
      <c r="AU341" s="164"/>
      <c r="AV341" s="164"/>
      <c r="BD341" s="164"/>
      <c r="BE341" s="164"/>
      <c r="BI341" s="46"/>
      <c r="BJ341" s="46"/>
      <c r="BK341" s="173"/>
    </row>
    <row r="342" ht="15.75" customHeight="1" spans="3:63" x14ac:dyDescent="0.25">
      <c r="C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W342" s="164"/>
      <c r="X342" s="164"/>
      <c r="Y342" s="164"/>
      <c r="AD342" s="164"/>
      <c r="AE342" s="164"/>
      <c r="AF342" s="164"/>
      <c r="AL342" s="164"/>
      <c r="AM342" s="164"/>
      <c r="AN342" s="164"/>
      <c r="AT342" s="164"/>
      <c r="AU342" s="164"/>
      <c r="AV342" s="164"/>
      <c r="BD342" s="164"/>
      <c r="BE342" s="164"/>
      <c r="BI342" s="46"/>
      <c r="BJ342" s="46"/>
      <c r="BK342" s="173"/>
    </row>
    <row r="343" ht="15.75" customHeight="1" spans="3:63" x14ac:dyDescent="0.25">
      <c r="C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W343" s="164"/>
      <c r="X343" s="164"/>
      <c r="Y343" s="164"/>
      <c r="AD343" s="164"/>
      <c r="AE343" s="164"/>
      <c r="AF343" s="164"/>
      <c r="AL343" s="164"/>
      <c r="AM343" s="164"/>
      <c r="AN343" s="164"/>
      <c r="AT343" s="164"/>
      <c r="AU343" s="164"/>
      <c r="AV343" s="164"/>
      <c r="BD343" s="164"/>
      <c r="BE343" s="164"/>
      <c r="BI343" s="46"/>
      <c r="BJ343" s="46"/>
      <c r="BK343" s="173"/>
    </row>
    <row r="344" ht="15.75" customHeight="1" spans="3:63" x14ac:dyDescent="0.25">
      <c r="C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W344" s="164"/>
      <c r="X344" s="164"/>
      <c r="Y344" s="164"/>
      <c r="AD344" s="164"/>
      <c r="AE344" s="164"/>
      <c r="AF344" s="164"/>
      <c r="AL344" s="164"/>
      <c r="AM344" s="164"/>
      <c r="AN344" s="164"/>
      <c r="AT344" s="164"/>
      <c r="AU344" s="164"/>
      <c r="AV344" s="164"/>
      <c r="BD344" s="164"/>
      <c r="BE344" s="164"/>
      <c r="BI344" s="46"/>
      <c r="BJ344" s="46"/>
      <c r="BK344" s="173"/>
    </row>
    <row r="345" ht="15.75" customHeight="1" spans="3:63" x14ac:dyDescent="0.25">
      <c r="C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W345" s="164"/>
      <c r="X345" s="164"/>
      <c r="Y345" s="164"/>
      <c r="AD345" s="164"/>
      <c r="AE345" s="164"/>
      <c r="AF345" s="164"/>
      <c r="AL345" s="164"/>
      <c r="AM345" s="164"/>
      <c r="AN345" s="164"/>
      <c r="AT345" s="164"/>
      <c r="AU345" s="164"/>
      <c r="AV345" s="164"/>
      <c r="BD345" s="164"/>
      <c r="BE345" s="164"/>
      <c r="BI345" s="46"/>
      <c r="BJ345" s="46"/>
      <c r="BK345" s="173"/>
    </row>
    <row r="346" ht="15.75" customHeight="1" spans="3:63" x14ac:dyDescent="0.25">
      <c r="C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W346" s="164"/>
      <c r="X346" s="164"/>
      <c r="Y346" s="164"/>
      <c r="AD346" s="164"/>
      <c r="AE346" s="164"/>
      <c r="AF346" s="164"/>
      <c r="AL346" s="164"/>
      <c r="AM346" s="164"/>
      <c r="AN346" s="164"/>
      <c r="AT346" s="164"/>
      <c r="AU346" s="164"/>
      <c r="AV346" s="164"/>
      <c r="BD346" s="164"/>
      <c r="BE346" s="164"/>
      <c r="BI346" s="46"/>
      <c r="BJ346" s="46"/>
      <c r="BK346" s="173"/>
    </row>
    <row r="347" ht="15.75" customHeight="1" spans="3:63" x14ac:dyDescent="0.25">
      <c r="C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W347" s="164"/>
      <c r="X347" s="164"/>
      <c r="Y347" s="164"/>
      <c r="AD347" s="164"/>
      <c r="AE347" s="164"/>
      <c r="AF347" s="164"/>
      <c r="AL347" s="164"/>
      <c r="AM347" s="164"/>
      <c r="AN347" s="164"/>
      <c r="AT347" s="164"/>
      <c r="AU347" s="164"/>
      <c r="AV347" s="164"/>
      <c r="BD347" s="164"/>
      <c r="BE347" s="164"/>
      <c r="BI347" s="46"/>
      <c r="BJ347" s="46"/>
      <c r="BK347" s="173"/>
    </row>
    <row r="348" ht="15.75" customHeight="1" spans="3:63" x14ac:dyDescent="0.25">
      <c r="C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W348" s="164"/>
      <c r="X348" s="164"/>
      <c r="Y348" s="164"/>
      <c r="AD348" s="164"/>
      <c r="AE348" s="164"/>
      <c r="AF348" s="164"/>
      <c r="AL348" s="164"/>
      <c r="AM348" s="164"/>
      <c r="AN348" s="164"/>
      <c r="AT348" s="164"/>
      <c r="AU348" s="164"/>
      <c r="AV348" s="164"/>
      <c r="BD348" s="164"/>
      <c r="BE348" s="164"/>
      <c r="BI348" s="46"/>
      <c r="BJ348" s="46"/>
      <c r="BK348" s="173"/>
    </row>
    <row r="349" ht="15.75" customHeight="1" spans="3:63" x14ac:dyDescent="0.25">
      <c r="C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W349" s="164"/>
      <c r="X349" s="164"/>
      <c r="Y349" s="164"/>
      <c r="AD349" s="164"/>
      <c r="AE349" s="164"/>
      <c r="AF349" s="164"/>
      <c r="AL349" s="164"/>
      <c r="AM349" s="164"/>
      <c r="AN349" s="164"/>
      <c r="AT349" s="164"/>
      <c r="AU349" s="164"/>
      <c r="AV349" s="164"/>
      <c r="BD349" s="164"/>
      <c r="BE349" s="164"/>
      <c r="BI349" s="46"/>
      <c r="BJ349" s="46"/>
      <c r="BK349" s="173"/>
    </row>
    <row r="350" ht="15.75" customHeight="1" spans="3:63" x14ac:dyDescent="0.25">
      <c r="C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W350" s="164"/>
      <c r="X350" s="164"/>
      <c r="Y350" s="164"/>
      <c r="AD350" s="164"/>
      <c r="AE350" s="164"/>
      <c r="AF350" s="164"/>
      <c r="AL350" s="164"/>
      <c r="AM350" s="164"/>
      <c r="AN350" s="164"/>
      <c r="AT350" s="164"/>
      <c r="AU350" s="164"/>
      <c r="AV350" s="164"/>
      <c r="BD350" s="164"/>
      <c r="BE350" s="164"/>
      <c r="BI350" s="46"/>
      <c r="BJ350" s="46"/>
      <c r="BK350" s="173"/>
    </row>
    <row r="351" ht="15.75" customHeight="1" spans="3:63" x14ac:dyDescent="0.25">
      <c r="C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W351" s="164"/>
      <c r="X351" s="164"/>
      <c r="Y351" s="164"/>
      <c r="AD351" s="164"/>
      <c r="AE351" s="164"/>
      <c r="AF351" s="164"/>
      <c r="AL351" s="164"/>
      <c r="AM351" s="164"/>
      <c r="AN351" s="164"/>
      <c r="AT351" s="164"/>
      <c r="AU351" s="164"/>
      <c r="AV351" s="164"/>
      <c r="BD351" s="164"/>
      <c r="BE351" s="164"/>
      <c r="BI351" s="46"/>
      <c r="BJ351" s="46"/>
      <c r="BK351" s="173"/>
    </row>
    <row r="352" ht="15.75" customHeight="1" spans="3:63" x14ac:dyDescent="0.25">
      <c r="C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W352" s="164"/>
      <c r="X352" s="164"/>
      <c r="Y352" s="164"/>
      <c r="AD352" s="164"/>
      <c r="AE352" s="164"/>
      <c r="AF352" s="164"/>
      <c r="AL352" s="164"/>
      <c r="AM352" s="164"/>
      <c r="AN352" s="164"/>
      <c r="AT352" s="164"/>
      <c r="AU352" s="164"/>
      <c r="AV352" s="164"/>
      <c r="BD352" s="164"/>
      <c r="BE352" s="164"/>
      <c r="BI352" s="46"/>
      <c r="BJ352" s="46"/>
      <c r="BK352" s="173"/>
    </row>
    <row r="353" ht="15.75" customHeight="1" spans="3:63" x14ac:dyDescent="0.25">
      <c r="C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W353" s="164"/>
      <c r="X353" s="164"/>
      <c r="Y353" s="164"/>
      <c r="AD353" s="164"/>
      <c r="AE353" s="164"/>
      <c r="AF353" s="164"/>
      <c r="AL353" s="164"/>
      <c r="AM353" s="164"/>
      <c r="AN353" s="164"/>
      <c r="AT353" s="164"/>
      <c r="AU353" s="164"/>
      <c r="AV353" s="164"/>
      <c r="BD353" s="164"/>
      <c r="BE353" s="164"/>
      <c r="BI353" s="46"/>
      <c r="BJ353" s="46"/>
      <c r="BK353" s="173"/>
    </row>
    <row r="354" ht="15.75" customHeight="1" spans="3:63" x14ac:dyDescent="0.25">
      <c r="C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W354" s="164"/>
      <c r="X354" s="164"/>
      <c r="Y354" s="164"/>
      <c r="AD354" s="164"/>
      <c r="AE354" s="164"/>
      <c r="AF354" s="164"/>
      <c r="AL354" s="164"/>
      <c r="AM354" s="164"/>
      <c r="AN354" s="164"/>
      <c r="AT354" s="164"/>
      <c r="AU354" s="164"/>
      <c r="AV354" s="164"/>
      <c r="BD354" s="164"/>
      <c r="BE354" s="164"/>
      <c r="BI354" s="46"/>
      <c r="BJ354" s="46"/>
      <c r="BK354" s="173"/>
    </row>
    <row r="355" ht="15.75" customHeight="1" spans="3:63" x14ac:dyDescent="0.25">
      <c r="C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W355" s="164"/>
      <c r="X355" s="164"/>
      <c r="Y355" s="164"/>
      <c r="AD355" s="164"/>
      <c r="AE355" s="164"/>
      <c r="AF355" s="164"/>
      <c r="AL355" s="164"/>
      <c r="AM355" s="164"/>
      <c r="AN355" s="164"/>
      <c r="AT355" s="164"/>
      <c r="AU355" s="164"/>
      <c r="AV355" s="164"/>
      <c r="BD355" s="164"/>
      <c r="BE355" s="164"/>
      <c r="BI355" s="46"/>
      <c r="BJ355" s="46"/>
      <c r="BK355" s="173"/>
    </row>
    <row r="356" ht="15.75" customHeight="1" spans="3:63" x14ac:dyDescent="0.25">
      <c r="C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W356" s="164"/>
      <c r="X356" s="164"/>
      <c r="Y356" s="164"/>
      <c r="AD356" s="164"/>
      <c r="AE356" s="164"/>
      <c r="AF356" s="164"/>
      <c r="AL356" s="164"/>
      <c r="AM356" s="164"/>
      <c r="AN356" s="164"/>
      <c r="AT356" s="164"/>
      <c r="AU356" s="164"/>
      <c r="AV356" s="164"/>
      <c r="BD356" s="164"/>
      <c r="BE356" s="164"/>
      <c r="BI356" s="46"/>
      <c r="BJ356" s="46"/>
      <c r="BK356" s="173"/>
    </row>
    <row r="357" ht="15.75" customHeight="1" spans="3:63" x14ac:dyDescent="0.25">
      <c r="C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W357" s="164"/>
      <c r="X357" s="164"/>
      <c r="Y357" s="164"/>
      <c r="AD357" s="164"/>
      <c r="AE357" s="164"/>
      <c r="AF357" s="164"/>
      <c r="AL357" s="164"/>
      <c r="AM357" s="164"/>
      <c r="AN357" s="164"/>
      <c r="AT357" s="164"/>
      <c r="AU357" s="164"/>
      <c r="AV357" s="164"/>
      <c r="BD357" s="164"/>
      <c r="BE357" s="164"/>
      <c r="BI357" s="46"/>
      <c r="BJ357" s="46"/>
      <c r="BK357" s="173"/>
    </row>
    <row r="358" ht="15.75" customHeight="1" spans="3:63" x14ac:dyDescent="0.25">
      <c r="C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W358" s="164"/>
      <c r="X358" s="164"/>
      <c r="Y358" s="164"/>
      <c r="AD358" s="164"/>
      <c r="AE358" s="164"/>
      <c r="AF358" s="164"/>
      <c r="AL358" s="164"/>
      <c r="AM358" s="164"/>
      <c r="AN358" s="164"/>
      <c r="AT358" s="164"/>
      <c r="AU358" s="164"/>
      <c r="AV358" s="164"/>
      <c r="BD358" s="164"/>
      <c r="BE358" s="164"/>
      <c r="BI358" s="46"/>
      <c r="BJ358" s="46"/>
      <c r="BK358" s="173"/>
    </row>
    <row r="359" ht="15.75" customHeight="1" spans="3:63" x14ac:dyDescent="0.25">
      <c r="C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W359" s="164"/>
      <c r="X359" s="164"/>
      <c r="Y359" s="164"/>
      <c r="AD359" s="164"/>
      <c r="AE359" s="164"/>
      <c r="AF359" s="164"/>
      <c r="AL359" s="164"/>
      <c r="AM359" s="164"/>
      <c r="AN359" s="164"/>
      <c r="AT359" s="164"/>
      <c r="AU359" s="164"/>
      <c r="AV359" s="164"/>
      <c r="BD359" s="164"/>
      <c r="BE359" s="164"/>
      <c r="BI359" s="46"/>
      <c r="BJ359" s="46"/>
      <c r="BK359" s="173"/>
    </row>
    <row r="360" ht="15.75" customHeight="1" spans="3:63" x14ac:dyDescent="0.25">
      <c r="C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W360" s="164"/>
      <c r="X360" s="164"/>
      <c r="Y360" s="164"/>
      <c r="AD360" s="164"/>
      <c r="AE360" s="164"/>
      <c r="AF360" s="164"/>
      <c r="AL360" s="164"/>
      <c r="AM360" s="164"/>
      <c r="AN360" s="164"/>
      <c r="AT360" s="164"/>
      <c r="AU360" s="164"/>
      <c r="AV360" s="164"/>
      <c r="BD360" s="164"/>
      <c r="BE360" s="164"/>
      <c r="BI360" s="46"/>
      <c r="BJ360" s="46"/>
      <c r="BK360" s="173"/>
    </row>
    <row r="361" ht="15.75" customHeight="1" spans="3:63" x14ac:dyDescent="0.25">
      <c r="C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W361" s="164"/>
      <c r="X361" s="164"/>
      <c r="Y361" s="164"/>
      <c r="AD361" s="164"/>
      <c r="AE361" s="164"/>
      <c r="AF361" s="164"/>
      <c r="AL361" s="164"/>
      <c r="AM361" s="164"/>
      <c r="AN361" s="164"/>
      <c r="AT361" s="164"/>
      <c r="AU361" s="164"/>
      <c r="AV361" s="164"/>
      <c r="BD361" s="164"/>
      <c r="BE361" s="164"/>
      <c r="BI361" s="46"/>
      <c r="BJ361" s="46"/>
      <c r="BK361" s="173"/>
    </row>
    <row r="362" ht="15.75" customHeight="1" spans="3:63" x14ac:dyDescent="0.25">
      <c r="C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W362" s="164"/>
      <c r="X362" s="164"/>
      <c r="Y362" s="164"/>
      <c r="AD362" s="164"/>
      <c r="AE362" s="164"/>
      <c r="AF362" s="164"/>
      <c r="AL362" s="164"/>
      <c r="AM362" s="164"/>
      <c r="AN362" s="164"/>
      <c r="AT362" s="164"/>
      <c r="AU362" s="164"/>
      <c r="AV362" s="164"/>
      <c r="BD362" s="164"/>
      <c r="BE362" s="164"/>
      <c r="BI362" s="46"/>
      <c r="BJ362" s="46"/>
      <c r="BK362" s="173"/>
    </row>
    <row r="363" ht="15.75" customHeight="1" spans="3:63" x14ac:dyDescent="0.25">
      <c r="C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W363" s="164"/>
      <c r="X363" s="164"/>
      <c r="Y363" s="164"/>
      <c r="AD363" s="164"/>
      <c r="AE363" s="164"/>
      <c r="AF363" s="164"/>
      <c r="AL363" s="164"/>
      <c r="AM363" s="164"/>
      <c r="AN363" s="164"/>
      <c r="AT363" s="164"/>
      <c r="AU363" s="164"/>
      <c r="AV363" s="164"/>
      <c r="BD363" s="164"/>
      <c r="BE363" s="164"/>
      <c r="BI363" s="46"/>
      <c r="BJ363" s="46"/>
      <c r="BK363" s="173"/>
    </row>
    <row r="364" ht="15.75" customHeight="1" spans="3:63" x14ac:dyDescent="0.25">
      <c r="C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W364" s="164"/>
      <c r="X364" s="164"/>
      <c r="Y364" s="164"/>
      <c r="AD364" s="164"/>
      <c r="AE364" s="164"/>
      <c r="AF364" s="164"/>
      <c r="AL364" s="164"/>
      <c r="AM364" s="164"/>
      <c r="AN364" s="164"/>
      <c r="AT364" s="164"/>
      <c r="AU364" s="164"/>
      <c r="AV364" s="164"/>
      <c r="BD364" s="164"/>
      <c r="BE364" s="164"/>
      <c r="BI364" s="46"/>
      <c r="BJ364" s="46"/>
      <c r="BK364" s="173"/>
    </row>
    <row r="365" ht="15.75" customHeight="1" spans="3:63" x14ac:dyDescent="0.25">
      <c r="C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W365" s="164"/>
      <c r="X365" s="164"/>
      <c r="Y365" s="164"/>
      <c r="AD365" s="164"/>
      <c r="AE365" s="164"/>
      <c r="AF365" s="164"/>
      <c r="AL365" s="164"/>
      <c r="AM365" s="164"/>
      <c r="AN365" s="164"/>
      <c r="AT365" s="164"/>
      <c r="AU365" s="164"/>
      <c r="AV365" s="164"/>
      <c r="BD365" s="164"/>
      <c r="BE365" s="164"/>
      <c r="BI365" s="46"/>
      <c r="BJ365" s="46"/>
      <c r="BK365" s="173"/>
    </row>
    <row r="366" ht="15.75" customHeight="1" spans="3:63" x14ac:dyDescent="0.25">
      <c r="C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W366" s="164"/>
      <c r="X366" s="164"/>
      <c r="Y366" s="164"/>
      <c r="AD366" s="164"/>
      <c r="AE366" s="164"/>
      <c r="AF366" s="164"/>
      <c r="AL366" s="164"/>
      <c r="AM366" s="164"/>
      <c r="AN366" s="164"/>
      <c r="AT366" s="164"/>
      <c r="AU366" s="164"/>
      <c r="AV366" s="164"/>
      <c r="BD366" s="164"/>
      <c r="BE366" s="164"/>
      <c r="BI366" s="46"/>
      <c r="BJ366" s="46"/>
      <c r="BK366" s="173"/>
    </row>
    <row r="367" ht="15.75" customHeight="1" spans="3:63" x14ac:dyDescent="0.25">
      <c r="C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W367" s="164"/>
      <c r="X367" s="164"/>
      <c r="Y367" s="164"/>
      <c r="AD367" s="164"/>
      <c r="AE367" s="164"/>
      <c r="AF367" s="164"/>
      <c r="AL367" s="164"/>
      <c r="AM367" s="164"/>
      <c r="AN367" s="164"/>
      <c r="AT367" s="164"/>
      <c r="AU367" s="164"/>
      <c r="AV367" s="164"/>
      <c r="BD367" s="164"/>
      <c r="BE367" s="164"/>
      <c r="BI367" s="46"/>
      <c r="BJ367" s="46"/>
      <c r="BK367" s="173"/>
    </row>
    <row r="368" ht="15.75" customHeight="1" spans="3:63" x14ac:dyDescent="0.25">
      <c r="C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W368" s="164"/>
      <c r="X368" s="164"/>
      <c r="Y368" s="164"/>
      <c r="AD368" s="164"/>
      <c r="AE368" s="164"/>
      <c r="AF368" s="164"/>
      <c r="AL368" s="164"/>
      <c r="AM368" s="164"/>
      <c r="AN368" s="164"/>
      <c r="AT368" s="164"/>
      <c r="AU368" s="164"/>
      <c r="AV368" s="164"/>
      <c r="BD368" s="164"/>
      <c r="BE368" s="164"/>
      <c r="BI368" s="46"/>
      <c r="BJ368" s="46"/>
      <c r="BK368" s="173"/>
    </row>
    <row r="369" ht="15.75" customHeight="1" spans="3:63" x14ac:dyDescent="0.25">
      <c r="C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W369" s="164"/>
      <c r="X369" s="164"/>
      <c r="Y369" s="164"/>
      <c r="AD369" s="164"/>
      <c r="AE369" s="164"/>
      <c r="AF369" s="164"/>
      <c r="AL369" s="164"/>
      <c r="AM369" s="164"/>
      <c r="AN369" s="164"/>
      <c r="AT369" s="164"/>
      <c r="AU369" s="164"/>
      <c r="AV369" s="164"/>
      <c r="BD369" s="164"/>
      <c r="BE369" s="164"/>
      <c r="BI369" s="46"/>
      <c r="BJ369" s="46"/>
      <c r="BK369" s="173"/>
    </row>
    <row r="370" ht="15.75" customHeight="1" spans="3:63" x14ac:dyDescent="0.25">
      <c r="C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W370" s="164"/>
      <c r="X370" s="164"/>
      <c r="Y370" s="164"/>
      <c r="AD370" s="164"/>
      <c r="AE370" s="164"/>
      <c r="AF370" s="164"/>
      <c r="AL370" s="164"/>
      <c r="AM370" s="164"/>
      <c r="AN370" s="164"/>
      <c r="AT370" s="164"/>
      <c r="AU370" s="164"/>
      <c r="AV370" s="164"/>
      <c r="BD370" s="164"/>
      <c r="BE370" s="164"/>
      <c r="BI370" s="46"/>
      <c r="BJ370" s="46"/>
      <c r="BK370" s="173"/>
    </row>
    <row r="371" ht="15.75" customHeight="1" spans="3:63" x14ac:dyDescent="0.25">
      <c r="C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W371" s="164"/>
      <c r="X371" s="164"/>
      <c r="Y371" s="164"/>
      <c r="AD371" s="164"/>
      <c r="AE371" s="164"/>
      <c r="AF371" s="164"/>
      <c r="AL371" s="164"/>
      <c r="AM371" s="164"/>
      <c r="AN371" s="164"/>
      <c r="AT371" s="164"/>
      <c r="AU371" s="164"/>
      <c r="AV371" s="164"/>
      <c r="BD371" s="164"/>
      <c r="BE371" s="164"/>
      <c r="BI371" s="46"/>
      <c r="BJ371" s="46"/>
      <c r="BK371" s="173"/>
    </row>
    <row r="372" ht="15.75" customHeight="1" spans="3:63" x14ac:dyDescent="0.25">
      <c r="C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W372" s="164"/>
      <c r="X372" s="164"/>
      <c r="Y372" s="164"/>
      <c r="AD372" s="164"/>
      <c r="AE372" s="164"/>
      <c r="AF372" s="164"/>
      <c r="AL372" s="164"/>
      <c r="AM372" s="164"/>
      <c r="AN372" s="164"/>
      <c r="AT372" s="164"/>
      <c r="AU372" s="164"/>
      <c r="AV372" s="164"/>
      <c r="BD372" s="164"/>
      <c r="BE372" s="164"/>
      <c r="BI372" s="46"/>
      <c r="BJ372" s="46"/>
      <c r="BK372" s="173"/>
    </row>
    <row r="373" ht="15.75" customHeight="1" spans="3:63" x14ac:dyDescent="0.25">
      <c r="C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W373" s="164"/>
      <c r="X373" s="164"/>
      <c r="Y373" s="164"/>
      <c r="AD373" s="164"/>
      <c r="AE373" s="164"/>
      <c r="AF373" s="164"/>
      <c r="AL373" s="164"/>
      <c r="AM373" s="164"/>
      <c r="AN373" s="164"/>
      <c r="AT373" s="164"/>
      <c r="AU373" s="164"/>
      <c r="AV373" s="164"/>
      <c r="BD373" s="164"/>
      <c r="BE373" s="164"/>
      <c r="BI373" s="46"/>
      <c r="BJ373" s="46"/>
      <c r="BK373" s="173"/>
    </row>
    <row r="374" ht="15.75" customHeight="1" spans="3:63" x14ac:dyDescent="0.25">
      <c r="C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W374" s="164"/>
      <c r="X374" s="164"/>
      <c r="Y374" s="164"/>
      <c r="AD374" s="164"/>
      <c r="AE374" s="164"/>
      <c r="AF374" s="164"/>
      <c r="AL374" s="164"/>
      <c r="AM374" s="164"/>
      <c r="AN374" s="164"/>
      <c r="AT374" s="164"/>
      <c r="AU374" s="164"/>
      <c r="AV374" s="164"/>
      <c r="BD374" s="164"/>
      <c r="BE374" s="164"/>
      <c r="BI374" s="46"/>
      <c r="BJ374" s="46"/>
      <c r="BK374" s="173"/>
    </row>
    <row r="375" ht="15.75" customHeight="1" spans="3:63" x14ac:dyDescent="0.25">
      <c r="C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W375" s="164"/>
      <c r="X375" s="164"/>
      <c r="Y375" s="164"/>
      <c r="AD375" s="164"/>
      <c r="AE375" s="164"/>
      <c r="AF375" s="164"/>
      <c r="AL375" s="164"/>
      <c r="AM375" s="164"/>
      <c r="AN375" s="164"/>
      <c r="AT375" s="164"/>
      <c r="AU375" s="164"/>
      <c r="AV375" s="164"/>
      <c r="BD375" s="164"/>
      <c r="BE375" s="164"/>
      <c r="BI375" s="46"/>
      <c r="BJ375" s="46"/>
      <c r="BK375" s="173"/>
    </row>
    <row r="376" ht="15.75" customHeight="1" spans="3:63" x14ac:dyDescent="0.25">
      <c r="C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W376" s="164"/>
      <c r="X376" s="164"/>
      <c r="Y376" s="164"/>
      <c r="AD376" s="164"/>
      <c r="AE376" s="164"/>
      <c r="AF376" s="164"/>
      <c r="AL376" s="164"/>
      <c r="AM376" s="164"/>
      <c r="AN376" s="164"/>
      <c r="AT376" s="164"/>
      <c r="AU376" s="164"/>
      <c r="AV376" s="164"/>
      <c r="BD376" s="164"/>
      <c r="BE376" s="164"/>
      <c r="BI376" s="46"/>
      <c r="BJ376" s="46"/>
      <c r="BK376" s="173"/>
    </row>
    <row r="377" ht="15.75" customHeight="1" spans="3:63" x14ac:dyDescent="0.25">
      <c r="C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W377" s="164"/>
      <c r="X377" s="164"/>
      <c r="Y377" s="164"/>
      <c r="AD377" s="164"/>
      <c r="AE377" s="164"/>
      <c r="AF377" s="164"/>
      <c r="AL377" s="164"/>
      <c r="AM377" s="164"/>
      <c r="AN377" s="164"/>
      <c r="AT377" s="164"/>
      <c r="AU377" s="164"/>
      <c r="AV377" s="164"/>
      <c r="BD377" s="164"/>
      <c r="BE377" s="164"/>
      <c r="BI377" s="46"/>
      <c r="BJ377" s="46"/>
      <c r="BK377" s="173"/>
    </row>
    <row r="378" ht="15.75" customHeight="1" spans="3:63" x14ac:dyDescent="0.25">
      <c r="C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W378" s="164"/>
      <c r="X378" s="164"/>
      <c r="Y378" s="164"/>
      <c r="AD378" s="164"/>
      <c r="AE378" s="164"/>
      <c r="AF378" s="164"/>
      <c r="AL378" s="164"/>
      <c r="AM378" s="164"/>
      <c r="AN378" s="164"/>
      <c r="AT378" s="164"/>
      <c r="AU378" s="164"/>
      <c r="AV378" s="164"/>
      <c r="BD378" s="164"/>
      <c r="BE378" s="164"/>
      <c r="BI378" s="46"/>
      <c r="BJ378" s="46"/>
      <c r="BK378" s="173"/>
    </row>
    <row r="379" ht="15.75" customHeight="1" spans="3:63" x14ac:dyDescent="0.25">
      <c r="C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W379" s="164"/>
      <c r="X379" s="164"/>
      <c r="Y379" s="164"/>
      <c r="AD379" s="164"/>
      <c r="AE379" s="164"/>
      <c r="AF379" s="164"/>
      <c r="AL379" s="164"/>
      <c r="AM379" s="164"/>
      <c r="AN379" s="164"/>
      <c r="AT379" s="164"/>
      <c r="AU379" s="164"/>
      <c r="AV379" s="164"/>
      <c r="BD379" s="164"/>
      <c r="BE379" s="164"/>
      <c r="BI379" s="46"/>
      <c r="BJ379" s="46"/>
      <c r="BK379" s="173"/>
    </row>
    <row r="380" ht="15.75" customHeight="1" spans="3:63" x14ac:dyDescent="0.25">
      <c r="C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W380" s="164"/>
      <c r="X380" s="164"/>
      <c r="Y380" s="164"/>
      <c r="AD380" s="164"/>
      <c r="AE380" s="164"/>
      <c r="AF380" s="164"/>
      <c r="AL380" s="164"/>
      <c r="AM380" s="164"/>
      <c r="AN380" s="164"/>
      <c r="AT380" s="164"/>
      <c r="AU380" s="164"/>
      <c r="AV380" s="164"/>
      <c r="BD380" s="164"/>
      <c r="BE380" s="164"/>
      <c r="BI380" s="46"/>
      <c r="BJ380" s="46"/>
      <c r="BK380" s="173"/>
    </row>
    <row r="381" ht="15.75" customHeight="1" spans="3:63" x14ac:dyDescent="0.25">
      <c r="C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W381" s="164"/>
      <c r="X381" s="164"/>
      <c r="Y381" s="164"/>
      <c r="AD381" s="164"/>
      <c r="AE381" s="164"/>
      <c r="AF381" s="164"/>
      <c r="AL381" s="164"/>
      <c r="AM381" s="164"/>
      <c r="AN381" s="164"/>
      <c r="AT381" s="164"/>
      <c r="AU381" s="164"/>
      <c r="AV381" s="164"/>
      <c r="BD381" s="164"/>
      <c r="BE381" s="164"/>
      <c r="BI381" s="46"/>
      <c r="BJ381" s="46"/>
      <c r="BK381" s="173"/>
    </row>
    <row r="382" ht="15.75" customHeight="1" spans="3:63" x14ac:dyDescent="0.25">
      <c r="C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W382" s="164"/>
      <c r="X382" s="164"/>
      <c r="Y382" s="164"/>
      <c r="AD382" s="164"/>
      <c r="AE382" s="164"/>
      <c r="AF382" s="164"/>
      <c r="AL382" s="164"/>
      <c r="AM382" s="164"/>
      <c r="AN382" s="164"/>
      <c r="AT382" s="164"/>
      <c r="AU382" s="164"/>
      <c r="AV382" s="164"/>
      <c r="BD382" s="164"/>
      <c r="BE382" s="164"/>
      <c r="BI382" s="46"/>
      <c r="BJ382" s="46"/>
      <c r="BK382" s="173"/>
    </row>
    <row r="383" ht="15.75" customHeight="1" spans="3:63" x14ac:dyDescent="0.25">
      <c r="C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W383" s="164"/>
      <c r="X383" s="164"/>
      <c r="Y383" s="164"/>
      <c r="AD383" s="164"/>
      <c r="AE383" s="164"/>
      <c r="AF383" s="164"/>
      <c r="AL383" s="164"/>
      <c r="AM383" s="164"/>
      <c r="AN383" s="164"/>
      <c r="AT383" s="164"/>
      <c r="AU383" s="164"/>
      <c r="AV383" s="164"/>
      <c r="BD383" s="164"/>
      <c r="BE383" s="164"/>
      <c r="BI383" s="46"/>
      <c r="BJ383" s="46"/>
      <c r="BK383" s="173"/>
    </row>
    <row r="384" ht="15.75" customHeight="1" spans="3:63" x14ac:dyDescent="0.25">
      <c r="C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W384" s="164"/>
      <c r="X384" s="164"/>
      <c r="Y384" s="164"/>
      <c r="AD384" s="164"/>
      <c r="AE384" s="164"/>
      <c r="AF384" s="164"/>
      <c r="AL384" s="164"/>
      <c r="AM384" s="164"/>
      <c r="AN384" s="164"/>
      <c r="AT384" s="164"/>
      <c r="AU384" s="164"/>
      <c r="AV384" s="164"/>
      <c r="BD384" s="164"/>
      <c r="BE384" s="164"/>
      <c r="BI384" s="46"/>
      <c r="BJ384" s="46"/>
      <c r="BK384" s="173"/>
    </row>
    <row r="385" ht="15.75" customHeight="1" spans="3:63" x14ac:dyDescent="0.25">
      <c r="C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W385" s="164"/>
      <c r="X385" s="164"/>
      <c r="Y385" s="164"/>
      <c r="AD385" s="164"/>
      <c r="AE385" s="164"/>
      <c r="AF385" s="164"/>
      <c r="AL385" s="164"/>
      <c r="AM385" s="164"/>
      <c r="AN385" s="164"/>
      <c r="AT385" s="164"/>
      <c r="AU385" s="164"/>
      <c r="AV385" s="164"/>
      <c r="BD385" s="164"/>
      <c r="BE385" s="164"/>
      <c r="BI385" s="46"/>
      <c r="BJ385" s="46"/>
      <c r="BK385" s="173"/>
    </row>
    <row r="386" ht="15.75" customHeight="1" spans="3:63" x14ac:dyDescent="0.25">
      <c r="C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W386" s="164"/>
      <c r="X386" s="164"/>
      <c r="Y386" s="164"/>
      <c r="AD386" s="164"/>
      <c r="AE386" s="164"/>
      <c r="AF386" s="164"/>
      <c r="AL386" s="164"/>
      <c r="AM386" s="164"/>
      <c r="AN386" s="164"/>
      <c r="AT386" s="164"/>
      <c r="AU386" s="164"/>
      <c r="AV386" s="164"/>
      <c r="BD386" s="164"/>
      <c r="BE386" s="164"/>
      <c r="BI386" s="46"/>
      <c r="BJ386" s="46"/>
      <c r="BK386" s="173"/>
    </row>
    <row r="387" ht="15.75" customHeight="1" spans="3:63" x14ac:dyDescent="0.25">
      <c r="C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W387" s="164"/>
      <c r="X387" s="164"/>
      <c r="Y387" s="164"/>
      <c r="AD387" s="164"/>
      <c r="AE387" s="164"/>
      <c r="AF387" s="164"/>
      <c r="AL387" s="164"/>
      <c r="AM387" s="164"/>
      <c r="AN387" s="164"/>
      <c r="AT387" s="164"/>
      <c r="AU387" s="164"/>
      <c r="AV387" s="164"/>
      <c r="BD387" s="164"/>
      <c r="BE387" s="164"/>
      <c r="BI387" s="46"/>
      <c r="BJ387" s="46"/>
      <c r="BK387" s="173"/>
    </row>
    <row r="388" ht="15.75" customHeight="1" spans="3:63" x14ac:dyDescent="0.25">
      <c r="C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W388" s="164"/>
      <c r="X388" s="164"/>
      <c r="Y388" s="164"/>
      <c r="AD388" s="164"/>
      <c r="AE388" s="164"/>
      <c r="AF388" s="164"/>
      <c r="AL388" s="164"/>
      <c r="AM388" s="164"/>
      <c r="AN388" s="164"/>
      <c r="AT388" s="164"/>
      <c r="AU388" s="164"/>
      <c r="AV388" s="164"/>
      <c r="BD388" s="164"/>
      <c r="BE388" s="164"/>
      <c r="BI388" s="46"/>
      <c r="BJ388" s="46"/>
      <c r="BK388" s="173"/>
    </row>
    <row r="389" ht="15.75" customHeight="1" spans="3:63" x14ac:dyDescent="0.25">
      <c r="C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W389" s="164"/>
      <c r="X389" s="164"/>
      <c r="Y389" s="164"/>
      <c r="AD389" s="164"/>
      <c r="AE389" s="164"/>
      <c r="AF389" s="164"/>
      <c r="AL389" s="164"/>
      <c r="AM389" s="164"/>
      <c r="AN389" s="164"/>
      <c r="AT389" s="164"/>
      <c r="AU389" s="164"/>
      <c r="AV389" s="164"/>
      <c r="BD389" s="164"/>
      <c r="BE389" s="164"/>
      <c r="BI389" s="46"/>
      <c r="BJ389" s="46"/>
      <c r="BK389" s="173"/>
    </row>
    <row r="390" ht="15.75" customHeight="1" spans="3:63" x14ac:dyDescent="0.25">
      <c r="C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W390" s="164"/>
      <c r="X390" s="164"/>
      <c r="Y390" s="164"/>
      <c r="AD390" s="164"/>
      <c r="AE390" s="164"/>
      <c r="AF390" s="164"/>
      <c r="AL390" s="164"/>
      <c r="AM390" s="164"/>
      <c r="AN390" s="164"/>
      <c r="AT390" s="164"/>
      <c r="AU390" s="164"/>
      <c r="AV390" s="164"/>
      <c r="BD390" s="164"/>
      <c r="BE390" s="164"/>
      <c r="BI390" s="46"/>
      <c r="BJ390" s="46"/>
      <c r="BK390" s="173"/>
    </row>
    <row r="391" ht="15.75" customHeight="1" spans="3:63" x14ac:dyDescent="0.25">
      <c r="C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W391" s="164"/>
      <c r="X391" s="164"/>
      <c r="Y391" s="164"/>
      <c r="AD391" s="164"/>
      <c r="AE391" s="164"/>
      <c r="AF391" s="164"/>
      <c r="AL391" s="164"/>
      <c r="AM391" s="164"/>
      <c r="AN391" s="164"/>
      <c r="AT391" s="164"/>
      <c r="AU391" s="164"/>
      <c r="AV391" s="164"/>
      <c r="BD391" s="164"/>
      <c r="BE391" s="164"/>
      <c r="BI391" s="46"/>
      <c r="BJ391" s="46"/>
      <c r="BK391" s="173"/>
    </row>
    <row r="392" ht="15.75" customHeight="1" spans="3:63" x14ac:dyDescent="0.25">
      <c r="C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W392" s="164"/>
      <c r="X392" s="164"/>
      <c r="Y392" s="164"/>
      <c r="AD392" s="164"/>
      <c r="AE392" s="164"/>
      <c r="AF392" s="164"/>
      <c r="AL392" s="164"/>
      <c r="AM392" s="164"/>
      <c r="AN392" s="164"/>
      <c r="AT392" s="164"/>
      <c r="AU392" s="164"/>
      <c r="AV392" s="164"/>
      <c r="BD392" s="164"/>
      <c r="BE392" s="164"/>
      <c r="BI392" s="46"/>
      <c r="BJ392" s="46"/>
      <c r="BK392" s="173"/>
    </row>
    <row r="393" ht="15.75" customHeight="1" spans="3:63" x14ac:dyDescent="0.25">
      <c r="C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W393" s="164"/>
      <c r="X393" s="164"/>
      <c r="Y393" s="164"/>
      <c r="AD393" s="164"/>
      <c r="AE393" s="164"/>
      <c r="AF393" s="164"/>
      <c r="AL393" s="164"/>
      <c r="AM393" s="164"/>
      <c r="AN393" s="164"/>
      <c r="AT393" s="164"/>
      <c r="AU393" s="164"/>
      <c r="AV393" s="164"/>
      <c r="BD393" s="164"/>
      <c r="BE393" s="164"/>
      <c r="BI393" s="46"/>
      <c r="BJ393" s="46"/>
      <c r="BK393" s="173"/>
    </row>
    <row r="394" ht="15.75" customHeight="1" spans="3:63" x14ac:dyDescent="0.25">
      <c r="C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W394" s="164"/>
      <c r="X394" s="164"/>
      <c r="Y394" s="164"/>
      <c r="AD394" s="164"/>
      <c r="AE394" s="164"/>
      <c r="AF394" s="164"/>
      <c r="AL394" s="164"/>
      <c r="AM394" s="164"/>
      <c r="AN394" s="164"/>
      <c r="AT394" s="164"/>
      <c r="AU394" s="164"/>
      <c r="AV394" s="164"/>
      <c r="BD394" s="164"/>
      <c r="BE394" s="164"/>
      <c r="BI394" s="46"/>
      <c r="BJ394" s="46"/>
      <c r="BK394" s="173"/>
    </row>
    <row r="395" ht="15.75" customHeight="1" spans="3:63" x14ac:dyDescent="0.25">
      <c r="C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W395" s="164"/>
      <c r="X395" s="164"/>
      <c r="Y395" s="164"/>
      <c r="AD395" s="164"/>
      <c r="AE395" s="164"/>
      <c r="AF395" s="164"/>
      <c r="AL395" s="164"/>
      <c r="AM395" s="164"/>
      <c r="AN395" s="164"/>
      <c r="AT395" s="164"/>
      <c r="AU395" s="164"/>
      <c r="AV395" s="164"/>
      <c r="BD395" s="164"/>
      <c r="BE395" s="164"/>
      <c r="BI395" s="46"/>
      <c r="BJ395" s="46"/>
      <c r="BK395" s="173"/>
    </row>
    <row r="396" ht="15.75" customHeight="1" spans="3:63" x14ac:dyDescent="0.25">
      <c r="C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W396" s="164"/>
      <c r="X396" s="164"/>
      <c r="Y396" s="164"/>
      <c r="AD396" s="164"/>
      <c r="AE396" s="164"/>
      <c r="AF396" s="164"/>
      <c r="AL396" s="164"/>
      <c r="AM396" s="164"/>
      <c r="AN396" s="164"/>
      <c r="AT396" s="164"/>
      <c r="AU396" s="164"/>
      <c r="AV396" s="164"/>
      <c r="BD396" s="164"/>
      <c r="BE396" s="164"/>
      <c r="BI396" s="46"/>
      <c r="BJ396" s="46"/>
      <c r="BK396" s="173"/>
    </row>
    <row r="397" ht="15.75" customHeight="1" spans="3:63" x14ac:dyDescent="0.25">
      <c r="C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W397" s="164"/>
      <c r="X397" s="164"/>
      <c r="Y397" s="164"/>
      <c r="AD397" s="164"/>
      <c r="AE397" s="164"/>
      <c r="AF397" s="164"/>
      <c r="AL397" s="164"/>
      <c r="AM397" s="164"/>
      <c r="AN397" s="164"/>
      <c r="AT397" s="164"/>
      <c r="AU397" s="164"/>
      <c r="AV397" s="164"/>
      <c r="BD397" s="164"/>
      <c r="BE397" s="164"/>
      <c r="BI397" s="46"/>
      <c r="BJ397" s="46"/>
      <c r="BK397" s="173"/>
    </row>
    <row r="398" ht="15.75" customHeight="1" spans="3:63" x14ac:dyDescent="0.25">
      <c r="C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W398" s="164"/>
      <c r="X398" s="164"/>
      <c r="Y398" s="164"/>
      <c r="AD398" s="164"/>
      <c r="AE398" s="164"/>
      <c r="AF398" s="164"/>
      <c r="AL398" s="164"/>
      <c r="AM398" s="164"/>
      <c r="AN398" s="164"/>
      <c r="AT398" s="164"/>
      <c r="AU398" s="164"/>
      <c r="AV398" s="164"/>
      <c r="BD398" s="164"/>
      <c r="BE398" s="164"/>
      <c r="BI398" s="46"/>
      <c r="BJ398" s="46"/>
      <c r="BK398" s="173"/>
    </row>
    <row r="399" ht="15.75" customHeight="1" spans="3:63" x14ac:dyDescent="0.25">
      <c r="C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W399" s="164"/>
      <c r="X399" s="164"/>
      <c r="Y399" s="164"/>
      <c r="AD399" s="164"/>
      <c r="AE399" s="164"/>
      <c r="AF399" s="164"/>
      <c r="AL399" s="164"/>
      <c r="AM399" s="164"/>
      <c r="AN399" s="164"/>
      <c r="AT399" s="164"/>
      <c r="AU399" s="164"/>
      <c r="AV399" s="164"/>
      <c r="BD399" s="164"/>
      <c r="BE399" s="164"/>
      <c r="BI399" s="46"/>
      <c r="BJ399" s="46"/>
      <c r="BK399" s="173"/>
    </row>
    <row r="400" ht="15.75" customHeight="1" spans="3:63" x14ac:dyDescent="0.25">
      <c r="C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W400" s="164"/>
      <c r="X400" s="164"/>
      <c r="Y400" s="164"/>
      <c r="AD400" s="164"/>
      <c r="AE400" s="164"/>
      <c r="AF400" s="164"/>
      <c r="AL400" s="164"/>
      <c r="AM400" s="164"/>
      <c r="AN400" s="164"/>
      <c r="AT400" s="164"/>
      <c r="AU400" s="164"/>
      <c r="AV400" s="164"/>
      <c r="BD400" s="164"/>
      <c r="BE400" s="164"/>
      <c r="BI400" s="46"/>
      <c r="BJ400" s="46"/>
      <c r="BK400" s="173"/>
    </row>
  </sheetData>
  <mergeCells count="50">
    <mergeCell ref="D1:AZ2"/>
    <mergeCell ref="BA1:BF1"/>
    <mergeCell ref="BA2:BF2"/>
    <mergeCell ref="D3:AZ3"/>
    <mergeCell ref="BA3:BF3"/>
    <mergeCell ref="D4:L4"/>
    <mergeCell ref="N4:Y4"/>
    <mergeCell ref="Z4:AA4"/>
    <mergeCell ref="AC4:AE4"/>
    <mergeCell ref="AJ4:AO4"/>
    <mergeCell ref="AP4:AQ4"/>
    <mergeCell ref="AS4:AX4"/>
    <mergeCell ref="AY4:AZ4"/>
    <mergeCell ref="BA4:BF4"/>
    <mergeCell ref="D5:H5"/>
    <mergeCell ref="J5:S5"/>
    <mergeCell ref="U5:Y5"/>
    <mergeCell ref="AA5:AG5"/>
    <mergeCell ref="AI5:AZ5"/>
    <mergeCell ref="BA5:BG5"/>
    <mergeCell ref="D6:S6"/>
    <mergeCell ref="U6:AJ6"/>
    <mergeCell ref="A6:A12"/>
    <mergeCell ref="B6:B12"/>
    <mergeCell ref="BI8:BK8"/>
    <mergeCell ref="BL8:BN8"/>
    <mergeCell ref="BO8:BQ8"/>
    <mergeCell ref="BR8:BT8"/>
    <mergeCell ref="BU8:BW8"/>
    <mergeCell ref="BX8:BZ8"/>
    <mergeCell ref="BI9:BJ9"/>
    <mergeCell ref="BL9:BM9"/>
    <mergeCell ref="BO9:BP9"/>
    <mergeCell ref="BR9:BS9"/>
    <mergeCell ref="BU9:BV9"/>
    <mergeCell ref="BX9:BY9"/>
    <mergeCell ref="D10:AJ12"/>
    <mergeCell ref="BI10:BJ10"/>
    <mergeCell ref="BL10:BM10"/>
    <mergeCell ref="BO10:BP10"/>
    <mergeCell ref="BR10:BS10"/>
    <mergeCell ref="BU10:BV10"/>
    <mergeCell ref="BX10:BY10"/>
    <mergeCell ref="C10:C12"/>
    <mergeCell ref="BI11:BJ11"/>
    <mergeCell ref="BL11:BM11"/>
    <mergeCell ref="BO11:BP11"/>
    <mergeCell ref="BR11:BS11"/>
    <mergeCell ref="BU11:BV11"/>
    <mergeCell ref="BX11:BY11"/>
  </mergeCells>
  <conditionalFormatting sqref="D135:D199">
    <cfRule type="cellIs" dxfId="0" priority="2" operator="greaterThan">
      <formula>$D$10</formula>
    </cfRule>
  </conditionalFormatting>
  <conditionalFormatting sqref="U135">
    <cfRule type="cellIs" dxfId="1" priority="1" operator="greaterThan">
      <formula>$D$10</formula>
    </cfRule>
  </conditionalFormatting>
  <dataValidations count="1728">
    <dataValidation type="decimal" allowBlank="1" showInputMessage="1" prompt="Dear Sir/ Madam - Score entered is greater than Max. Marks allotted." showErrorMessage="1" sqref="AA108">
      <formula1>0</formula1>
      <formula2>NaN</formula2>
    </dataValidation>
    <dataValidation type="decimal" allowBlank="1" showInputMessage="1" prompt="Dear Sir/ Madam - Score entered is greater than Max. Marks allotted." showErrorMessage="1" sqref="AA109">
      <formula1>0</formula1>
      <formula2>NaN</formula2>
    </dataValidation>
    <dataValidation type="decimal" allowBlank="1" showInputMessage="1" prompt="Dear Sir/ Madam - Score entered is greater than Max. Marks allotted." showErrorMessage="1" sqref="AA110">
      <formula1>0</formula1>
      <formula2>NaN</formula2>
    </dataValidation>
    <dataValidation type="decimal" allowBlank="1" showInputMessage="1" prompt="Dear Sir/ Madam - Score entered is greater than Max. Marks allotted." showErrorMessage="1" sqref="AA111">
      <formula1>0</formula1>
      <formula2>NaN</formula2>
    </dataValidation>
    <dataValidation type="decimal" allowBlank="1" showInputMessage="1" prompt="Dear Sir/ Madam - Score entered is greater than Max. Marks allotted." showErrorMessage="1" sqref="AA112">
      <formula1>0</formula1>
      <formula2>NaN</formula2>
    </dataValidation>
    <dataValidation type="decimal" allowBlank="1" showInputMessage="1" prompt="Dear Sir/ Madam - Score entered is greater than Max. Marks allotted." showErrorMessage="1" sqref="AA113">
      <formula1>0</formula1>
      <formula2>NaN</formula2>
    </dataValidation>
    <dataValidation type="decimal" allowBlank="1" showInputMessage="1" prompt="Dear Sir/ Madam - Score entered is greater than Max. Marks allotted." showErrorMessage="1" sqref="AA114">
      <formula1>0</formula1>
      <formula2>NaN</formula2>
    </dataValidation>
    <dataValidation type="decimal" allowBlank="1" showInputMessage="1" prompt="Dear Sir/ Madam - Score entered is greater than Max. Marks allotted." showErrorMessage="1" sqref="AA115">
      <formula1>0</formula1>
      <formula2>NaN</formula2>
    </dataValidation>
    <dataValidation type="decimal" allowBlank="1" showInputMessage="1" prompt="Dear Sir/ Madam - Score entered is greater than Max. Marks allotted." showErrorMessage="1" sqref="AA116">
      <formula1>0</formula1>
      <formula2>NaN</formula2>
    </dataValidation>
    <dataValidation type="decimal" allowBlank="1" showInputMessage="1" prompt="Dear Sir/ Madam - Score entered is greater than Max. Marks allotted." showErrorMessage="1" sqref="AA117">
      <formula1>0</formula1>
      <formula2>NaN</formula2>
    </dataValidation>
    <dataValidation type="decimal" allowBlank="1" showInputMessage="1" prompt="Dear Sir/ Madam - Score entered is greater than Max. Marks allotted." showErrorMessage="1" sqref="AA118">
      <formula1>0</formula1>
      <formula2>NaN</formula2>
    </dataValidation>
    <dataValidation type="decimal" allowBlank="1" showInputMessage="1" prompt="Dear Sir/ Madam - Score entered is greater than Max. Marks allotted." showErrorMessage="1" sqref="AA119">
      <formula1>0</formula1>
      <formula2>NaN</formula2>
    </dataValidation>
    <dataValidation type="decimal" allowBlank="1" showInputMessage="1" prompt="Dear Sir/ Madam - Score entered is greater than Max. Marks allotted." showErrorMessage="1" sqref="AA120">
      <formula1>0</formula1>
      <formula2>NaN</formula2>
    </dataValidation>
    <dataValidation type="decimal" allowBlank="1" showInputMessage="1" prompt="Dear Sir/ Madam - Score entered is greater than Max. Marks allotted." showErrorMessage="1" sqref="AA121">
      <formula1>0</formula1>
      <formula2>NaN</formula2>
    </dataValidation>
    <dataValidation type="decimal" allowBlank="1" showInputMessage="1" prompt="Dear Sir/ Madam - Score entered is greater than Max. Marks allotted." showErrorMessage="1" sqref="AA122">
      <formula1>0</formula1>
      <formula2>NaN</formula2>
    </dataValidation>
    <dataValidation type="decimal" allowBlank="1" showInputMessage="1" prompt="Dear Sir/ Madam - Score entered is greater than Max. Marks allotted." showErrorMessage="1" sqref="AA123">
      <formula1>0</formula1>
      <formula2>NaN</formula2>
    </dataValidation>
    <dataValidation type="decimal" allowBlank="1" showInputMessage="1" prompt="Dear Sir/ Madam - Score entered is greater than Max. Marks allotted." showErrorMessage="1" sqref="AA124">
      <formula1>0</formula1>
      <formula2>NaN</formula2>
    </dataValidation>
    <dataValidation type="decimal" allowBlank="1" showInputMessage="1" prompt="Dear Sir/ Madam - Score entered is greater than Max. Marks allotted." showErrorMessage="1" sqref="AA125">
      <formula1>0</formula1>
      <formula2>NaN</formula2>
    </dataValidation>
    <dataValidation type="decimal" allowBlank="1" showInputMessage="1" prompt="Dear Sir/ Madam - Score entered is greater than Max. Marks allotted." showErrorMessage="1" sqref="AA126">
      <formula1>0</formula1>
      <formula2>NaN</formula2>
    </dataValidation>
    <dataValidation type="decimal" allowBlank="1" showInputMessage="1" prompt="Dear Sir/ Madam - Score entered is greater than Max. Marks allotted." showErrorMessage="1" sqref="AA127">
      <formula1>0</formula1>
      <formula2>NaN</formula2>
    </dataValidation>
    <dataValidation type="decimal" allowBlank="1" showInputMessage="1" prompt="Dear Sir/ Madam - Score entered is greater than Max. Marks allotted." showErrorMessage="1" sqref="AA128">
      <formula1>0</formula1>
      <formula2>NaN</formula2>
    </dataValidation>
    <dataValidation type="decimal" allowBlank="1" showInputMessage="1" prompt="Dear Sir/ Madam - Score entered is greater than Max. Marks allotted." showErrorMessage="1" sqref="AA129">
      <formula1>0</formula1>
      <formula2>NaN</formula2>
    </dataValidation>
    <dataValidation type="decimal" allowBlank="1" showInputMessage="1" prompt="Dear Sir/ Madam - Score entered is greater than Max. Marks allotted." showErrorMessage="1" sqref="AA130">
      <formula1>0</formula1>
      <formula2>NaN</formula2>
    </dataValidation>
    <dataValidation type="decimal" allowBlank="1" showInputMessage="1" prompt="Dear Sir/ Madam - Score entered is greater than Max. Marks allotted." showErrorMessage="1" sqref="AA131">
      <formula1>0</formula1>
      <formula2>NaN</formula2>
    </dataValidation>
    <dataValidation type="decimal" allowBlank="1" showInputMessage="1" prompt="Dear Sir/ Madam - Score entered is greater than Max. Marks allotted." showErrorMessage="1" sqref="AA132">
      <formula1>0</formula1>
      <formula2>NaN</formula2>
    </dataValidation>
    <dataValidation type="decimal" allowBlank="1" showInputMessage="1" prompt="Dear Sir/ Madam - Score entered is greater than Max. Marks allotted." showErrorMessage="1" sqref="AA133">
      <formula1>0</formula1>
      <formula2>NaN</formula2>
    </dataValidation>
    <dataValidation type="decimal" allowBlank="1" showInputMessage="1" prompt="Dear Sir/ Madam - Score entered is greater than Max. Marks allotted." showErrorMessage="1" sqref="AA134">
      <formula1>0</formula1>
      <formula2>NaN</formula2>
    </dataValidation>
    <dataValidation type="decimal" allowBlank="1" showInputMessage="1" prompt="Dear Sir/ Madam - Score entered is greater than Max. Marks allotted." showErrorMessage="1" sqref="AA135">
      <formula1>0</formula1>
      <formula2>NaN</formula2>
    </dataValidation>
    <dataValidation type="decimal" allowBlank="1" showInputMessage="1" prompt="Dear Sir/ Madam - Score entered is greater than Max. Marks allotted." showErrorMessage="1" sqref="AB100">
      <formula1>0</formula1>
      <formula2>NaN</formula2>
    </dataValidation>
    <dataValidation type="decimal" allowBlank="1" showInputMessage="1" prompt="Dear Sir/ Madam - Score entered is greater than Max. Marks allotted." showErrorMessage="1" sqref="AB101">
      <formula1>0</formula1>
      <formula2>NaN</formula2>
    </dataValidation>
    <dataValidation type="decimal" allowBlank="1" showInputMessage="1" prompt="Dear Sir/ Madam - Score entered is greater than Max. Marks allotted." showErrorMessage="1" sqref="AB102">
      <formula1>0</formula1>
      <formula2>NaN</formula2>
    </dataValidation>
    <dataValidation type="decimal" allowBlank="1" showInputMessage="1" prompt="Dear Sir/ Madam - Score entered is greater than Max. Marks allotted." showErrorMessage="1" sqref="AB103">
      <formula1>0</formula1>
      <formula2>NaN</formula2>
    </dataValidation>
    <dataValidation type="decimal" allowBlank="1" showInputMessage="1" prompt="Dear Sir/ Madam - Score entered is greater than Max. Marks allotted." showErrorMessage="1" sqref="AB104">
      <formula1>0</formula1>
      <formula2>NaN</formula2>
    </dataValidation>
    <dataValidation type="decimal" allowBlank="1" showInputMessage="1" prompt="Dear Sir/ Madam - Score entered is greater than Max. Marks allotted." showErrorMessage="1" sqref="AB105">
      <formula1>0</formula1>
      <formula2>NaN</formula2>
    </dataValidation>
    <dataValidation type="decimal" allowBlank="1" showInputMessage="1" prompt="Dear Sir/ Madam - Score entered is greater than Max. Marks allotted." showErrorMessage="1" sqref="AB106">
      <formula1>0</formula1>
      <formula2>NaN</formula2>
    </dataValidation>
    <dataValidation type="decimal" allowBlank="1" showInputMessage="1" prompt="Dear Sir/ Madam - Score entered is greater than Max. Marks allotted." showErrorMessage="1" sqref="AB107">
      <formula1>0</formula1>
      <formula2>NaN</formula2>
    </dataValidation>
    <dataValidation type="decimal" allowBlank="1" showInputMessage="1" prompt="Dear Sir/ Madam - Score entered is greater than Max. Marks allotted." showErrorMessage="1" sqref="AB108">
      <formula1>0</formula1>
      <formula2>NaN</formula2>
    </dataValidation>
    <dataValidation type="decimal" allowBlank="1" showInputMessage="1" prompt="Dear Sir/ Madam - Score entered is greater than Max. Marks allotted." showErrorMessage="1" sqref="AB109">
      <formula1>0</formula1>
      <formula2>NaN</formula2>
    </dataValidation>
    <dataValidation type="decimal" allowBlank="1" showInputMessage="1" prompt="Dear Sir/ Madam - Score entered is greater than Max. Marks allotted." showErrorMessage="1" sqref="AB110">
      <formula1>0</formula1>
      <formula2>NaN</formula2>
    </dataValidation>
    <dataValidation type="decimal" allowBlank="1" showInputMessage="1" prompt="Dear Sir/ Madam - Score entered is greater than Max. Marks allotted." showErrorMessage="1" sqref="AB111">
      <formula1>0</formula1>
      <formula2>NaN</formula2>
    </dataValidation>
    <dataValidation type="decimal" allowBlank="1" showInputMessage="1" prompt="Dear Sir/ Madam - Score entered is greater than Max. Marks allotted." showErrorMessage="1" sqref="AB112">
      <formula1>0</formula1>
      <formula2>NaN</formula2>
    </dataValidation>
    <dataValidation type="decimal" allowBlank="1" showInputMessage="1" prompt="Dear Sir/ Madam - Score entered is greater than Max. Marks allotted." showErrorMessage="1" sqref="AB113">
      <formula1>0</formula1>
      <formula2>NaN</formula2>
    </dataValidation>
    <dataValidation type="decimal" allowBlank="1" showInputMessage="1" prompt="Dear Sir/ Madam - Score entered is greater than Max. Marks allotted." showErrorMessage="1" sqref="AB114">
      <formula1>0</formula1>
      <formula2>NaN</formula2>
    </dataValidation>
    <dataValidation type="decimal" allowBlank="1" showInputMessage="1" prompt="Dear Sir/ Madam - Score entered is greater than Max. Marks allotted." showErrorMessage="1" sqref="AB115">
      <formula1>0</formula1>
      <formula2>NaN</formula2>
    </dataValidation>
    <dataValidation type="decimal" allowBlank="1" showInputMessage="1" prompt="Dear Sir/ Madam - Score entered is greater than Max. Marks allotted." showErrorMessage="1" sqref="AB116">
      <formula1>0</formula1>
      <formula2>NaN</formula2>
    </dataValidation>
    <dataValidation type="decimal" allowBlank="1" showInputMessage="1" prompt="Dear Sir/ Madam - Score entered is greater than Max. Marks allotted." showErrorMessage="1" sqref="AB117">
      <formula1>0</formula1>
      <formula2>NaN</formula2>
    </dataValidation>
    <dataValidation type="decimal" allowBlank="1" showInputMessage="1" prompt="Dear Sir/ Madam - Score entered is greater than Max. Marks allotted." showErrorMessage="1" sqref="AB118">
      <formula1>0</formula1>
      <formula2>NaN</formula2>
    </dataValidation>
    <dataValidation type="decimal" allowBlank="1" showInputMessage="1" prompt="Dear Sir/ Madam - Score entered is greater than Max. Marks allotted." showErrorMessage="1" sqref="AB119">
      <formula1>0</formula1>
      <formula2>NaN</formula2>
    </dataValidation>
    <dataValidation type="decimal" allowBlank="1" showInputMessage="1" prompt="Dear Sir/ Madam - Score entered is greater than Max. Marks allotted." showErrorMessage="1" sqref="AB120">
      <formula1>0</formula1>
      <formula2>NaN</formula2>
    </dataValidation>
    <dataValidation type="decimal" allowBlank="1" showInputMessage="1" prompt="Dear Sir/ Madam - Score entered is greater than Max. Marks allotted." showErrorMessage="1" sqref="AB121">
      <formula1>0</formula1>
      <formula2>NaN</formula2>
    </dataValidation>
    <dataValidation type="decimal" allowBlank="1" showInputMessage="1" prompt="Dear Sir/ Madam - Score entered is greater than Max. Marks allotted." showErrorMessage="1" sqref="AB122">
      <formula1>0</formula1>
      <formula2>NaN</formula2>
    </dataValidation>
    <dataValidation type="decimal" allowBlank="1" showInputMessage="1" prompt="Dear Sir/ Madam - Score entered is greater than Max. Marks allotted." showErrorMessage="1" sqref="AB123">
      <formula1>0</formula1>
      <formula2>NaN</formula2>
    </dataValidation>
    <dataValidation type="decimal" allowBlank="1" showInputMessage="1" prompt="Dear Sir/ Madam - Score entered is greater than Max. Marks allotted." showErrorMessage="1" sqref="AB124">
      <formula1>0</formula1>
      <formula2>NaN</formula2>
    </dataValidation>
    <dataValidation type="decimal" allowBlank="1" showInputMessage="1" prompt="Dear Sir/ Madam - Score entered is greater than Max. Marks allotted." showErrorMessage="1" sqref="AB125">
      <formula1>0</formula1>
      <formula2>NaN</formula2>
    </dataValidation>
    <dataValidation type="decimal" allowBlank="1" showInputMessage="1" prompt="Dear Sir/ Madam - Score entered is greater than Max. Marks allotted." showErrorMessage="1" sqref="AB126">
      <formula1>0</formula1>
      <formula2>NaN</formula2>
    </dataValidation>
    <dataValidation type="decimal" allowBlank="1" showInputMessage="1" prompt="Dear Sir/ Madam - Score entered is greater than Max. Marks allotted." showErrorMessage="1" sqref="AB127">
      <formula1>0</formula1>
      <formula2>NaN</formula2>
    </dataValidation>
    <dataValidation type="decimal" allowBlank="1" showInputMessage="1" prompt="Dear Sir/ Madam - Score entered is greater than Max. Marks allotted." showErrorMessage="1" sqref="AB128">
      <formula1>0</formula1>
      <formula2>NaN</formula2>
    </dataValidation>
    <dataValidation type="decimal" allowBlank="1" showInputMessage="1" prompt="Dear Sir/ Madam - Score entered is greater than Max. Marks allotted." showErrorMessage="1" sqref="AB129">
      <formula1>0</formula1>
      <formula2>NaN</formula2>
    </dataValidation>
    <dataValidation type="decimal" allowBlank="1" showInputMessage="1" prompt="Dear Sir/ Madam - Score entered is greater than Max. Marks allotted." showErrorMessage="1" sqref="AB130">
      <formula1>0</formula1>
      <formula2>NaN</formula2>
    </dataValidation>
    <dataValidation type="decimal" allowBlank="1" showInputMessage="1" prompt="Dear Sir/ Madam - Score entered is greater than Max. Marks allotted." showErrorMessage="1" sqref="AB131">
      <formula1>0</formula1>
      <formula2>NaN</formula2>
    </dataValidation>
    <dataValidation type="decimal" allowBlank="1" showInputMessage="1" prompt="Dear Sir/ Madam - Score entered is greater than Max. Marks allotted." showErrorMessage="1" sqref="AB132">
      <formula1>0</formula1>
      <formula2>NaN</formula2>
    </dataValidation>
    <dataValidation type="decimal" allowBlank="1" showInputMessage="1" prompt="Dear Sir/ Madam - Score entered is greater than Max. Marks allotted." showErrorMessage="1" sqref="AB133">
      <formula1>0</formula1>
      <formula2>NaN</formula2>
    </dataValidation>
    <dataValidation type="decimal" allowBlank="1" showInputMessage="1" prompt="Dear Sir/ Madam - Score entered is greater than Max. Marks allotted." showErrorMessage="1" sqref="AB134">
      <formula1>0</formula1>
      <formula2>NaN</formula2>
    </dataValidation>
    <dataValidation type="decimal" allowBlank="1" showInputMessage="1" prompt="Dear Sir/ Madam - Score entered is greater than Max. Marks allotted." showErrorMessage="1" sqref="AB135">
      <formula1>0</formula1>
      <formula2>NaN</formula2>
    </dataValidation>
    <dataValidation type="decimal" allowBlank="1" showInputMessage="1" prompt="Dear Sir/ Madam - Score entered is greater than Max. Marks allotted." showErrorMessage="1" sqref="AB24">
      <formula1>0</formula1>
      <formula2>NaN</formula2>
    </dataValidation>
    <dataValidation type="decimal" allowBlank="1" showInputMessage="1" prompt="Dear Sir/ Madam - Score entered is greater than Max. Marks allotted." showErrorMessage="1" sqref="AB25">
      <formula1>0</formula1>
      <formula2>NaN</formula2>
    </dataValidation>
    <dataValidation type="decimal" allowBlank="1" showInputMessage="1" prompt="Dear Sir/ Madam - Score entered is greater than Max. Marks allotted." showErrorMessage="1" sqref="AB26">
      <formula1>0</formula1>
      <formula2>NaN</formula2>
    </dataValidation>
    <dataValidation type="decimal" allowBlank="1" showInputMessage="1" prompt="Dear Sir/ Madam - Score entered is greater than Max. Marks allotted." showErrorMessage="1" sqref="AB27">
      <formula1>0</formula1>
      <formula2>NaN</formula2>
    </dataValidation>
    <dataValidation type="decimal" allowBlank="1" showInputMessage="1" prompt="Dear Sir/ Madam - Score entered is greater than Max. Marks allotted." showErrorMessage="1" sqref="AB28">
      <formula1>0</formula1>
      <formula2>NaN</formula2>
    </dataValidation>
    <dataValidation type="decimal" allowBlank="1" showInputMessage="1" prompt="Dear Sir/ Madam - Score entered is greater than Max. Marks allotted." showErrorMessage="1" sqref="AB29">
      <formula1>0</formula1>
      <formula2>NaN</formula2>
    </dataValidation>
    <dataValidation type="decimal" allowBlank="1" showInputMessage="1" prompt="Dear Sir/ Madam - Score entered is greater than Max. Marks allotted." showErrorMessage="1" sqref="AB30">
      <formula1>0</formula1>
      <formula2>NaN</formula2>
    </dataValidation>
    <dataValidation type="decimal" allowBlank="1" showInputMessage="1" prompt="Dear Sir/ Madam - Score entered is greater than Max. Marks allotted." showErrorMessage="1" sqref="AB31">
      <formula1>0</formula1>
      <formula2>NaN</formula2>
    </dataValidation>
    <dataValidation type="decimal" allowBlank="1" showInputMessage="1" prompt="Dear Sir/ Madam - Score entered is greater than Max. Marks allotted." showErrorMessage="1" sqref="AB32">
      <formula1>0</formula1>
      <formula2>NaN</formula2>
    </dataValidation>
    <dataValidation type="decimal" allowBlank="1" showInputMessage="1" prompt="Dear Sir/ Madam - Score entered is greater than Max. Marks allotted." showErrorMessage="1" sqref="AB33">
      <formula1>0</formula1>
      <formula2>NaN</formula2>
    </dataValidation>
    <dataValidation type="decimal" allowBlank="1" showInputMessage="1" prompt="Dear Sir/ Madam - Score entered is greater than Max. Marks allotted." showErrorMessage="1" sqref="AB34">
      <formula1>0</formula1>
      <formula2>NaN</formula2>
    </dataValidation>
    <dataValidation type="decimal" allowBlank="1" showInputMessage="1" prompt="Dear Sir/ Madam - Score entered is greater than Max. Marks allotted." showErrorMessage="1" sqref="AB35">
      <formula1>0</formula1>
      <formula2>NaN</formula2>
    </dataValidation>
    <dataValidation type="decimal" allowBlank="1" showInputMessage="1" prompt="Dear Sir/ Madam - Score entered is greater than Max. Marks allotted." showErrorMessage="1" sqref="AB36">
      <formula1>0</formula1>
      <formula2>NaN</formula2>
    </dataValidation>
    <dataValidation type="decimal" allowBlank="1" showInputMessage="1" prompt="Dear Sir/ Madam - Score entered is greater than Max. Marks allotted." showErrorMessage="1" sqref="AB37">
      <formula1>0</formula1>
      <formula2>NaN</formula2>
    </dataValidation>
    <dataValidation type="decimal" allowBlank="1" showInputMessage="1" prompt="Dear Sir/ Madam - Score entered is greater than Max. Marks allotted." showErrorMessage="1" sqref="AB38">
      <formula1>0</formula1>
      <formula2>NaN</formula2>
    </dataValidation>
    <dataValidation type="decimal" allowBlank="1" showInputMessage="1" prompt="Dear Sir/ Madam - Score entered is greater than Max. Marks allotted." showErrorMessage="1" sqref="AB39">
      <formula1>0</formula1>
      <formula2>NaN</formula2>
    </dataValidation>
    <dataValidation type="decimal" allowBlank="1" showInputMessage="1" prompt="Dear Sir/ Madam - Score entered is greater than Max. Marks allotted." showErrorMessage="1" sqref="AB40">
      <formula1>0</formula1>
      <formula2>NaN</formula2>
    </dataValidation>
    <dataValidation type="decimal" allowBlank="1" showInputMessage="1" prompt="Dear Sir/ Madam - Score entered is greater than Max. Marks allotted." showErrorMessage="1" sqref="AB41">
      <formula1>0</formula1>
      <formula2>NaN</formula2>
    </dataValidation>
    <dataValidation type="decimal" allowBlank="1" showInputMessage="1" prompt="Dear Sir/ Madam - Score entered is greater than Max. Marks allotted." showErrorMessage="1" sqref="AB42">
      <formula1>0</formula1>
      <formula2>NaN</formula2>
    </dataValidation>
    <dataValidation type="decimal" allowBlank="1" showInputMessage="1" prompt="Dear Sir/ Madam - Score entered is greater than Max. Marks allotted." showErrorMessage="1" sqref="AB43">
      <formula1>0</formula1>
      <formula2>NaN</formula2>
    </dataValidation>
    <dataValidation type="decimal" allowBlank="1" showInputMessage="1" prompt="Dear Sir/ Madam - Score entered is greater than Max. Marks allotted." showErrorMessage="1" sqref="AB44">
      <formula1>0</formula1>
      <formula2>NaN</formula2>
    </dataValidation>
    <dataValidation type="decimal" allowBlank="1" showInputMessage="1" prompt="Dear Sir/ Madam - Score entered is greater than Max. Marks allotted." showErrorMessage="1" sqref="AB45">
      <formula1>0</formula1>
      <formula2>NaN</formula2>
    </dataValidation>
    <dataValidation type="decimal" allowBlank="1" showInputMessage="1" prompt="Dear Sir/ Madam - Score entered is greater than Max. Marks allotted." showErrorMessage="1" sqref="AB46">
      <formula1>0</formula1>
      <formula2>NaN</formula2>
    </dataValidation>
    <dataValidation type="decimal" allowBlank="1" showInputMessage="1" prompt="Dear Sir/ Madam - Score entered is greater than Max. Marks allotted." showErrorMessage="1" sqref="AB47">
      <formula1>0</formula1>
      <formula2>NaN</formula2>
    </dataValidation>
    <dataValidation type="decimal" allowBlank="1" showInputMessage="1" prompt="Dear Sir/ Madam - Score entered is greater than Max. Marks allotted." showErrorMessage="1" sqref="AB48">
      <formula1>0</formula1>
      <formula2>NaN</formula2>
    </dataValidation>
    <dataValidation type="decimal" allowBlank="1" showInputMessage="1" prompt="Dear Sir/ Madam - Score entered is greater than Max. Marks allotted." showErrorMessage="1" sqref="AB49">
      <formula1>0</formula1>
      <formula2>NaN</formula2>
    </dataValidation>
    <dataValidation type="decimal" allowBlank="1" showInputMessage="1" prompt="Dear Sir/ Madam - Score entered is greater than Max. Marks allotted." showErrorMessage="1" sqref="AB50">
      <formula1>0</formula1>
      <formula2>NaN</formula2>
    </dataValidation>
    <dataValidation type="decimal" allowBlank="1" showInputMessage="1" prompt="Dear Sir/ Madam - Score entered is greater than Max. Marks allotted." showErrorMessage="1" sqref="AB51">
      <formula1>0</formula1>
      <formula2>NaN</formula2>
    </dataValidation>
    <dataValidation type="decimal" allowBlank="1" showInputMessage="1" prompt="Dear Sir/ Madam - Score entered is greater than Max. Marks allotted." showErrorMessage="1" sqref="AB52">
      <formula1>0</formula1>
      <formula2>NaN</formula2>
    </dataValidation>
    <dataValidation type="decimal" allowBlank="1" showInputMessage="1" prompt="Dear Sir/ Madam - Score entered is greater than Max. Marks allotted." showErrorMessage="1" sqref="AB53">
      <formula1>0</formula1>
      <formula2>NaN</formula2>
    </dataValidation>
    <dataValidation type="decimal" allowBlank="1" showInputMessage="1" prompt="Dear Sir/ Madam - Score entered is greater than Max. Marks allotted." showErrorMessage="1" sqref="AB54">
      <formula1>0</formula1>
      <formula2>NaN</formula2>
    </dataValidation>
    <dataValidation type="decimal" allowBlank="1" showInputMessage="1" prompt="Dear Sir/ Madam - Score entered is greater than Max. Marks allotted." showErrorMessage="1" sqref="AB55">
      <formula1>0</formula1>
      <formula2>NaN</formula2>
    </dataValidation>
    <dataValidation type="decimal" allowBlank="1" showInputMessage="1" prompt="Dear Sir/ Madam - Score entered is greater than Max. Marks allotted." showErrorMessage="1" sqref="AB56">
      <formula1>0</formula1>
      <formula2>NaN</formula2>
    </dataValidation>
    <dataValidation type="decimal" allowBlank="1" showInputMessage="1" prompt="Dear Sir/ Madam - Score entered is greater than Max. Marks allotted." showErrorMessage="1" sqref="AB57">
      <formula1>0</formula1>
      <formula2>NaN</formula2>
    </dataValidation>
    <dataValidation type="decimal" allowBlank="1" showInputMessage="1" prompt="Dear Sir/ Madam - Score entered is greater than Max. Marks allotted." showErrorMessage="1" sqref="AB58">
      <formula1>0</formula1>
      <formula2>NaN</formula2>
    </dataValidation>
    <dataValidation type="decimal" allowBlank="1" showInputMessage="1" prompt="Dear Sir/ Madam - Score entered is greater than Max. Marks allotted." showErrorMessage="1" sqref="AB59">
      <formula1>0</formula1>
      <formula2>NaN</formula2>
    </dataValidation>
    <dataValidation type="decimal" allowBlank="1" showInputMessage="1" prompt="Dear Sir/ Madam - Score entered is greater than Max. Marks allotted." showErrorMessage="1" sqref="AB60">
      <formula1>0</formula1>
      <formula2>NaN</formula2>
    </dataValidation>
    <dataValidation type="decimal" allowBlank="1" showInputMessage="1" prompt="Dear Sir/ Madam - Score entered is greater than Max. Marks allotted." showErrorMessage="1" sqref="AB61">
      <formula1>0</formula1>
      <formula2>NaN</formula2>
    </dataValidation>
    <dataValidation type="decimal" allowBlank="1" showInputMessage="1" prompt="Dear Sir/ Madam - Score entered is greater than Max. Marks allotted." showErrorMessage="1" sqref="AB62">
      <formula1>0</formula1>
      <formula2>NaN</formula2>
    </dataValidation>
    <dataValidation type="decimal" allowBlank="1" showInputMessage="1" prompt="Dear Sir/ Madam - Score entered is greater than Max. Marks allotted." showErrorMessage="1" sqref="AB63">
      <formula1>0</formula1>
      <formula2>NaN</formula2>
    </dataValidation>
    <dataValidation type="decimal" allowBlank="1" showInputMessage="1" prompt="Dear Sir/ Madam - Score entered is greater than Max. Marks allotted." showErrorMessage="1" sqref="AB64">
      <formula1>0</formula1>
      <formula2>NaN</formula2>
    </dataValidation>
    <dataValidation type="decimal" allowBlank="1" showInputMessage="1" prompt="Dear Sir/ Madam - Score entered is greater than Max. Marks allotted." showErrorMessage="1" sqref="AB65">
      <formula1>0</formula1>
      <formula2>NaN</formula2>
    </dataValidation>
    <dataValidation type="decimal" allowBlank="1" showInputMessage="1" prompt="Dear Sir/ Madam - Score entered is greater than Max. Marks allotted." showErrorMessage="1" sqref="AB66">
      <formula1>0</formula1>
      <formula2>NaN</formula2>
    </dataValidation>
    <dataValidation type="decimal" allowBlank="1" showInputMessage="1" prompt="Dear Sir/ Madam - Score entered is greater than Max. Marks allotted." showErrorMessage="1" sqref="AB67">
      <formula1>0</formula1>
      <formula2>NaN</formula2>
    </dataValidation>
    <dataValidation type="decimal" allowBlank="1" showInputMessage="1" prompt="Dear Sir/ Madam - Score entered is greater than Max. Marks allotted." showErrorMessage="1" sqref="AB68">
      <formula1>0</formula1>
      <formula2>NaN</formula2>
    </dataValidation>
    <dataValidation type="decimal" allowBlank="1" showInputMessage="1" prompt="Dear Sir/ Madam - Score entered is greater than Max. Marks allotted." showErrorMessage="1" sqref="AB69">
      <formula1>0</formula1>
      <formula2>NaN</formula2>
    </dataValidation>
    <dataValidation type="decimal" allowBlank="1" showInputMessage="1" prompt="Dear Sir/ Madam - Score entered is greater than Max. Marks allotted." showErrorMessage="1" sqref="AB74">
      <formula1>0</formula1>
      <formula2>NaN</formula2>
    </dataValidation>
    <dataValidation type="decimal" allowBlank="1" showInputMessage="1" prompt="Dear Sir/ Madam - Score entered is greater than Max. Marks allotted." showErrorMessage="1" sqref="AB75">
      <formula1>0</formula1>
      <formula2>NaN</formula2>
    </dataValidation>
    <dataValidation type="decimal" allowBlank="1" showInputMessage="1" prompt="Dear Sir/ Madam - Score entered is greater than Max. Marks allotted." showErrorMessage="1" sqref="AB76">
      <formula1>0</formula1>
      <formula2>NaN</formula2>
    </dataValidation>
    <dataValidation type="decimal" allowBlank="1" showInputMessage="1" prompt="Dear Sir/ Madam - Score entered is greater than Max. Marks allotted." showErrorMessage="1" sqref="AB77">
      <formula1>0</formula1>
      <formula2>NaN</formula2>
    </dataValidation>
    <dataValidation type="decimal" allowBlank="1" showInputMessage="1" prompt="Dear Sir/ Madam - Score entered is greater than Max. Marks allotted." showErrorMessage="1" sqref="AB78">
      <formula1>0</formula1>
      <formula2>NaN</formula2>
    </dataValidation>
    <dataValidation type="decimal" allowBlank="1" showInputMessage="1" prompt="Dear Sir/ Madam - Score entered is greater than Max. Marks allotted." showErrorMessage="1" sqref="AB79">
      <formula1>0</formula1>
      <formula2>NaN</formula2>
    </dataValidation>
    <dataValidation type="decimal" allowBlank="1" showInputMessage="1" prompt="Dear Sir/ Madam - Score entered is greater than Max. Marks allotted." showErrorMessage="1" sqref="AB80">
      <formula1>0</formula1>
      <formula2>NaN</formula2>
    </dataValidation>
    <dataValidation type="decimal" allowBlank="1" showInputMessage="1" prompt="Dear Sir/ Madam - Score entered is greater than Max. Marks allotted." showErrorMessage="1" sqref="AB81">
      <formula1>0</formula1>
      <formula2>NaN</formula2>
    </dataValidation>
    <dataValidation type="decimal" allowBlank="1" showInputMessage="1" prompt="Dear Sir/ Madam - Score entered is greater than Max. Marks allotted." showErrorMessage="1" sqref="AB82">
      <formula1>0</formula1>
      <formula2>NaN</formula2>
    </dataValidation>
    <dataValidation type="decimal" allowBlank="1" showInputMessage="1" prompt="Dear Sir/ Madam - Score entered is greater than Max. Marks allotted." showErrorMessage="1" sqref="AB83">
      <formula1>0</formula1>
      <formula2>NaN</formula2>
    </dataValidation>
    <dataValidation type="decimal" allowBlank="1" showInputMessage="1" prompt="Dear Sir/ Madam - Score entered is greater than Max. Marks allotted." showErrorMessage="1" sqref="AB84">
      <formula1>0</formula1>
      <formula2>NaN</formula2>
    </dataValidation>
    <dataValidation type="decimal" allowBlank="1" showInputMessage="1" prompt="Dear Sir/ Madam - Score entered is greater than Max. Marks allotted." showErrorMessage="1" sqref="AB85">
      <formula1>0</formula1>
      <formula2>NaN</formula2>
    </dataValidation>
    <dataValidation type="decimal" allowBlank="1" showInputMessage="1" prompt="Dear Sir/ Madam - Score entered is greater than Max. Marks allotted." showErrorMessage="1" sqref="AB86">
      <formula1>0</formula1>
      <formula2>NaN</formula2>
    </dataValidation>
    <dataValidation type="decimal" allowBlank="1" showInputMessage="1" prompt="Dear Sir/ Madam - Score entered is greater than Max. Marks allotted." showErrorMessage="1" sqref="AB87">
      <formula1>0</formula1>
      <formula2>NaN</formula2>
    </dataValidation>
    <dataValidation type="decimal" allowBlank="1" showInputMessage="1" prompt="Dear Sir/ Madam - Score entered is greater than Max. Marks allotted." showErrorMessage="1" sqref="AB88">
      <formula1>0</formula1>
      <formula2>NaN</formula2>
    </dataValidation>
    <dataValidation type="decimal" allowBlank="1" showInputMessage="1" prompt="Dear Sir/ Madam - Score entered is greater than Max. Marks allotted." showErrorMessage="1" sqref="AB89">
      <formula1>0</formula1>
      <formula2>NaN</formula2>
    </dataValidation>
    <dataValidation type="decimal" allowBlank="1" showInputMessage="1" prompt="Dear Sir/ Madam - Score entered is greater than Max. Marks allotted." showErrorMessage="1" sqref="AB90">
      <formula1>0</formula1>
      <formula2>NaN</formula2>
    </dataValidation>
    <dataValidation type="decimal" allowBlank="1" showInputMessage="1" prompt="Dear Sir/ Madam - Score entered is greater than Max. Marks allotted." showErrorMessage="1" sqref="AB91">
      <formula1>0</formula1>
      <formula2>NaN</formula2>
    </dataValidation>
    <dataValidation type="decimal" allowBlank="1" showInputMessage="1" prompt="Dear Sir/ Madam - Score entered is greater than Max. Marks allotted." showErrorMessage="1" sqref="AB92">
      <formula1>0</formula1>
      <formula2>NaN</formula2>
    </dataValidation>
    <dataValidation type="decimal" allowBlank="1" showInputMessage="1" prompt="Dear Sir/ Madam - Score entered is greater than Max. Marks allotted." showErrorMessage="1" sqref="AB93">
      <formula1>0</formula1>
      <formula2>NaN</formula2>
    </dataValidation>
    <dataValidation type="decimal" allowBlank="1" showInputMessage="1" prompt="Dear Sir/ Madam - Score entered is greater than Max. Marks allotted." showErrorMessage="1" sqref="AB94">
      <formula1>0</formula1>
      <formula2>NaN</formula2>
    </dataValidation>
    <dataValidation type="decimal" allowBlank="1" showInputMessage="1" prompt="Dear Sir/ Madam - Score entered is greater than Max. Marks allotted." showErrorMessage="1" sqref="AB95">
      <formula1>0</formula1>
      <formula2>NaN</formula2>
    </dataValidation>
    <dataValidation type="decimal" allowBlank="1" showInputMessage="1" prompt="Dear Sir/ Madam - Score entered is greater than Max. Marks allotted." showErrorMessage="1" sqref="AB96">
      <formula1>0</formula1>
      <formula2>NaN</formula2>
    </dataValidation>
    <dataValidation type="decimal" allowBlank="1" showInputMessage="1" prompt="Dear Sir/ Madam - Score entered is greater than Max. Marks allotted." showErrorMessage="1" sqref="AB97">
      <formula1>0</formula1>
      <formula2>NaN</formula2>
    </dataValidation>
    <dataValidation type="decimal" allowBlank="1" showInputMessage="1" prompt="Dear Sir/ Madam - Score entered is greater than Max. Marks allotted." showErrorMessage="1" sqref="AB98">
      <formula1>0</formula1>
      <formula2>NaN</formula2>
    </dataValidation>
    <dataValidation type="decimal" allowBlank="1" showInputMessage="1" prompt="Dear Sir/ Madam - Score entered is greater than Max. Marks allotted." showErrorMessage="1" sqref="AB99">
      <formula1>0</formula1>
      <formula2>NaN</formula2>
    </dataValidation>
    <dataValidation type="decimal" allowBlank="1" showInputMessage="1" prompt="Dear Sir/ Madam - Score entered is greater than Max. Marks allotted." showErrorMessage="1" sqref="AC108">
      <formula1>0</formula1>
      <formula2>NaN</formula2>
    </dataValidation>
    <dataValidation type="decimal" allowBlank="1" showInputMessage="1" prompt="Dear Sir/ Madam - Score entered is greater than Max. Marks allotted." showErrorMessage="1" sqref="AC109">
      <formula1>0</formula1>
      <formula2>NaN</formula2>
    </dataValidation>
    <dataValidation type="decimal" allowBlank="1" showInputMessage="1" prompt="Dear Sir/ Madam - Score entered is greater than Max. Marks allotted." showErrorMessage="1" sqref="AC110">
      <formula1>0</formula1>
      <formula2>NaN</formula2>
    </dataValidation>
    <dataValidation type="decimal" allowBlank="1" showInputMessage="1" prompt="Dear Sir/ Madam - Score entered is greater than Max. Marks allotted." showErrorMessage="1" sqref="AC111">
      <formula1>0</formula1>
      <formula2>NaN</formula2>
    </dataValidation>
    <dataValidation type="decimal" allowBlank="1" showInputMessage="1" prompt="Dear Sir/ Madam - Score entered is greater than Max. Marks allotted." showErrorMessage="1" sqref="AC112">
      <formula1>0</formula1>
      <formula2>NaN</formula2>
    </dataValidation>
    <dataValidation type="decimal" allowBlank="1" showInputMessage="1" prompt="Dear Sir/ Madam - Score entered is greater than Max. Marks allotted." showErrorMessage="1" sqref="AC113">
      <formula1>0</formula1>
      <formula2>NaN</formula2>
    </dataValidation>
    <dataValidation type="decimal" allowBlank="1" showInputMessage="1" prompt="Dear Sir/ Madam - Score entered is greater than Max. Marks allotted." showErrorMessage="1" sqref="AC114">
      <formula1>0</formula1>
      <formula2>NaN</formula2>
    </dataValidation>
    <dataValidation type="decimal" allowBlank="1" showInputMessage="1" prompt="Dear Sir/ Madam - Score entered is greater than Max. Marks allotted." showErrorMessage="1" sqref="AC115">
      <formula1>0</formula1>
      <formula2>NaN</formula2>
    </dataValidation>
    <dataValidation type="decimal" allowBlank="1" showInputMessage="1" prompt="Dear Sir/ Madam - Score entered is greater than Max. Marks allotted." showErrorMessage="1" sqref="AC116">
      <formula1>0</formula1>
      <formula2>NaN</formula2>
    </dataValidation>
    <dataValidation type="decimal" allowBlank="1" showInputMessage="1" prompt="Dear Sir/ Madam - Score entered is greater than Max. Marks allotted." showErrorMessage="1" sqref="AC117">
      <formula1>0</formula1>
      <formula2>NaN</formula2>
    </dataValidation>
    <dataValidation type="decimal" allowBlank="1" showInputMessage="1" prompt="Dear Sir/ Madam - Score entered is greater than Max. Marks allotted." showErrorMessage="1" sqref="AC118">
      <formula1>0</formula1>
      <formula2>NaN</formula2>
    </dataValidation>
    <dataValidation type="decimal" allowBlank="1" showInputMessage="1" prompt="Dear Sir/ Madam - Score entered is greater than Max. Marks allotted." showErrorMessage="1" sqref="AC119">
      <formula1>0</formula1>
      <formula2>NaN</formula2>
    </dataValidation>
    <dataValidation type="decimal" allowBlank="1" showInputMessage="1" prompt="Dear Sir/ Madam - Score entered is greater than Max. Marks allotted." showErrorMessage="1" sqref="AC120">
      <formula1>0</formula1>
      <formula2>NaN</formula2>
    </dataValidation>
    <dataValidation type="decimal" allowBlank="1" showInputMessage="1" prompt="Dear Sir/ Madam - Score entered is greater than Max. Marks allotted." showErrorMessage="1" sqref="AC121">
      <formula1>0</formula1>
      <formula2>NaN</formula2>
    </dataValidation>
    <dataValidation type="decimal" allowBlank="1" showInputMessage="1" prompt="Dear Sir/ Madam - Score entered is greater than Max. Marks allotted." showErrorMessage="1" sqref="AC122">
      <formula1>0</formula1>
      <formula2>NaN</formula2>
    </dataValidation>
    <dataValidation type="decimal" allowBlank="1" showInputMessage="1" prompt="Dear Sir/ Madam - Score entered is greater than Max. Marks allotted." showErrorMessage="1" sqref="AC123">
      <formula1>0</formula1>
      <formula2>NaN</formula2>
    </dataValidation>
    <dataValidation type="decimal" allowBlank="1" showInputMessage="1" prompt="Dear Sir/ Madam - Score entered is greater than Max. Marks allotted." showErrorMessage="1" sqref="AC124">
      <formula1>0</formula1>
      <formula2>NaN</formula2>
    </dataValidation>
    <dataValidation type="decimal" allowBlank="1" showInputMessage="1" prompt="Dear Sir/ Madam - Score entered is greater than Max. Marks allotted." showErrorMessage="1" sqref="AC125">
      <formula1>0</formula1>
      <formula2>NaN</formula2>
    </dataValidation>
    <dataValidation type="decimal" allowBlank="1" showInputMessage="1" prompt="Dear Sir/ Madam - Score entered is greater than Max. Marks allotted." showErrorMessage="1" sqref="AC126">
      <formula1>0</formula1>
      <formula2>NaN</formula2>
    </dataValidation>
    <dataValidation type="decimal" allowBlank="1" showInputMessage="1" prompt="Dear Sir/ Madam - Score entered is greater than Max. Marks allotted." showErrorMessage="1" sqref="AC127">
      <formula1>0</formula1>
      <formula2>NaN</formula2>
    </dataValidation>
    <dataValidation type="decimal" allowBlank="1" showInputMessage="1" prompt="Dear Sir/ Madam - Score entered is greater than Max. Marks allotted." showErrorMessage="1" sqref="AC128">
      <formula1>0</formula1>
      <formula2>NaN</formula2>
    </dataValidation>
    <dataValidation type="decimal" allowBlank="1" showInputMessage="1" prompt="Dear Sir/ Madam - Score entered is greater than Max. Marks allotted." showErrorMessage="1" sqref="AC129">
      <formula1>0</formula1>
      <formula2>NaN</formula2>
    </dataValidation>
    <dataValidation type="decimal" allowBlank="1" showInputMessage="1" prompt="Dear Sir/ Madam - Score entered is greater than Max. Marks allotted." showErrorMessage="1" sqref="AC130">
      <formula1>0</formula1>
      <formula2>NaN</formula2>
    </dataValidation>
    <dataValidation type="decimal" allowBlank="1" showInputMessage="1" prompt="Dear Sir/ Madam - Score entered is greater than Max. Marks allotted." showErrorMessage="1" sqref="AC131">
      <formula1>0</formula1>
      <formula2>NaN</formula2>
    </dataValidation>
    <dataValidation type="decimal" allowBlank="1" showInputMessage="1" prompt="Dear Sir/ Madam - Score entered is greater than Max. Marks allotted." showErrorMessage="1" sqref="AC132">
      <formula1>0</formula1>
      <formula2>NaN</formula2>
    </dataValidation>
    <dataValidation type="decimal" allowBlank="1" showInputMessage="1" prompt="Dear Sir/ Madam - Score entered is greater than Max. Marks allotted." showErrorMessage="1" sqref="AC133">
      <formula1>0</formula1>
      <formula2>NaN</formula2>
    </dataValidation>
    <dataValidation type="decimal" allowBlank="1" showInputMessage="1" prompt="Dear Sir/ Madam - Score entered is greater than Max. Marks allotted." showErrorMessage="1" sqref="AC134">
      <formula1>0</formula1>
      <formula2>NaN</formula2>
    </dataValidation>
    <dataValidation type="decimal" allowBlank="1" showInputMessage="1" prompt="Dear Sir/ Madam - Score entered is greater than Max. Marks allotted." showErrorMessage="1" sqref="AC135">
      <formula1>0</formula1>
      <formula2>NaN</formula2>
    </dataValidation>
    <dataValidation type="decimal" allowBlank="1" showInputMessage="1" prompt="Dear Sir/ Madam - Score entered is greater than Max. Marks allotted." showErrorMessage="1" sqref="AD108">
      <formula1>0</formula1>
      <formula2>NaN</formula2>
    </dataValidation>
    <dataValidation type="decimal" allowBlank="1" showInputMessage="1" prompt="Dear Sir/ Madam - Score entered is greater than Max. Marks allotted." showErrorMessage="1" sqref="AD109">
      <formula1>0</formula1>
      <formula2>NaN</formula2>
    </dataValidation>
    <dataValidation type="decimal" allowBlank="1" showInputMessage="1" prompt="Dear Sir/ Madam - Score entered is greater than Max. Marks allotted." showErrorMessage="1" sqref="AD110">
      <formula1>0</formula1>
      <formula2>NaN</formula2>
    </dataValidation>
    <dataValidation type="decimal" allowBlank="1" showInputMessage="1" prompt="Dear Sir/ Madam - Score entered is greater than Max. Marks allotted." showErrorMessage="1" sqref="AD111">
      <formula1>0</formula1>
      <formula2>NaN</formula2>
    </dataValidation>
    <dataValidation type="decimal" allowBlank="1" showInputMessage="1" prompt="Dear Sir/ Madam - Score entered is greater than Max. Marks allotted." showErrorMessage="1" sqref="AD112">
      <formula1>0</formula1>
      <formula2>NaN</formula2>
    </dataValidation>
    <dataValidation type="decimal" allowBlank="1" showInputMessage="1" prompt="Dear Sir/ Madam - Score entered is greater than Max. Marks allotted." showErrorMessage="1" sqref="AD113">
      <formula1>0</formula1>
      <formula2>NaN</formula2>
    </dataValidation>
    <dataValidation type="decimal" allowBlank="1" showInputMessage="1" prompt="Dear Sir/ Madam - Score entered is greater than Max. Marks allotted." showErrorMessage="1" sqref="AD114">
      <formula1>0</formula1>
      <formula2>NaN</formula2>
    </dataValidation>
    <dataValidation type="decimal" allowBlank="1" showInputMessage="1" prompt="Dear Sir/ Madam - Score entered is greater than Max. Marks allotted." showErrorMessage="1" sqref="AD115">
      <formula1>0</formula1>
      <formula2>NaN</formula2>
    </dataValidation>
    <dataValidation type="decimal" allowBlank="1" showInputMessage="1" prompt="Dear Sir/ Madam - Score entered is greater than Max. Marks allotted." showErrorMessage="1" sqref="AD116">
      <formula1>0</formula1>
      <formula2>NaN</formula2>
    </dataValidation>
    <dataValidation type="decimal" allowBlank="1" showInputMessage="1" prompt="Dear Sir/ Madam - Score entered is greater than Max. Marks allotted." showErrorMessage="1" sqref="AD117">
      <formula1>0</formula1>
      <formula2>NaN</formula2>
    </dataValidation>
    <dataValidation type="decimal" allowBlank="1" showInputMessage="1" prompt="Dear Sir/ Madam - Score entered is greater than Max. Marks allotted." showErrorMessage="1" sqref="AD118">
      <formula1>0</formula1>
      <formula2>NaN</formula2>
    </dataValidation>
    <dataValidation type="decimal" allowBlank="1" showInputMessage="1" prompt="Dear Sir/ Madam - Score entered is greater than Max. Marks allotted." showErrorMessage="1" sqref="AD119">
      <formula1>0</formula1>
      <formula2>NaN</formula2>
    </dataValidation>
    <dataValidation type="decimal" allowBlank="1" showInputMessage="1" prompt="Dear Sir/ Madam - Score entered is greater than Max. Marks allotted." showErrorMessage="1" sqref="AD120">
      <formula1>0</formula1>
      <formula2>NaN</formula2>
    </dataValidation>
    <dataValidation type="decimal" allowBlank="1" showInputMessage="1" prompt="Dear Sir/ Madam - Score entered is greater than Max. Marks allotted." showErrorMessage="1" sqref="AD121">
      <formula1>0</formula1>
      <formula2>NaN</formula2>
    </dataValidation>
    <dataValidation type="decimal" allowBlank="1" showInputMessage="1" prompt="Dear Sir/ Madam - Score entered is greater than Max. Marks allotted." showErrorMessage="1" sqref="AD122">
      <formula1>0</formula1>
      <formula2>NaN</formula2>
    </dataValidation>
    <dataValidation type="decimal" allowBlank="1" showInputMessage="1" prompt="Dear Sir/ Madam - Score entered is greater than Max. Marks allotted." showErrorMessage="1" sqref="AD123">
      <formula1>0</formula1>
      <formula2>NaN</formula2>
    </dataValidation>
    <dataValidation type="decimal" allowBlank="1" showInputMessage="1" prompt="Dear Sir/ Madam - Score entered is greater than Max. Marks allotted." showErrorMessage="1" sqref="AD124">
      <formula1>0</formula1>
      <formula2>NaN</formula2>
    </dataValidation>
    <dataValidation type="decimal" allowBlank="1" showInputMessage="1" prompt="Dear Sir/ Madam - Score entered is greater than Max. Marks allotted." showErrorMessage="1" sqref="AD125">
      <formula1>0</formula1>
      <formula2>NaN</formula2>
    </dataValidation>
    <dataValidation type="decimal" allowBlank="1" showInputMessage="1" prompt="Dear Sir/ Madam - Score entered is greater than Max. Marks allotted." showErrorMessage="1" sqref="AD126">
      <formula1>0</formula1>
      <formula2>NaN</formula2>
    </dataValidation>
    <dataValidation type="decimal" allowBlank="1" showInputMessage="1" prompt="Dear Sir/ Madam - Score entered is greater than Max. Marks allotted." showErrorMessage="1" sqref="AD127">
      <formula1>0</formula1>
      <formula2>NaN</formula2>
    </dataValidation>
    <dataValidation type="decimal" allowBlank="1" showInputMessage="1" prompt="Dear Sir/ Madam - Score entered is greater than Max. Marks allotted." showErrorMessage="1" sqref="AD128">
      <formula1>0</formula1>
      <formula2>NaN</formula2>
    </dataValidation>
    <dataValidation type="decimal" allowBlank="1" showInputMessage="1" prompt="Dear Sir/ Madam - Score entered is greater than Max. Marks allotted." showErrorMessage="1" sqref="AD129">
      <formula1>0</formula1>
      <formula2>NaN</formula2>
    </dataValidation>
    <dataValidation type="decimal" allowBlank="1" showInputMessage="1" prompt="Dear Sir/ Madam - Score entered is greater than Max. Marks allotted." showErrorMessage="1" sqref="AD130">
      <formula1>0</formula1>
      <formula2>NaN</formula2>
    </dataValidation>
    <dataValidation type="decimal" allowBlank="1" showInputMessage="1" prompt="Dear Sir/ Madam - Score entered is greater than Max. Marks allotted." showErrorMessage="1" sqref="AD131">
      <formula1>0</formula1>
      <formula2>NaN</formula2>
    </dataValidation>
    <dataValidation type="decimal" allowBlank="1" showInputMessage="1" prompt="Dear Sir/ Madam - Score entered is greater than Max. Marks allotted." showErrorMessage="1" sqref="AD132">
      <formula1>0</formula1>
      <formula2>NaN</formula2>
    </dataValidation>
    <dataValidation type="decimal" allowBlank="1" showInputMessage="1" prompt="Dear Sir/ Madam - Score entered is greater than Max. Marks allotted." showErrorMessage="1" sqref="AD133">
      <formula1>0</formula1>
      <formula2>NaN</formula2>
    </dataValidation>
    <dataValidation type="decimal" allowBlank="1" showInputMessage="1" prompt="Dear Sir/ Madam - Score entered is greater than Max. Marks allotted." showErrorMessage="1" sqref="AD134">
      <formula1>0</formula1>
      <formula2>NaN</formula2>
    </dataValidation>
    <dataValidation type="decimal" allowBlank="1" showInputMessage="1" prompt="Dear Sir/ Madam - Score entered is greater than Max. Marks allotted." showErrorMessage="1" sqref="AD135">
      <formula1>0</formula1>
      <formula2>NaN</formula2>
    </dataValidation>
    <dataValidation type="decimal" allowBlank="1" showInputMessage="1" prompt="Dear Sir/ Madam - Score entered is greater than Max. Marks allotted." showErrorMessage="1" sqref="AE108">
      <formula1>0</formula1>
      <formula2>NaN</formula2>
    </dataValidation>
    <dataValidation type="decimal" allowBlank="1" showInputMessage="1" prompt="Dear Sir/ Madam - Score entered is greater than Max. Marks allotted." showErrorMessage="1" sqref="AE109">
      <formula1>0</formula1>
      <formula2>NaN</formula2>
    </dataValidation>
    <dataValidation type="decimal" allowBlank="1" showInputMessage="1" prompt="Dear Sir/ Madam - Score entered is greater than Max. Marks allotted." showErrorMessage="1" sqref="AE110">
      <formula1>0</formula1>
      <formula2>NaN</formula2>
    </dataValidation>
    <dataValidation type="decimal" allowBlank="1" showInputMessage="1" prompt="Dear Sir/ Madam - Score entered is greater than Max. Marks allotted." showErrorMessage="1" sqref="AE111">
      <formula1>0</formula1>
      <formula2>NaN</formula2>
    </dataValidation>
    <dataValidation type="decimal" allowBlank="1" showInputMessage="1" prompt="Dear Sir/ Madam - Score entered is greater than Max. Marks allotted." showErrorMessage="1" sqref="AE112">
      <formula1>0</formula1>
      <formula2>NaN</formula2>
    </dataValidation>
    <dataValidation type="decimal" allowBlank="1" showInputMessage="1" prompt="Dear Sir/ Madam - Score entered is greater than Max. Marks allotted." showErrorMessage="1" sqref="AE113">
      <formula1>0</formula1>
      <formula2>NaN</formula2>
    </dataValidation>
    <dataValidation type="decimal" allowBlank="1" showInputMessage="1" prompt="Dear Sir/ Madam - Score entered is greater than Max. Marks allotted." showErrorMessage="1" sqref="AE114">
      <formula1>0</formula1>
      <formula2>NaN</formula2>
    </dataValidation>
    <dataValidation type="decimal" allowBlank="1" showInputMessage="1" prompt="Dear Sir/ Madam - Score entered is greater than Max. Marks allotted." showErrorMessage="1" sqref="AE115">
      <formula1>0</formula1>
      <formula2>NaN</formula2>
    </dataValidation>
    <dataValidation type="decimal" allowBlank="1" showInputMessage="1" prompt="Dear Sir/ Madam - Score entered is greater than Max. Marks allotted." showErrorMessage="1" sqref="AE116">
      <formula1>0</formula1>
      <formula2>NaN</formula2>
    </dataValidation>
    <dataValidation type="decimal" allowBlank="1" showInputMessage="1" prompt="Dear Sir/ Madam - Score entered is greater than Max. Marks allotted." showErrorMessage="1" sqref="AE117">
      <formula1>0</formula1>
      <formula2>NaN</formula2>
    </dataValidation>
    <dataValidation type="decimal" allowBlank="1" showInputMessage="1" prompt="Dear Sir/ Madam - Score entered is greater than Max. Marks allotted." showErrorMessage="1" sqref="AE118">
      <formula1>0</formula1>
      <formula2>NaN</formula2>
    </dataValidation>
    <dataValidation type="decimal" allowBlank="1" showInputMessage="1" prompt="Dear Sir/ Madam - Score entered is greater than Max. Marks allotted." showErrorMessage="1" sqref="AE119">
      <formula1>0</formula1>
      <formula2>NaN</formula2>
    </dataValidation>
    <dataValidation type="decimal" allowBlank="1" showInputMessage="1" prompt="Dear Sir/ Madam - Score entered is greater than Max. Marks allotted." showErrorMessage="1" sqref="AE120">
      <formula1>0</formula1>
      <formula2>NaN</formula2>
    </dataValidation>
    <dataValidation type="decimal" allowBlank="1" showInputMessage="1" prompt="Dear Sir/ Madam - Score entered is greater than Max. Marks allotted." showErrorMessage="1" sqref="AE121">
      <formula1>0</formula1>
      <formula2>NaN</formula2>
    </dataValidation>
    <dataValidation type="decimal" allowBlank="1" showInputMessage="1" prompt="Dear Sir/ Madam - Score entered is greater than Max. Marks allotted." showErrorMessage="1" sqref="AE122">
      <formula1>0</formula1>
      <formula2>NaN</formula2>
    </dataValidation>
    <dataValidation type="decimal" allowBlank="1" showInputMessage="1" prompt="Dear Sir/ Madam - Score entered is greater than Max. Marks allotted." showErrorMessage="1" sqref="AE123">
      <formula1>0</formula1>
      <formula2>NaN</formula2>
    </dataValidation>
    <dataValidation type="decimal" allowBlank="1" showInputMessage="1" prompt="Dear Sir/ Madam - Score entered is greater than Max. Marks allotted." showErrorMessage="1" sqref="AE124">
      <formula1>0</formula1>
      <formula2>NaN</formula2>
    </dataValidation>
    <dataValidation type="decimal" allowBlank="1" showInputMessage="1" prompt="Dear Sir/ Madam - Score entered is greater than Max. Marks allotted." showErrorMessage="1" sqref="AE125">
      <formula1>0</formula1>
      <formula2>NaN</formula2>
    </dataValidation>
    <dataValidation type="decimal" allowBlank="1" showInputMessage="1" prompt="Dear Sir/ Madam - Score entered is greater than Max. Marks allotted." showErrorMessage="1" sqref="AE126">
      <formula1>0</formula1>
      <formula2>NaN</formula2>
    </dataValidation>
    <dataValidation type="decimal" allowBlank="1" showInputMessage="1" prompt="Dear Sir/ Madam - Score entered is greater than Max. Marks allotted." showErrorMessage="1" sqref="AE127">
      <formula1>0</formula1>
      <formula2>NaN</formula2>
    </dataValidation>
    <dataValidation type="decimal" allowBlank="1" showInputMessage="1" prompt="Dear Sir/ Madam - Score entered is greater than Max. Marks allotted." showErrorMessage="1" sqref="AE128">
      <formula1>0</formula1>
      <formula2>NaN</formula2>
    </dataValidation>
    <dataValidation type="decimal" allowBlank="1" showInputMessage="1" prompt="Dear Sir/ Madam - Score entered is greater than Max. Marks allotted." showErrorMessage="1" sqref="AE129">
      <formula1>0</formula1>
      <formula2>NaN</formula2>
    </dataValidation>
    <dataValidation type="decimal" allowBlank="1" showInputMessage="1" prompt="Dear Sir/ Madam - Score entered is greater than Max. Marks allotted." showErrorMessage="1" sqref="AE130">
      <formula1>0</formula1>
      <formula2>NaN</formula2>
    </dataValidation>
    <dataValidation type="decimal" allowBlank="1" showInputMessage="1" prompt="Dear Sir/ Madam - Score entered is greater than Max. Marks allotted." showErrorMessage="1" sqref="AE131">
      <formula1>0</formula1>
      <formula2>NaN</formula2>
    </dataValidation>
    <dataValidation type="decimal" allowBlank="1" showInputMessage="1" prompt="Dear Sir/ Madam - Score entered is greater than Max. Marks allotted." showErrorMessage="1" sqref="AE132">
      <formula1>0</formula1>
      <formula2>NaN</formula2>
    </dataValidation>
    <dataValidation type="decimal" allowBlank="1" showInputMessage="1" prompt="Dear Sir/ Madam - Score entered is greater than Max. Marks allotted." showErrorMessage="1" sqref="AE133">
      <formula1>0</formula1>
      <formula2>NaN</formula2>
    </dataValidation>
    <dataValidation type="decimal" allowBlank="1" showInputMessage="1" prompt="Dear Sir/ Madam - Score entered is greater than Max. Marks allotted." showErrorMessage="1" sqref="AE134">
      <formula1>0</formula1>
      <formula2>NaN</formula2>
    </dataValidation>
    <dataValidation type="decimal" allowBlank="1" showInputMessage="1" prompt="Dear Sir/ Madam - Score entered is greater than Max. Marks allotted." showErrorMessage="1" sqref="AE135">
      <formula1>0</formula1>
      <formula2>NaN</formula2>
    </dataValidation>
    <dataValidation type="decimal" allowBlank="1" showInputMessage="1" prompt="Dear Sir/ Madam - Score entered is greater than Max. Marks allotted." showErrorMessage="1" sqref="AF108">
      <formula1>0</formula1>
      <formula2>NaN</formula2>
    </dataValidation>
    <dataValidation type="decimal" allowBlank="1" showInputMessage="1" prompt="Dear Sir/ Madam - Score entered is greater than Max. Marks allotted." showErrorMessage="1" sqref="AF109">
      <formula1>0</formula1>
      <formula2>NaN</formula2>
    </dataValidation>
    <dataValidation type="decimal" allowBlank="1" showInputMessage="1" prompt="Dear Sir/ Madam - Score entered is greater than Max. Marks allotted." showErrorMessage="1" sqref="AF110">
      <formula1>0</formula1>
      <formula2>NaN</formula2>
    </dataValidation>
    <dataValidation type="decimal" allowBlank="1" showInputMessage="1" prompt="Dear Sir/ Madam - Score entered is greater than Max. Marks allotted." showErrorMessage="1" sqref="AF111">
      <formula1>0</formula1>
      <formula2>NaN</formula2>
    </dataValidation>
    <dataValidation type="decimal" allowBlank="1" showInputMessage="1" prompt="Dear Sir/ Madam - Score entered is greater than Max. Marks allotted." showErrorMessage="1" sqref="AF112">
      <formula1>0</formula1>
      <formula2>NaN</formula2>
    </dataValidation>
    <dataValidation type="decimal" allowBlank="1" showInputMessage="1" prompt="Dear Sir/ Madam - Score entered is greater than Max. Marks allotted." showErrorMessage="1" sqref="AF113">
      <formula1>0</formula1>
      <formula2>NaN</formula2>
    </dataValidation>
    <dataValidation type="decimal" allowBlank="1" showInputMessage="1" prompt="Dear Sir/ Madam - Score entered is greater than Max. Marks allotted." showErrorMessage="1" sqref="AF114">
      <formula1>0</formula1>
      <formula2>NaN</formula2>
    </dataValidation>
    <dataValidation type="decimal" allowBlank="1" showInputMessage="1" prompt="Dear Sir/ Madam - Score entered is greater than Max. Marks allotted." showErrorMessage="1" sqref="AF115">
      <formula1>0</formula1>
      <formula2>NaN</formula2>
    </dataValidation>
    <dataValidation type="decimal" allowBlank="1" showInputMessage="1" prompt="Dear Sir/ Madam - Score entered is greater than Max. Marks allotted." showErrorMessage="1" sqref="AF116">
      <formula1>0</formula1>
      <formula2>NaN</formula2>
    </dataValidation>
    <dataValidation type="decimal" allowBlank="1" showInputMessage="1" prompt="Dear Sir/ Madam - Score entered is greater than Max. Marks allotted." showErrorMessage="1" sqref="AF117">
      <formula1>0</formula1>
      <formula2>NaN</formula2>
    </dataValidation>
    <dataValidation type="decimal" allowBlank="1" showInputMessage="1" prompt="Dear Sir/ Madam - Score entered is greater than Max. Marks allotted." showErrorMessage="1" sqref="AF118">
      <formula1>0</formula1>
      <formula2>NaN</formula2>
    </dataValidation>
    <dataValidation type="decimal" allowBlank="1" showInputMessage="1" prompt="Dear Sir/ Madam - Score entered is greater than Max. Marks allotted." showErrorMessage="1" sqref="AF119">
      <formula1>0</formula1>
      <formula2>NaN</formula2>
    </dataValidation>
    <dataValidation type="decimal" allowBlank="1" showInputMessage="1" prompt="Dear Sir/ Madam - Score entered is greater than Max. Marks allotted." showErrorMessage="1" sqref="AF120">
      <formula1>0</formula1>
      <formula2>NaN</formula2>
    </dataValidation>
    <dataValidation type="decimal" allowBlank="1" showInputMessage="1" prompt="Dear Sir/ Madam - Score entered is greater than Max. Marks allotted." showErrorMessage="1" sqref="AF121">
      <formula1>0</formula1>
      <formula2>NaN</formula2>
    </dataValidation>
    <dataValidation type="decimal" allowBlank="1" showInputMessage="1" prompt="Dear Sir/ Madam - Score entered is greater than Max. Marks allotted." showErrorMessage="1" sqref="AF122">
      <formula1>0</formula1>
      <formula2>NaN</formula2>
    </dataValidation>
    <dataValidation type="decimal" allowBlank="1" showInputMessage="1" prompt="Dear Sir/ Madam - Score entered is greater than Max. Marks allotted." showErrorMessage="1" sqref="AF123">
      <formula1>0</formula1>
      <formula2>NaN</formula2>
    </dataValidation>
    <dataValidation type="decimal" allowBlank="1" showInputMessage="1" prompt="Dear Sir/ Madam - Score entered is greater than Max. Marks allotted." showErrorMessage="1" sqref="AF124">
      <formula1>0</formula1>
      <formula2>NaN</formula2>
    </dataValidation>
    <dataValidation type="decimal" allowBlank="1" showInputMessage="1" prompt="Dear Sir/ Madam - Score entered is greater than Max. Marks allotted." showErrorMessage="1" sqref="AF125">
      <formula1>0</formula1>
      <formula2>NaN</formula2>
    </dataValidation>
    <dataValidation type="decimal" allowBlank="1" showInputMessage="1" prompt="Dear Sir/ Madam - Score entered is greater than Max. Marks allotted." showErrorMessage="1" sqref="AF126">
      <formula1>0</formula1>
      <formula2>NaN</formula2>
    </dataValidation>
    <dataValidation type="decimal" allowBlank="1" showInputMessage="1" prompt="Dear Sir/ Madam - Score entered is greater than Max. Marks allotted." showErrorMessage="1" sqref="AF127">
      <formula1>0</formula1>
      <formula2>NaN</formula2>
    </dataValidation>
    <dataValidation type="decimal" allowBlank="1" showInputMessage="1" prompt="Dear Sir/ Madam - Score entered is greater than Max. Marks allotted." showErrorMessage="1" sqref="AF128">
      <formula1>0</formula1>
      <formula2>NaN</formula2>
    </dataValidation>
    <dataValidation type="decimal" allowBlank="1" showInputMessage="1" prompt="Dear Sir/ Madam - Score entered is greater than Max. Marks allotted." showErrorMessage="1" sqref="AF129">
      <formula1>0</formula1>
      <formula2>NaN</formula2>
    </dataValidation>
    <dataValidation type="decimal" allowBlank="1" showInputMessage="1" prompt="Dear Sir/ Madam - Score entered is greater than Max. Marks allotted." showErrorMessage="1" sqref="AF130">
      <formula1>0</formula1>
      <formula2>NaN</formula2>
    </dataValidation>
    <dataValidation type="decimal" allowBlank="1" showInputMessage="1" prompt="Dear Sir/ Madam - Score entered is greater than Max. Marks allotted." showErrorMessage="1" sqref="AF131">
      <formula1>0</formula1>
      <formula2>NaN</formula2>
    </dataValidation>
    <dataValidation type="decimal" allowBlank="1" showInputMessage="1" prompt="Dear Sir/ Madam - Score entered is greater than Max. Marks allotted." showErrorMessage="1" sqref="AF132">
      <formula1>0</formula1>
      <formula2>NaN</formula2>
    </dataValidation>
    <dataValidation type="decimal" allowBlank="1" showInputMessage="1" prompt="Dear Sir/ Madam - Score entered is greater than Max. Marks allotted." showErrorMessage="1" sqref="AF133">
      <formula1>0</formula1>
      <formula2>NaN</formula2>
    </dataValidation>
    <dataValidation type="decimal" allowBlank="1" showInputMessage="1" prompt="Dear Sir/ Madam - Score entered is greater than Max. Marks allotted." showErrorMessage="1" sqref="AF134">
      <formula1>0</formula1>
      <formula2>NaN</formula2>
    </dataValidation>
    <dataValidation type="decimal" allowBlank="1" showInputMessage="1" prompt="Dear Sir/ Madam - Score entered is greater than Max. Marks allotted." showErrorMessage="1" sqref="AF135">
      <formula1>0</formula1>
      <formula2>NaN</formula2>
    </dataValidation>
    <dataValidation type="decimal" allowBlank="1" showInputMessage="1" prompt="Dear Sir/ Madam - Score entered is greater than Max. Marks allotted." showErrorMessage="1" sqref="AG108">
      <formula1>0</formula1>
      <formula2>NaN</formula2>
    </dataValidation>
    <dataValidation type="decimal" allowBlank="1" showInputMessage="1" prompt="Dear Sir/ Madam - Score entered is greater than Max. Marks allotted." showErrorMessage="1" sqref="AG109">
      <formula1>0</formula1>
      <formula2>NaN</formula2>
    </dataValidation>
    <dataValidation type="decimal" allowBlank="1" showInputMessage="1" prompt="Dear Sir/ Madam - Score entered is greater than Max. Marks allotted." showErrorMessage="1" sqref="AG110">
      <formula1>0</formula1>
      <formula2>NaN</formula2>
    </dataValidation>
    <dataValidation type="decimal" allowBlank="1" showInputMessage="1" prompt="Dear Sir/ Madam - Score entered is greater than Max. Marks allotted." showErrorMessage="1" sqref="AG111">
      <formula1>0</formula1>
      <formula2>NaN</formula2>
    </dataValidation>
    <dataValidation type="decimal" allowBlank="1" showInputMessage="1" prompt="Dear Sir/ Madam - Score entered is greater than Max. Marks allotted." showErrorMessage="1" sqref="AG112">
      <formula1>0</formula1>
      <formula2>NaN</formula2>
    </dataValidation>
    <dataValidation type="decimal" allowBlank="1" showInputMessage="1" prompt="Dear Sir/ Madam - Score entered is greater than Max. Marks allotted." showErrorMessage="1" sqref="AG113">
      <formula1>0</formula1>
      <formula2>NaN</formula2>
    </dataValidation>
    <dataValidation type="decimal" allowBlank="1" showInputMessage="1" prompt="Dear Sir/ Madam - Score entered is greater than Max. Marks allotted." showErrorMessage="1" sqref="AG114">
      <formula1>0</formula1>
      <formula2>NaN</formula2>
    </dataValidation>
    <dataValidation type="decimal" allowBlank="1" showInputMessage="1" prompt="Dear Sir/ Madam - Score entered is greater than Max. Marks allotted." showErrorMessage="1" sqref="AG115">
      <formula1>0</formula1>
      <formula2>NaN</formula2>
    </dataValidation>
    <dataValidation type="decimal" allowBlank="1" showInputMessage="1" prompt="Dear Sir/ Madam - Score entered is greater than Max. Marks allotted." showErrorMessage="1" sqref="AG116">
      <formula1>0</formula1>
      <formula2>NaN</formula2>
    </dataValidation>
    <dataValidation type="decimal" allowBlank="1" showInputMessage="1" prompt="Dear Sir/ Madam - Score entered is greater than Max. Marks allotted." showErrorMessage="1" sqref="AG117">
      <formula1>0</formula1>
      <formula2>NaN</formula2>
    </dataValidation>
    <dataValidation type="decimal" allowBlank="1" showInputMessage="1" prompt="Dear Sir/ Madam - Score entered is greater than Max. Marks allotted." showErrorMessage="1" sqref="AG118">
      <formula1>0</formula1>
      <formula2>NaN</formula2>
    </dataValidation>
    <dataValidation type="decimal" allowBlank="1" showInputMessage="1" prompt="Dear Sir/ Madam - Score entered is greater than Max. Marks allotted." showErrorMessage="1" sqref="AG119">
      <formula1>0</formula1>
      <formula2>NaN</formula2>
    </dataValidation>
    <dataValidation type="decimal" allowBlank="1" showInputMessage="1" prompt="Dear Sir/ Madam - Score entered is greater than Max. Marks allotted." showErrorMessage="1" sqref="AG120">
      <formula1>0</formula1>
      <formula2>NaN</formula2>
    </dataValidation>
    <dataValidation type="decimal" allowBlank="1" showInputMessage="1" prompt="Dear Sir/ Madam - Score entered is greater than Max. Marks allotted." showErrorMessage="1" sqref="AG121">
      <formula1>0</formula1>
      <formula2>NaN</formula2>
    </dataValidation>
    <dataValidation type="decimal" allowBlank="1" showInputMessage="1" prompt="Dear Sir/ Madam - Score entered is greater than Max. Marks allotted." showErrorMessage="1" sqref="AG122">
      <formula1>0</formula1>
      <formula2>NaN</formula2>
    </dataValidation>
    <dataValidation type="decimal" allowBlank="1" showInputMessage="1" prompt="Dear Sir/ Madam - Score entered is greater than Max. Marks allotted." showErrorMessage="1" sqref="AG123">
      <formula1>0</formula1>
      <formula2>NaN</formula2>
    </dataValidation>
    <dataValidation type="decimal" allowBlank="1" showInputMessage="1" prompt="Dear Sir/ Madam - Score entered is greater than Max. Marks allotted." showErrorMessage="1" sqref="AG124">
      <formula1>0</formula1>
      <formula2>NaN</formula2>
    </dataValidation>
    <dataValidation type="decimal" allowBlank="1" showInputMessage="1" prompt="Dear Sir/ Madam - Score entered is greater than Max. Marks allotted." showErrorMessage="1" sqref="AG125">
      <formula1>0</formula1>
      <formula2>NaN</formula2>
    </dataValidation>
    <dataValidation type="decimal" allowBlank="1" showInputMessage="1" prompt="Dear Sir/ Madam - Score entered is greater than Max. Marks allotted." showErrorMessage="1" sqref="AG126">
      <formula1>0</formula1>
      <formula2>NaN</formula2>
    </dataValidation>
    <dataValidation type="decimal" allowBlank="1" showInputMessage="1" prompt="Dear Sir/ Madam - Score entered is greater than Max. Marks allotted." showErrorMessage="1" sqref="AG127">
      <formula1>0</formula1>
      <formula2>NaN</formula2>
    </dataValidation>
    <dataValidation type="decimal" allowBlank="1" showInputMessage="1" prompt="Dear Sir/ Madam - Score entered is greater than Max. Marks allotted." showErrorMessage="1" sqref="AG128">
      <formula1>0</formula1>
      <formula2>NaN</formula2>
    </dataValidation>
    <dataValidation type="decimal" allowBlank="1" showInputMessage="1" prompt="Dear Sir/ Madam - Score entered is greater than Max. Marks allotted." showErrorMessage="1" sqref="AG129">
      <formula1>0</formula1>
      <formula2>NaN</formula2>
    </dataValidation>
    <dataValidation type="decimal" allowBlank="1" showInputMessage="1" prompt="Dear Sir/ Madam - Score entered is greater than Max. Marks allotted." showErrorMessage="1" sqref="AG130">
      <formula1>0</formula1>
      <formula2>NaN</formula2>
    </dataValidation>
    <dataValidation type="decimal" allowBlank="1" showInputMessage="1" prompt="Dear Sir/ Madam - Score entered is greater than Max. Marks allotted." showErrorMessage="1" sqref="AG131">
      <formula1>0</formula1>
      <formula2>NaN</formula2>
    </dataValidation>
    <dataValidation type="decimal" allowBlank="1" showInputMessage="1" prompt="Dear Sir/ Madam - Score entered is greater than Max. Marks allotted." showErrorMessage="1" sqref="AG132">
      <formula1>0</formula1>
      <formula2>NaN</formula2>
    </dataValidation>
    <dataValidation type="decimal" allowBlank="1" showInputMessage="1" prompt="Dear Sir/ Madam - Score entered is greater than Max. Marks allotted." showErrorMessage="1" sqref="AG133">
      <formula1>0</formula1>
      <formula2>NaN</formula2>
    </dataValidation>
    <dataValidation type="decimal" allowBlank="1" showInputMessage="1" prompt="Dear Sir/ Madam - Score entered is greater than Max. Marks allotted." showErrorMessage="1" sqref="AG134">
      <formula1>0</formula1>
      <formula2>NaN</formula2>
    </dataValidation>
    <dataValidation type="decimal" allowBlank="1" showInputMessage="1" prompt="Dear Sir/ Madam - Score entered is greater than Max. Marks allotted." showErrorMessage="1" sqref="AG135">
      <formula1>0</formula1>
      <formula2>NaN</formula2>
    </dataValidation>
    <dataValidation type="decimal" allowBlank="1" showInputMessage="1" prompt="Dear Sir/ Madam - Score entered is greater than Max. Marks allotted." showErrorMessage="1" sqref="AH108">
      <formula1>0</formula1>
      <formula2>NaN</formula2>
    </dataValidation>
    <dataValidation type="decimal" allowBlank="1" showInputMessage="1" prompt="Dear Sir/ Madam - Score entered is greater than Max. Marks allotted." showErrorMessage="1" sqref="AH109">
      <formula1>0</formula1>
      <formula2>NaN</formula2>
    </dataValidation>
    <dataValidation type="decimal" allowBlank="1" showInputMessage="1" prompt="Dear Sir/ Madam - Score entered is greater than Max. Marks allotted." showErrorMessage="1" sqref="AH110">
      <formula1>0</formula1>
      <formula2>NaN</formula2>
    </dataValidation>
    <dataValidation type="decimal" allowBlank="1" showInputMessage="1" prompt="Dear Sir/ Madam - Score entered is greater than Max. Marks allotted." showErrorMessage="1" sqref="AH111">
      <formula1>0</formula1>
      <formula2>NaN</formula2>
    </dataValidation>
    <dataValidation type="decimal" allowBlank="1" showInputMessage="1" prompt="Dear Sir/ Madam - Score entered is greater than Max. Marks allotted." showErrorMessage="1" sqref="AH112">
      <formula1>0</formula1>
      <formula2>NaN</formula2>
    </dataValidation>
    <dataValidation type="decimal" allowBlank="1" showInputMessage="1" prompt="Dear Sir/ Madam - Score entered is greater than Max. Marks allotted." showErrorMessage="1" sqref="AH113">
      <formula1>0</formula1>
      <formula2>NaN</formula2>
    </dataValidation>
    <dataValidation type="decimal" allowBlank="1" showInputMessage="1" prompt="Dear Sir/ Madam - Score entered is greater than Max. Marks allotted." showErrorMessage="1" sqref="AH114">
      <formula1>0</formula1>
      <formula2>NaN</formula2>
    </dataValidation>
    <dataValidation type="decimal" allowBlank="1" showInputMessage="1" prompt="Dear Sir/ Madam - Score entered is greater than Max. Marks allotted." showErrorMessage="1" sqref="AH115">
      <formula1>0</formula1>
      <formula2>NaN</formula2>
    </dataValidation>
    <dataValidation type="decimal" allowBlank="1" showInputMessage="1" prompt="Dear Sir/ Madam - Score entered is greater than Max. Marks allotted." showErrorMessage="1" sqref="AH116">
      <formula1>0</formula1>
      <formula2>NaN</formula2>
    </dataValidation>
    <dataValidation type="decimal" allowBlank="1" showInputMessage="1" prompt="Dear Sir/ Madam - Score entered is greater than Max. Marks allotted." showErrorMessage="1" sqref="AH117">
      <formula1>0</formula1>
      <formula2>NaN</formula2>
    </dataValidation>
    <dataValidation type="decimal" allowBlank="1" showInputMessage="1" prompt="Dear Sir/ Madam - Score entered is greater than Max. Marks allotted." showErrorMessage="1" sqref="AH118">
      <formula1>0</formula1>
      <formula2>NaN</formula2>
    </dataValidation>
    <dataValidation type="decimal" allowBlank="1" showInputMessage="1" prompt="Dear Sir/ Madam - Score entered is greater than Max. Marks allotted." showErrorMessage="1" sqref="AH119">
      <formula1>0</formula1>
      <formula2>NaN</formula2>
    </dataValidation>
    <dataValidation type="decimal" allowBlank="1" showInputMessage="1" prompt="Dear Sir/ Madam - Score entered is greater than Max. Marks allotted." showErrorMessage="1" sqref="AH120">
      <formula1>0</formula1>
      <formula2>NaN</formula2>
    </dataValidation>
    <dataValidation type="decimal" allowBlank="1" showInputMessage="1" prompt="Dear Sir/ Madam - Score entered is greater than Max. Marks allotted." showErrorMessage="1" sqref="AH121">
      <formula1>0</formula1>
      <formula2>NaN</formula2>
    </dataValidation>
    <dataValidation type="decimal" allowBlank="1" showInputMessage="1" prompt="Dear Sir/ Madam - Score entered is greater than Max. Marks allotted." showErrorMessage="1" sqref="AH122">
      <formula1>0</formula1>
      <formula2>NaN</formula2>
    </dataValidation>
    <dataValidation type="decimal" allowBlank="1" showInputMessage="1" prompt="Dear Sir/ Madam - Score entered is greater than Max. Marks allotted." showErrorMessage="1" sqref="AH123">
      <formula1>0</formula1>
      <formula2>NaN</formula2>
    </dataValidation>
    <dataValidation type="decimal" allowBlank="1" showInputMessage="1" prompt="Dear Sir/ Madam - Score entered is greater than Max. Marks allotted." showErrorMessage="1" sqref="AH124">
      <formula1>0</formula1>
      <formula2>NaN</formula2>
    </dataValidation>
    <dataValidation type="decimal" allowBlank="1" showInputMessage="1" prompt="Dear Sir/ Madam - Score entered is greater than Max. Marks allotted." showErrorMessage="1" sqref="AH125">
      <formula1>0</formula1>
      <formula2>NaN</formula2>
    </dataValidation>
    <dataValidation type="decimal" allowBlank="1" showInputMessage="1" prompt="Dear Sir/ Madam - Score entered is greater than Max. Marks allotted." showErrorMessage="1" sqref="AH126">
      <formula1>0</formula1>
      <formula2>NaN</formula2>
    </dataValidation>
    <dataValidation type="decimal" allowBlank="1" showInputMessage="1" prompt="Dear Sir/ Madam - Score entered is greater than Max. Marks allotted." showErrorMessage="1" sqref="AH127">
      <formula1>0</formula1>
      <formula2>NaN</formula2>
    </dataValidation>
    <dataValidation type="decimal" allowBlank="1" showInputMessage="1" prompt="Dear Sir/ Madam - Score entered is greater than Max. Marks allotted." showErrorMessage="1" sqref="AH128">
      <formula1>0</formula1>
      <formula2>NaN</formula2>
    </dataValidation>
    <dataValidation type="decimal" allowBlank="1" showInputMessage="1" prompt="Dear Sir/ Madam - Score entered is greater than Max. Marks allotted." showErrorMessage="1" sqref="AH129">
      <formula1>0</formula1>
      <formula2>NaN</formula2>
    </dataValidation>
    <dataValidation type="decimal" allowBlank="1" showInputMessage="1" prompt="Dear Sir/ Madam - Score entered is greater than Max. Marks allotted." showErrorMessage="1" sqref="AH130">
      <formula1>0</formula1>
      <formula2>NaN</formula2>
    </dataValidation>
    <dataValidation type="decimal" allowBlank="1" showInputMessage="1" prompt="Dear Sir/ Madam - Score entered is greater than Max. Marks allotted." showErrorMessage="1" sqref="AH131">
      <formula1>0</formula1>
      <formula2>NaN</formula2>
    </dataValidation>
    <dataValidation type="decimal" allowBlank="1" showInputMessage="1" prompt="Dear Sir/ Madam - Score entered is greater than Max. Marks allotted." showErrorMessage="1" sqref="AH132">
      <formula1>0</formula1>
      <formula2>NaN</formula2>
    </dataValidation>
    <dataValidation type="decimal" allowBlank="1" showInputMessage="1" prompt="Dear Sir/ Madam - Score entered is greater than Max. Marks allotted." showErrorMessage="1" sqref="AH133">
      <formula1>0</formula1>
      <formula2>NaN</formula2>
    </dataValidation>
    <dataValidation type="decimal" allowBlank="1" showInputMessage="1" prompt="Dear Sir/ Madam - Score entered is greater than Max. Marks allotted." showErrorMessage="1" sqref="AH134">
      <formula1>0</formula1>
      <formula2>NaN</formula2>
    </dataValidation>
    <dataValidation type="decimal" allowBlank="1" showInputMessage="1" prompt="Dear Sir/ Madam - Score entered is greater than Max. Marks allotted." showErrorMessage="1" sqref="AH135">
      <formula1>0</formula1>
      <formula2>NaN</formula2>
    </dataValidation>
    <dataValidation type="decimal" allowBlank="1" showInputMessage="1" prompt="Dear Sir/ Madam - Score entered is greater than Max. Marks allotted." showErrorMessage="1" sqref="AI108">
      <formula1>0</formula1>
      <formula2>NaN</formula2>
    </dataValidation>
    <dataValidation type="decimal" allowBlank="1" showInputMessage="1" prompt="Dear Sir/ Madam - Score entered is greater than Max. Marks allotted." showErrorMessage="1" sqref="AI109">
      <formula1>0</formula1>
      <formula2>NaN</formula2>
    </dataValidation>
    <dataValidation type="decimal" allowBlank="1" showInputMessage="1" prompt="Dear Sir/ Madam - Score entered is greater than Max. Marks allotted." showErrorMessage="1" sqref="AI110">
      <formula1>0</formula1>
      <formula2>NaN</formula2>
    </dataValidation>
    <dataValidation type="decimal" allowBlank="1" showInputMessage="1" prompt="Dear Sir/ Madam - Score entered is greater than Max. Marks allotted." showErrorMessage="1" sqref="AI111">
      <formula1>0</formula1>
      <formula2>NaN</formula2>
    </dataValidation>
    <dataValidation type="decimal" allowBlank="1" showInputMessage="1" prompt="Dear Sir/ Madam - Score entered is greater than Max. Marks allotted." showErrorMessage="1" sqref="AI112">
      <formula1>0</formula1>
      <formula2>NaN</formula2>
    </dataValidation>
    <dataValidation type="decimal" allowBlank="1" showInputMessage="1" prompt="Dear Sir/ Madam - Score entered is greater than Max. Marks allotted." showErrorMessage="1" sqref="AI113">
      <formula1>0</formula1>
      <formula2>NaN</formula2>
    </dataValidation>
    <dataValidation type="decimal" allowBlank="1" showInputMessage="1" prompt="Dear Sir/ Madam - Score entered is greater than Max. Marks allotted." showErrorMessage="1" sqref="AI114">
      <formula1>0</formula1>
      <formula2>NaN</formula2>
    </dataValidation>
    <dataValidation type="decimal" allowBlank="1" showInputMessage="1" prompt="Dear Sir/ Madam - Score entered is greater than Max. Marks allotted." showErrorMessage="1" sqref="AI115">
      <formula1>0</formula1>
      <formula2>NaN</formula2>
    </dataValidation>
    <dataValidation type="decimal" allowBlank="1" showInputMessage="1" prompt="Dear Sir/ Madam - Score entered is greater than Max. Marks allotted." showErrorMessage="1" sqref="AI116">
      <formula1>0</formula1>
      <formula2>NaN</formula2>
    </dataValidation>
    <dataValidation type="decimal" allowBlank="1" showInputMessage="1" prompt="Dear Sir/ Madam - Score entered is greater than Max. Marks allotted." showErrorMessage="1" sqref="AI117">
      <formula1>0</formula1>
      <formula2>NaN</formula2>
    </dataValidation>
    <dataValidation type="decimal" allowBlank="1" showInputMessage="1" prompt="Dear Sir/ Madam - Score entered is greater than Max. Marks allotted." showErrorMessage="1" sqref="AI118">
      <formula1>0</formula1>
      <formula2>NaN</formula2>
    </dataValidation>
    <dataValidation type="decimal" allowBlank="1" showInputMessage="1" prompt="Dear Sir/ Madam - Score entered is greater than Max. Marks allotted." showErrorMessage="1" sqref="AI119">
      <formula1>0</formula1>
      <formula2>NaN</formula2>
    </dataValidation>
    <dataValidation type="decimal" allowBlank="1" showInputMessage="1" prompt="Dear Sir/ Madam - Score entered is greater than Max. Marks allotted." showErrorMessage="1" sqref="AI120">
      <formula1>0</formula1>
      <formula2>NaN</formula2>
    </dataValidation>
    <dataValidation type="decimal" allowBlank="1" showInputMessage="1" prompt="Dear Sir/ Madam - Score entered is greater than Max. Marks allotted." showErrorMessage="1" sqref="AI121">
      <formula1>0</formula1>
      <formula2>NaN</formula2>
    </dataValidation>
    <dataValidation type="decimal" allowBlank="1" showInputMessage="1" prompt="Dear Sir/ Madam - Score entered is greater than Max. Marks allotted." showErrorMessage="1" sqref="AI122">
      <formula1>0</formula1>
      <formula2>NaN</formula2>
    </dataValidation>
    <dataValidation type="decimal" allowBlank="1" showInputMessage="1" prompt="Dear Sir/ Madam - Score entered is greater than Max. Marks allotted." showErrorMessage="1" sqref="AI123">
      <formula1>0</formula1>
      <formula2>NaN</formula2>
    </dataValidation>
    <dataValidation type="decimal" allowBlank="1" showInputMessage="1" prompt="Dear Sir/ Madam - Score entered is greater than Max. Marks allotted." showErrorMessage="1" sqref="AI124">
      <formula1>0</formula1>
      <formula2>NaN</formula2>
    </dataValidation>
    <dataValidation type="decimal" allowBlank="1" showInputMessage="1" prompt="Dear Sir/ Madam - Score entered is greater than Max. Marks allotted." showErrorMessage="1" sqref="AI125">
      <formula1>0</formula1>
      <formula2>NaN</formula2>
    </dataValidation>
    <dataValidation type="decimal" allowBlank="1" showInputMessage="1" prompt="Dear Sir/ Madam - Score entered is greater than Max. Marks allotted." showErrorMessage="1" sqref="AI126">
      <formula1>0</formula1>
      <formula2>NaN</formula2>
    </dataValidation>
    <dataValidation type="decimal" allowBlank="1" showInputMessage="1" prompt="Dear Sir/ Madam - Score entered is greater than Max. Marks allotted." showErrorMessage="1" sqref="AI127">
      <formula1>0</formula1>
      <formula2>NaN</formula2>
    </dataValidation>
    <dataValidation type="decimal" allowBlank="1" showInputMessage="1" prompt="Dear Sir/ Madam - Score entered is greater than Max. Marks allotted." showErrorMessage="1" sqref="AI128">
      <formula1>0</formula1>
      <formula2>NaN</formula2>
    </dataValidation>
    <dataValidation type="decimal" allowBlank="1" showInputMessage="1" prompt="Dear Sir/ Madam - Score entered is greater than Max. Marks allotted." showErrorMessage="1" sqref="AI129">
      <formula1>0</formula1>
      <formula2>NaN</formula2>
    </dataValidation>
    <dataValidation type="decimal" allowBlank="1" showInputMessage="1" prompt="Dear Sir/ Madam - Score entered is greater than Max. Marks allotted." showErrorMessage="1" sqref="AI130">
      <formula1>0</formula1>
      <formula2>NaN</formula2>
    </dataValidation>
    <dataValidation type="decimal" allowBlank="1" showInputMessage="1" prompt="Dear Sir/ Madam - Score entered is greater than Max. Marks allotted." showErrorMessage="1" sqref="AI131">
      <formula1>0</formula1>
      <formula2>NaN</formula2>
    </dataValidation>
    <dataValidation type="decimal" allowBlank="1" showInputMessage="1" prompt="Dear Sir/ Madam - Score entered is greater than Max. Marks allotted." showErrorMessage="1" sqref="AI132">
      <formula1>0</formula1>
      <formula2>NaN</formula2>
    </dataValidation>
    <dataValidation type="decimal" allowBlank="1" showInputMessage="1" prompt="Dear Sir/ Madam - Score entered is greater than Max. Marks allotted." showErrorMessage="1" sqref="AI133">
      <formula1>0</formula1>
      <formula2>NaN</formula2>
    </dataValidation>
    <dataValidation type="decimal" allowBlank="1" showInputMessage="1" prompt="Dear Sir/ Madam - Score entered is greater than Max. Marks allotted." showErrorMessage="1" sqref="AI134">
      <formula1>0</formula1>
      <formula2>NaN</formula2>
    </dataValidation>
    <dataValidation type="decimal" allowBlank="1" showInputMessage="1" prompt="Dear Sir/ Madam - Score entered is greater than Max. Marks allotted." showErrorMessage="1" sqref="AI135">
      <formula1>0</formula1>
      <formula2>NaN</formula2>
    </dataValidation>
    <dataValidation type="decimal" allowBlank="1" showInputMessage="1" prompt="Dear Sir/ Madam - Score entered is greater than Max. Marks allotted." showErrorMessage="1" sqref="AJ108">
      <formula1>0</formula1>
      <formula2>NaN</formula2>
    </dataValidation>
    <dataValidation type="decimal" allowBlank="1" showInputMessage="1" prompt="Dear Sir/ Madam - Score entered is greater than Max. Marks allotted." showErrorMessage="1" sqref="AJ109">
      <formula1>0</formula1>
      <formula2>NaN</formula2>
    </dataValidation>
    <dataValidation type="decimal" allowBlank="1" showInputMessage="1" prompt="Dear Sir/ Madam - Score entered is greater than Max. Marks allotted." showErrorMessage="1" sqref="AJ110">
      <formula1>0</formula1>
      <formula2>NaN</formula2>
    </dataValidation>
    <dataValidation type="decimal" allowBlank="1" showInputMessage="1" prompt="Dear Sir/ Madam - Score entered is greater than Max. Marks allotted." showErrorMessage="1" sqref="AJ111">
      <formula1>0</formula1>
      <formula2>NaN</formula2>
    </dataValidation>
    <dataValidation type="decimal" allowBlank="1" showInputMessage="1" prompt="Dear Sir/ Madam - Score entered is greater than Max. Marks allotted." showErrorMessage="1" sqref="AJ112">
      <formula1>0</formula1>
      <formula2>NaN</formula2>
    </dataValidation>
    <dataValidation type="decimal" allowBlank="1" showInputMessage="1" prompt="Dear Sir/ Madam - Score entered is greater than Max. Marks allotted." showErrorMessage="1" sqref="AJ113">
      <formula1>0</formula1>
      <formula2>NaN</formula2>
    </dataValidation>
    <dataValidation type="decimal" allowBlank="1" showInputMessage="1" prompt="Dear Sir/ Madam - Score entered is greater than Max. Marks allotted." showErrorMessage="1" sqref="AJ114">
      <formula1>0</formula1>
      <formula2>NaN</formula2>
    </dataValidation>
    <dataValidation type="decimal" allowBlank="1" showInputMessage="1" prompt="Dear Sir/ Madam - Score entered is greater than Max. Marks allotted." showErrorMessage="1" sqref="AJ115">
      <formula1>0</formula1>
      <formula2>NaN</formula2>
    </dataValidation>
    <dataValidation type="decimal" allowBlank="1" showInputMessage="1" prompt="Dear Sir/ Madam - Score entered is greater than Max. Marks allotted." showErrorMessage="1" sqref="AJ116">
      <formula1>0</formula1>
      <formula2>NaN</formula2>
    </dataValidation>
    <dataValidation type="decimal" allowBlank="1" showInputMessage="1" prompt="Dear Sir/ Madam - Score entered is greater than Max. Marks allotted." showErrorMessage="1" sqref="AJ117">
      <formula1>0</formula1>
      <formula2>NaN</formula2>
    </dataValidation>
    <dataValidation type="decimal" allowBlank="1" showInputMessage="1" prompt="Dear Sir/ Madam - Score entered is greater than Max. Marks allotted." showErrorMessage="1" sqref="AJ118">
      <formula1>0</formula1>
      <formula2>NaN</formula2>
    </dataValidation>
    <dataValidation type="decimal" allowBlank="1" showInputMessage="1" prompt="Dear Sir/ Madam - Score entered is greater than Max. Marks allotted." showErrorMessage="1" sqref="AJ119">
      <formula1>0</formula1>
      <formula2>NaN</formula2>
    </dataValidation>
    <dataValidation type="decimal" allowBlank="1" showInputMessage="1" prompt="Dear Sir/ Madam - Score entered is greater than Max. Marks allotted." showErrorMessage="1" sqref="AJ120">
      <formula1>0</formula1>
      <formula2>NaN</formula2>
    </dataValidation>
    <dataValidation type="decimal" allowBlank="1" showInputMessage="1" prompt="Dear Sir/ Madam - Score entered is greater than Max. Marks allotted." showErrorMessage="1" sqref="AJ121">
      <formula1>0</formula1>
      <formula2>NaN</formula2>
    </dataValidation>
    <dataValidation type="decimal" allowBlank="1" showInputMessage="1" prompt="Dear Sir/ Madam - Score entered is greater than Max. Marks allotted." showErrorMessage="1" sqref="AJ122">
      <formula1>0</formula1>
      <formula2>NaN</formula2>
    </dataValidation>
    <dataValidation type="decimal" allowBlank="1" showInputMessage="1" prompt="Dear Sir/ Madam - Score entered is greater than Max. Marks allotted." showErrorMessage="1" sqref="AJ123">
      <formula1>0</formula1>
      <formula2>NaN</formula2>
    </dataValidation>
    <dataValidation type="decimal" allowBlank="1" showInputMessage="1" prompt="Dear Sir/ Madam - Score entered is greater than Max. Marks allotted." showErrorMessage="1" sqref="AJ124">
      <formula1>0</formula1>
      <formula2>NaN</formula2>
    </dataValidation>
    <dataValidation type="decimal" allowBlank="1" showInputMessage="1" prompt="Dear Sir/ Madam - Score entered is greater than Max. Marks allotted." showErrorMessage="1" sqref="AJ125">
      <formula1>0</formula1>
      <formula2>NaN</formula2>
    </dataValidation>
    <dataValidation type="decimal" allowBlank="1" showInputMessage="1" prompt="Dear Sir/ Madam - Score entered is greater than Max. Marks allotted." showErrorMessage="1" sqref="AJ126">
      <formula1>0</formula1>
      <formula2>NaN</formula2>
    </dataValidation>
    <dataValidation type="decimal" allowBlank="1" showInputMessage="1" prompt="Dear Sir/ Madam - Score entered is greater than Max. Marks allotted." showErrorMessage="1" sqref="AJ127">
      <formula1>0</formula1>
      <formula2>NaN</formula2>
    </dataValidation>
    <dataValidation type="decimal" allowBlank="1" showInputMessage="1" prompt="Dear Sir/ Madam - Score entered is greater than Max. Marks allotted." showErrorMessage="1" sqref="AJ128">
      <formula1>0</formula1>
      <formula2>NaN</formula2>
    </dataValidation>
    <dataValidation type="decimal" allowBlank="1" showInputMessage="1" prompt="Dear Sir/ Madam - Score entered is greater than Max. Marks allotted." showErrorMessage="1" sqref="AJ129">
      <formula1>0</formula1>
      <formula2>NaN</formula2>
    </dataValidation>
    <dataValidation type="decimal" allowBlank="1" showInputMessage="1" prompt="Dear Sir/ Madam - Score entered is greater than Max. Marks allotted." showErrorMessage="1" sqref="AJ130">
      <formula1>0</formula1>
      <formula2>NaN</formula2>
    </dataValidation>
    <dataValidation type="decimal" allowBlank="1" showInputMessage="1" prompt="Dear Sir/ Madam - Score entered is greater than Max. Marks allotted." showErrorMessage="1" sqref="AJ131">
      <formula1>0</formula1>
      <formula2>NaN</formula2>
    </dataValidation>
    <dataValidation type="decimal" allowBlank="1" showInputMessage="1" prompt="Dear Sir/ Madam - Score entered is greater than Max. Marks allotted." showErrorMessage="1" sqref="AJ132">
      <formula1>0</formula1>
      <formula2>NaN</formula2>
    </dataValidation>
    <dataValidation type="decimal" allowBlank="1" showInputMessage="1" prompt="Dear Sir/ Madam - Score entered is greater than Max. Marks allotted." showErrorMessage="1" sqref="AJ133">
      <formula1>0</formula1>
      <formula2>NaN</formula2>
    </dataValidation>
    <dataValidation type="decimal" allowBlank="1" showInputMessage="1" prompt="Dear Sir/ Madam - Score entered is greater than Max. Marks allotted." showErrorMessage="1" sqref="AJ134">
      <formula1>0</formula1>
      <formula2>NaN</formula2>
    </dataValidation>
    <dataValidation type="decimal" allowBlank="1" showInputMessage="1" prompt="Dear Sir/ Madam - Score entered is greater than Max. Marks allotted." showErrorMessage="1" sqref="AJ135">
      <formula1>0</formula1>
      <formula2>NaN</formula2>
    </dataValidation>
    <dataValidation type="decimal" allowBlank="1" showInputMessage="1" prompt="Dear Sir/ Madam - Score entered is greater than Max. Marks allotted." showErrorMessage="1" sqref="BF100">
      <formula1>0</formula1>
      <formula2>NaN</formula2>
    </dataValidation>
    <dataValidation type="decimal" allowBlank="1" showInputMessage="1" prompt="Dear Sir/ Madam - Score entered is greater than Max. Marks allotted." showErrorMessage="1" sqref="BF101">
      <formula1>0</formula1>
      <formula2>NaN</formula2>
    </dataValidation>
    <dataValidation type="decimal" allowBlank="1" showInputMessage="1" prompt="Dear Sir/ Madam - Score entered is greater than Max. Marks allotted." showErrorMessage="1" sqref="BF102">
      <formula1>0</formula1>
      <formula2>NaN</formula2>
    </dataValidation>
    <dataValidation type="decimal" allowBlank="1" showInputMessage="1" prompt="Dear Sir/ Madam - Score entered is greater than Max. Marks allotted." showErrorMessage="1" sqref="BF103">
      <formula1>0</formula1>
      <formula2>NaN</formula2>
    </dataValidation>
    <dataValidation type="decimal" allowBlank="1" showInputMessage="1" prompt="Dear Sir/ Madam - Score entered is greater than Max. Marks allotted." showErrorMessage="1" sqref="BF104">
      <formula1>0</formula1>
      <formula2>NaN</formula2>
    </dataValidation>
    <dataValidation type="decimal" allowBlank="1" showInputMessage="1" prompt="Dear Sir/ Madam - Score entered is greater than Max. Marks allotted." showErrorMessage="1" sqref="BF105">
      <formula1>0</formula1>
      <formula2>NaN</formula2>
    </dataValidation>
    <dataValidation type="decimal" allowBlank="1" showInputMessage="1" prompt="Dear Sir/ Madam - Score entered is greater than Max. Marks allotted." showErrorMessage="1" sqref="BF106">
      <formula1>0</formula1>
      <formula2>NaN</formula2>
    </dataValidation>
    <dataValidation type="decimal" allowBlank="1" showInputMessage="1" prompt="Dear Sir/ Madam - Score entered is greater than Max. Marks allotted." showErrorMessage="1" sqref="BF107">
      <formula1>0</formula1>
      <formula2>NaN</formula2>
    </dataValidation>
    <dataValidation type="decimal" allowBlank="1" showInputMessage="1" prompt="Dear Sir/ Madam - Score entered is greater than Max. Marks allotted." showErrorMessage="1" sqref="BF108">
      <formula1>0</formula1>
      <formula2>NaN</formula2>
    </dataValidation>
    <dataValidation type="decimal" allowBlank="1" showInputMessage="1" prompt="Dear Sir/ Madam - Score entered is greater than Max. Marks allotted." showErrorMessage="1" sqref="BF109">
      <formula1>0</formula1>
      <formula2>NaN</formula2>
    </dataValidation>
    <dataValidation type="decimal" allowBlank="1" showInputMessage="1" prompt="Dear Sir/ Madam - Score entered is greater than Max. Marks allotted." showErrorMessage="1" sqref="BF110">
      <formula1>0</formula1>
      <formula2>NaN</formula2>
    </dataValidation>
    <dataValidation type="decimal" allowBlank="1" showInputMessage="1" prompt="Dear Sir/ Madam - Score entered is greater than Max. Marks allotted." showErrorMessage="1" sqref="BF111">
      <formula1>0</formula1>
      <formula2>NaN</formula2>
    </dataValidation>
    <dataValidation type="decimal" allowBlank="1" showInputMessage="1" prompt="Dear Sir/ Madam - Score entered is greater than Max. Marks allotted." showErrorMessage="1" sqref="BF112">
      <formula1>0</formula1>
      <formula2>NaN</formula2>
    </dataValidation>
    <dataValidation type="decimal" allowBlank="1" showInputMessage="1" prompt="Dear Sir/ Madam - Score entered is greater than Max. Marks allotted." showErrorMessage="1" sqref="BF113">
      <formula1>0</formula1>
      <formula2>NaN</formula2>
    </dataValidation>
    <dataValidation type="decimal" allowBlank="1" showInputMessage="1" prompt="Dear Sir/ Madam - Score entered is greater than Max. Marks allotted." showErrorMessage="1" sqref="BF114">
      <formula1>0</formula1>
      <formula2>NaN</formula2>
    </dataValidation>
    <dataValidation type="decimal" allowBlank="1" showInputMessage="1" prompt="Dear Sir/ Madam - Score entered is greater than Max. Marks allotted." showErrorMessage="1" sqref="BF115">
      <formula1>0</formula1>
      <formula2>NaN</formula2>
    </dataValidation>
    <dataValidation type="decimal" allowBlank="1" showInputMessage="1" prompt="Dear Sir/ Madam - Score entered is greater than Max. Marks allotted." showErrorMessage="1" sqref="BF116">
      <formula1>0</formula1>
      <formula2>NaN</formula2>
    </dataValidation>
    <dataValidation type="decimal" allowBlank="1" showInputMessage="1" prompt="Dear Sir/ Madam - Score entered is greater than Max. Marks allotted." showErrorMessage="1" sqref="BF117">
      <formula1>0</formula1>
      <formula2>NaN</formula2>
    </dataValidation>
    <dataValidation type="decimal" allowBlank="1" showInputMessage="1" prompt="Dear Sir/ Madam - Score entered is greater than Max. Marks allotted." showErrorMessage="1" sqref="BF118">
      <formula1>0</formula1>
      <formula2>NaN</formula2>
    </dataValidation>
    <dataValidation type="decimal" allowBlank="1" showInputMessage="1" prompt="Dear Sir/ Madam - Score entered is greater than Max. Marks allotted." showErrorMessage="1" sqref="BF119">
      <formula1>0</formula1>
      <formula2>NaN</formula2>
    </dataValidation>
    <dataValidation type="decimal" allowBlank="1" showInputMessage="1" prompt="Dear Sir/ Madam - Score entered is greater than Max. Marks allotted." showErrorMessage="1" sqref="BF120">
      <formula1>0</formula1>
      <formula2>NaN</formula2>
    </dataValidation>
    <dataValidation type="decimal" allowBlank="1" showInputMessage="1" prompt="Dear Sir/ Madam - Score entered is greater than Max. Marks allotted." showErrorMessage="1" sqref="BF121">
      <formula1>0</formula1>
      <formula2>NaN</formula2>
    </dataValidation>
    <dataValidation type="decimal" allowBlank="1" showInputMessage="1" prompt="Dear Sir/ Madam - Score entered is greater than Max. Marks allotted." showErrorMessage="1" sqref="BF122">
      <formula1>0</formula1>
      <formula2>NaN</formula2>
    </dataValidation>
    <dataValidation type="decimal" allowBlank="1" showInputMessage="1" prompt="Dear Sir/ Madam - Score entered is greater than Max. Marks allotted." showErrorMessage="1" sqref="BF123">
      <formula1>0</formula1>
      <formula2>NaN</formula2>
    </dataValidation>
    <dataValidation type="decimal" allowBlank="1" showInputMessage="1" prompt="Dear Sir/ Madam - Score entered is greater than Max. Marks allotted." showErrorMessage="1" sqref="BF124">
      <formula1>0</formula1>
      <formula2>NaN</formula2>
    </dataValidation>
    <dataValidation type="decimal" allowBlank="1" showInputMessage="1" prompt="Dear Sir/ Madam - Score entered is greater than Max. Marks allotted." showErrorMessage="1" sqref="BF125">
      <formula1>0</formula1>
      <formula2>NaN</formula2>
    </dataValidation>
    <dataValidation type="decimal" allowBlank="1" showInputMessage="1" prompt="Dear Sir/ Madam - Score entered is greater than Max. Marks allotted." showErrorMessage="1" sqref="BF126">
      <formula1>0</formula1>
      <formula2>NaN</formula2>
    </dataValidation>
    <dataValidation type="decimal" allowBlank="1" showInputMessage="1" prompt="Dear Sir/ Madam - Score entered is greater than Max. Marks allotted." showErrorMessage="1" sqref="BF127">
      <formula1>0</formula1>
      <formula2>NaN</formula2>
    </dataValidation>
    <dataValidation type="decimal" allowBlank="1" showInputMessage="1" prompt="Dear Sir/ Madam - Score entered is greater than Max. Marks allotted." showErrorMessage="1" sqref="BF128">
      <formula1>0</formula1>
      <formula2>NaN</formula2>
    </dataValidation>
    <dataValidation type="decimal" allowBlank="1" showInputMessage="1" prompt="Dear Sir/ Madam - Score entered is greater than Max. Marks allotted." showErrorMessage="1" sqref="BF129">
      <formula1>0</formula1>
      <formula2>NaN</formula2>
    </dataValidation>
    <dataValidation type="decimal" allowBlank="1" showInputMessage="1" prompt="Dear Sir/ Madam - Score entered is greater than Max. Marks allotted." showErrorMessage="1" sqref="BF13">
      <formula1>0</formula1>
      <formula2>NaN</formula2>
    </dataValidation>
    <dataValidation type="decimal" allowBlank="1" showInputMessage="1" prompt="Dear Sir/ Madam - Score entered is greater than Max. Marks allotted." showErrorMessage="1" sqref="BF130">
      <formula1>0</formula1>
      <formula2>NaN</formula2>
    </dataValidation>
    <dataValidation type="decimal" allowBlank="1" showInputMessage="1" prompt="Dear Sir/ Madam - Score entered is greater than Max. Marks allotted." showErrorMessage="1" sqref="BF131">
      <formula1>0</formula1>
      <formula2>NaN</formula2>
    </dataValidation>
    <dataValidation type="decimal" allowBlank="1" showInputMessage="1" prompt="Dear Sir/ Madam - Score entered is greater than Max. Marks allotted." showErrorMessage="1" sqref="BF132">
      <formula1>0</formula1>
      <formula2>NaN</formula2>
    </dataValidation>
    <dataValidation type="decimal" allowBlank="1" showInputMessage="1" prompt="Dear Sir/ Madam - Score entered is greater than Max. Marks allotted." showErrorMessage="1" sqref="BF133">
      <formula1>0</formula1>
      <formula2>NaN</formula2>
    </dataValidation>
    <dataValidation type="decimal" allowBlank="1" showInputMessage="1" prompt="Dear Sir/ Madam - Score entered is greater than Max. Marks allotted." showErrorMessage="1" sqref="BF134">
      <formula1>0</formula1>
      <formula2>NaN</formula2>
    </dataValidation>
    <dataValidation type="decimal" allowBlank="1" showInputMessage="1" prompt="Dear Sir/ Madam - Score entered is greater than Max. Marks allotted." showErrorMessage="1" sqref="BF135">
      <formula1>0</formula1>
      <formula2>NaN</formula2>
    </dataValidation>
    <dataValidation type="decimal" allowBlank="1" showInputMessage="1" prompt="Dear Sir/ Madam - Score entered is greater than Max. Marks allotted." showErrorMessage="1" sqref="BF136">
      <formula1>0</formula1>
      <formula2>NaN</formula2>
    </dataValidation>
    <dataValidation type="decimal" allowBlank="1" showInputMessage="1" prompt="Dear Sir/ Madam - Score entered is greater than Max. Marks allotted." showErrorMessage="1" sqref="BF137">
      <formula1>0</formula1>
      <formula2>NaN</formula2>
    </dataValidation>
    <dataValidation type="decimal" allowBlank="1" showInputMessage="1" prompt="Dear Sir/ Madam - Score entered is greater than Max. Marks allotted." showErrorMessage="1" sqref="BF138">
      <formula1>0</formula1>
      <formula2>NaN</formula2>
    </dataValidation>
    <dataValidation type="decimal" allowBlank="1" showInputMessage="1" prompt="Dear Sir/ Madam - Score entered is greater than Max. Marks allotted." showErrorMessage="1" sqref="BF139">
      <formula1>0</formula1>
      <formula2>NaN</formula2>
    </dataValidation>
    <dataValidation type="decimal" allowBlank="1" showInputMessage="1" prompt="Dear Sir/ Madam - Score entered is greater than Max. Marks allotted." showErrorMessage="1" sqref="BF14">
      <formula1>0</formula1>
      <formula2>NaN</formula2>
    </dataValidation>
    <dataValidation type="decimal" allowBlank="1" showInputMessage="1" prompt="Dear Sir/ Madam - Score entered is greater than Max. Marks allotted." showErrorMessage="1" sqref="BF140">
      <formula1>0</formula1>
      <formula2>NaN</formula2>
    </dataValidation>
    <dataValidation type="decimal" allowBlank="1" showInputMessage="1" prompt="Dear Sir/ Madam - Score entered is greater than Max. Marks allotted." showErrorMessage="1" sqref="BF141">
      <formula1>0</formula1>
      <formula2>NaN</formula2>
    </dataValidation>
    <dataValidation type="decimal" allowBlank="1" showInputMessage="1" prompt="Dear Sir/ Madam - Score entered is greater than Max. Marks allotted." showErrorMessage="1" sqref="BF142">
      <formula1>0</formula1>
      <formula2>NaN</formula2>
    </dataValidation>
    <dataValidation type="decimal" allowBlank="1" showInputMessage="1" prompt="Dear Sir/ Madam - Score entered is greater than Max. Marks allotted." showErrorMessage="1" sqref="BF143">
      <formula1>0</formula1>
      <formula2>NaN</formula2>
    </dataValidation>
    <dataValidation type="decimal" allowBlank="1" showInputMessage="1" prompt="Dear Sir/ Madam - Score entered is greater than Max. Marks allotted." showErrorMessage="1" sqref="BF144">
      <formula1>0</formula1>
      <formula2>NaN</formula2>
    </dataValidation>
    <dataValidation type="decimal" allowBlank="1" showInputMessage="1" prompt="Dear Sir/ Madam - Score entered is greater than Max. Marks allotted." showErrorMessage="1" sqref="BF145">
      <formula1>0</formula1>
      <formula2>NaN</formula2>
    </dataValidation>
    <dataValidation type="decimal" allowBlank="1" showInputMessage="1" prompt="Dear Sir/ Madam - Score entered is greater than Max. Marks allotted." showErrorMessage="1" sqref="BF146">
      <formula1>0</formula1>
      <formula2>NaN</formula2>
    </dataValidation>
    <dataValidation type="decimal" allowBlank="1" showInputMessage="1" prompt="Dear Sir/ Madam - Score entered is greater than Max. Marks allotted." showErrorMessage="1" sqref="BF147">
      <formula1>0</formula1>
      <formula2>NaN</formula2>
    </dataValidation>
    <dataValidation type="decimal" allowBlank="1" showInputMessage="1" prompt="Dear Sir/ Madam - Score entered is greater than Max. Marks allotted." showErrorMessage="1" sqref="BF148">
      <formula1>0</formula1>
      <formula2>NaN</formula2>
    </dataValidation>
    <dataValidation type="decimal" allowBlank="1" showInputMessage="1" prompt="Dear Sir/ Madam - Score entered is greater than Max. Marks allotted." showErrorMessage="1" sqref="BF149">
      <formula1>0</formula1>
      <formula2>NaN</formula2>
    </dataValidation>
    <dataValidation type="decimal" allowBlank="1" showInputMessage="1" prompt="Dear Sir/ Madam - Score entered is greater than Max. Marks allotted." showErrorMessage="1" sqref="BF15">
      <formula1>0</formula1>
      <formula2>NaN</formula2>
    </dataValidation>
    <dataValidation type="decimal" allowBlank="1" showInputMessage="1" prompt="Dear Sir/ Madam - Score entered is greater than Max. Marks allotted." showErrorMessage="1" sqref="BF150">
      <formula1>0</formula1>
      <formula2>NaN</formula2>
    </dataValidation>
    <dataValidation type="decimal" allowBlank="1" showInputMessage="1" prompt="Dear Sir/ Madam - Score entered is greater than Max. Marks allotted." showErrorMessage="1" sqref="BF151">
      <formula1>0</formula1>
      <formula2>NaN</formula2>
    </dataValidation>
    <dataValidation type="decimal" allowBlank="1" showInputMessage="1" prompt="Dear Sir/ Madam - Score entered is greater than Max. Marks allotted." showErrorMessage="1" sqref="BF152">
      <formula1>0</formula1>
      <formula2>NaN</formula2>
    </dataValidation>
    <dataValidation type="decimal" allowBlank="1" showInputMessage="1" prompt="Dear Sir/ Madam - Score entered is greater than Max. Marks allotted." showErrorMessage="1" sqref="BF153">
      <formula1>0</formula1>
      <formula2>NaN</formula2>
    </dataValidation>
    <dataValidation type="decimal" allowBlank="1" showInputMessage="1" prompt="Dear Sir/ Madam - Score entered is greater than Max. Marks allotted." showErrorMessage="1" sqref="BF154">
      <formula1>0</formula1>
      <formula2>NaN</formula2>
    </dataValidation>
    <dataValidation type="decimal" allowBlank="1" showInputMessage="1" prompt="Dear Sir/ Madam - Score entered is greater than Max. Marks allotted." showErrorMessage="1" sqref="BF155">
      <formula1>0</formula1>
      <formula2>NaN</formula2>
    </dataValidation>
    <dataValidation type="decimal" allowBlank="1" showInputMessage="1" prompt="Dear Sir/ Madam - Score entered is greater than Max. Marks allotted." showErrorMessage="1" sqref="BF156">
      <formula1>0</formula1>
      <formula2>NaN</formula2>
    </dataValidation>
    <dataValidation type="decimal" allowBlank="1" showInputMessage="1" prompt="Dear Sir/ Madam - Score entered is greater than Max. Marks allotted." showErrorMessage="1" sqref="BF157">
      <formula1>0</formula1>
      <formula2>NaN</formula2>
    </dataValidation>
    <dataValidation type="decimal" allowBlank="1" showInputMessage="1" prompt="Dear Sir/ Madam - Score entered is greater than Max. Marks allotted." showErrorMessage="1" sqref="BF158">
      <formula1>0</formula1>
      <formula2>NaN</formula2>
    </dataValidation>
    <dataValidation type="decimal" allowBlank="1" showInputMessage="1" prompt="Dear Sir/ Madam - Score entered is greater than Max. Marks allotted." showErrorMessage="1" sqref="BF159">
      <formula1>0</formula1>
      <formula2>NaN</formula2>
    </dataValidation>
    <dataValidation type="decimal" allowBlank="1" showInputMessage="1" prompt="Dear Sir/ Madam - Score entered is greater than Max. Marks allotted." showErrorMessage="1" sqref="BF16">
      <formula1>0</formula1>
      <formula2>NaN</formula2>
    </dataValidation>
    <dataValidation type="decimal" allowBlank="1" showInputMessage="1" prompt="Dear Sir/ Madam - Score entered is greater than Max. Marks allotted." showErrorMessage="1" sqref="BF160">
      <formula1>0</formula1>
      <formula2>NaN</formula2>
    </dataValidation>
    <dataValidation type="decimal" allowBlank="1" showInputMessage="1" prompt="Dear Sir/ Madam - Score entered is greater than Max. Marks allotted." showErrorMessage="1" sqref="BF161">
      <formula1>0</formula1>
      <formula2>NaN</formula2>
    </dataValidation>
    <dataValidation type="decimal" allowBlank="1" showInputMessage="1" prompt="Dear Sir/ Madam - Score entered is greater than Max. Marks allotted." showErrorMessage="1" sqref="BF162">
      <formula1>0</formula1>
      <formula2>NaN</formula2>
    </dataValidation>
    <dataValidation type="decimal" allowBlank="1" showInputMessage="1" prompt="Dear Sir/ Madam - Score entered is greater than Max. Marks allotted." showErrorMessage="1" sqref="BF163">
      <formula1>0</formula1>
      <formula2>NaN</formula2>
    </dataValidation>
    <dataValidation type="decimal" allowBlank="1" showInputMessage="1" prompt="Dear Sir/ Madam - Score entered is greater than Max. Marks allotted." showErrorMessage="1" sqref="BF164">
      <formula1>0</formula1>
      <formula2>NaN</formula2>
    </dataValidation>
    <dataValidation type="decimal" allowBlank="1" showInputMessage="1" prompt="Dear Sir/ Madam - Score entered is greater than Max. Marks allotted." showErrorMessage="1" sqref="BF165">
      <formula1>0</formula1>
      <formula2>NaN</formula2>
    </dataValidation>
    <dataValidation type="decimal" allowBlank="1" showInputMessage="1" prompt="Dear Sir/ Madam - Score entered is greater than Max. Marks allotted." showErrorMessage="1" sqref="BF166">
      <formula1>0</formula1>
      <formula2>NaN</formula2>
    </dataValidation>
    <dataValidation type="decimal" allowBlank="1" showInputMessage="1" prompt="Dear Sir/ Madam - Score entered is greater than Max. Marks allotted." showErrorMessage="1" sqref="BF167">
      <formula1>0</formula1>
      <formula2>NaN</formula2>
    </dataValidation>
    <dataValidation type="decimal" allowBlank="1" showInputMessage="1" prompt="Dear Sir/ Madam - Score entered is greater than Max. Marks allotted." showErrorMessage="1" sqref="BF168">
      <formula1>0</formula1>
      <formula2>NaN</formula2>
    </dataValidation>
    <dataValidation type="decimal" allowBlank="1" showInputMessage="1" prompt="Dear Sir/ Madam - Score entered is greater than Max. Marks allotted." showErrorMessage="1" sqref="BF169">
      <formula1>0</formula1>
      <formula2>NaN</formula2>
    </dataValidation>
    <dataValidation type="decimal" allowBlank="1" showInputMessage="1" prompt="Dear Sir/ Madam - Score entered is greater than Max. Marks allotted." showErrorMessage="1" sqref="BF17">
      <formula1>0</formula1>
      <formula2>NaN</formula2>
    </dataValidation>
    <dataValidation type="decimal" allowBlank="1" showInputMessage="1" prompt="Dear Sir/ Madam - Score entered is greater than Max. Marks allotted." showErrorMessage="1" sqref="BF170">
      <formula1>0</formula1>
      <formula2>NaN</formula2>
    </dataValidation>
    <dataValidation type="decimal" allowBlank="1" showInputMessage="1" prompt="Dear Sir/ Madam - Score entered is greater than Max. Marks allotted." showErrorMessage="1" sqref="BF171">
      <formula1>0</formula1>
      <formula2>NaN</formula2>
    </dataValidation>
    <dataValidation type="decimal" allowBlank="1" showInputMessage="1" prompt="Dear Sir/ Madam - Score entered is greater than Max. Marks allotted." showErrorMessage="1" sqref="BF172">
      <formula1>0</formula1>
      <formula2>NaN</formula2>
    </dataValidation>
    <dataValidation type="decimal" allowBlank="1" showInputMessage="1" prompt="Dear Sir/ Madam - Score entered is greater than Max. Marks allotted." showErrorMessage="1" sqref="BF173">
      <formula1>0</formula1>
      <formula2>NaN</formula2>
    </dataValidation>
    <dataValidation type="decimal" allowBlank="1" showInputMessage="1" prompt="Dear Sir/ Madam - Score entered is greater than Max. Marks allotted." showErrorMessage="1" sqref="BF174">
      <formula1>0</formula1>
      <formula2>NaN</formula2>
    </dataValidation>
    <dataValidation type="decimal" allowBlank="1" showInputMessage="1" prompt="Dear Sir/ Madam - Score entered is greater than Max. Marks allotted." showErrorMessage="1" sqref="BF175">
      <formula1>0</formula1>
      <formula2>NaN</formula2>
    </dataValidation>
    <dataValidation type="decimal" allowBlank="1" showInputMessage="1" prompt="Dear Sir/ Madam - Score entered is greater than Max. Marks allotted." showErrorMessage="1" sqref="BF176">
      <formula1>0</formula1>
      <formula2>NaN</formula2>
    </dataValidation>
    <dataValidation type="decimal" allowBlank="1" showInputMessage="1" prompt="Dear Sir/ Madam - Score entered is greater than Max. Marks allotted." showErrorMessage="1" sqref="BF177">
      <formula1>0</formula1>
      <formula2>NaN</formula2>
    </dataValidation>
    <dataValidation type="decimal" allowBlank="1" showInputMessage="1" prompt="Dear Sir/ Madam - Score entered is greater than Max. Marks allotted." showErrorMessage="1" sqref="BF178">
      <formula1>0</formula1>
      <formula2>NaN</formula2>
    </dataValidation>
    <dataValidation type="decimal" allowBlank="1" showInputMessage="1" prompt="Dear Sir/ Madam - Score entered is greater than Max. Marks allotted." showErrorMessage="1" sqref="BF179">
      <formula1>0</formula1>
      <formula2>NaN</formula2>
    </dataValidation>
    <dataValidation type="decimal" allowBlank="1" showInputMessage="1" prompt="Dear Sir/ Madam - Score entered is greater than Max. Marks allotted." showErrorMessage="1" sqref="BF18">
      <formula1>0</formula1>
      <formula2>NaN</formula2>
    </dataValidation>
    <dataValidation type="decimal" allowBlank="1" showInputMessage="1" prompt="Dear Sir/ Madam - Score entered is greater than Max. Marks allotted." showErrorMessage="1" sqref="BF180">
      <formula1>0</formula1>
      <formula2>NaN</formula2>
    </dataValidation>
    <dataValidation type="decimal" allowBlank="1" showInputMessage="1" prompt="Dear Sir/ Madam - Score entered is greater than Max. Marks allotted." showErrorMessage="1" sqref="BF181">
      <formula1>0</formula1>
      <formula2>NaN</formula2>
    </dataValidation>
    <dataValidation type="decimal" allowBlank="1" showInputMessage="1" prompt="Dear Sir/ Madam - Score entered is greater than Max. Marks allotted." showErrorMessage="1" sqref="BF182">
      <formula1>0</formula1>
      <formula2>NaN</formula2>
    </dataValidation>
    <dataValidation type="decimal" allowBlank="1" showInputMessage="1" prompt="Dear Sir/ Madam - Score entered is greater than Max. Marks allotted." showErrorMessage="1" sqref="BF183">
      <formula1>0</formula1>
      <formula2>NaN</formula2>
    </dataValidation>
    <dataValidation type="decimal" allowBlank="1" showInputMessage="1" prompt="Dear Sir/ Madam - Score entered is greater than Max. Marks allotted." showErrorMessage="1" sqref="BF184">
      <formula1>0</formula1>
      <formula2>NaN</formula2>
    </dataValidation>
    <dataValidation type="decimal" allowBlank="1" showInputMessage="1" prompt="Dear Sir/ Madam - Score entered is greater than Max. Marks allotted." showErrorMessage="1" sqref="BF185">
      <formula1>0</formula1>
      <formula2>NaN</formula2>
    </dataValidation>
    <dataValidation type="decimal" allowBlank="1" showInputMessage="1" prompt="Dear Sir/ Madam - Score entered is greater than Max. Marks allotted." showErrorMessage="1" sqref="BF186">
      <formula1>0</formula1>
      <formula2>NaN</formula2>
    </dataValidation>
    <dataValidation type="decimal" allowBlank="1" showInputMessage="1" prompt="Dear Sir/ Madam - Score entered is greater than Max. Marks allotted." showErrorMessage="1" sqref="BF187">
      <formula1>0</formula1>
      <formula2>NaN</formula2>
    </dataValidation>
    <dataValidation type="decimal" allowBlank="1" showInputMessage="1" prompt="Dear Sir/ Madam - Score entered is greater than Max. Marks allotted." showErrorMessage="1" sqref="BF188">
      <formula1>0</formula1>
      <formula2>NaN</formula2>
    </dataValidation>
    <dataValidation type="decimal" allowBlank="1" showInputMessage="1" prompt="Dear Sir/ Madam - Score entered is greater than Max. Marks allotted." showErrorMessage="1" sqref="BF189">
      <formula1>0</formula1>
      <formula2>NaN</formula2>
    </dataValidation>
    <dataValidation type="decimal" allowBlank="1" showInputMessage="1" prompt="Dear Sir/ Madam - Score entered is greater than Max. Marks allotted." showErrorMessage="1" sqref="BF19">
      <formula1>0</formula1>
      <formula2>NaN</formula2>
    </dataValidation>
    <dataValidation type="decimal" allowBlank="1" showInputMessage="1" prompt="Dear Sir/ Madam - Score entered is greater than Max. Marks allotted." showErrorMessage="1" sqref="BF190">
      <formula1>0</formula1>
      <formula2>NaN</formula2>
    </dataValidation>
    <dataValidation type="decimal" allowBlank="1" showInputMessage="1" prompt="Dear Sir/ Madam - Score entered is greater than Max. Marks allotted." showErrorMessage="1" sqref="BF191">
      <formula1>0</formula1>
      <formula2>NaN</formula2>
    </dataValidation>
    <dataValidation type="decimal" allowBlank="1" showInputMessage="1" prompt="Dear Sir/ Madam - Score entered is greater than Max. Marks allotted." showErrorMessage="1" sqref="BF192">
      <formula1>0</formula1>
      <formula2>NaN</formula2>
    </dataValidation>
    <dataValidation type="decimal" allowBlank="1" showInputMessage="1" prompt="Dear Sir/ Madam - Score entered is greater than Max. Marks allotted." showErrorMessage="1" sqref="BF193">
      <formula1>0</formula1>
      <formula2>NaN</formula2>
    </dataValidation>
    <dataValidation type="decimal" allowBlank="1" showInputMessage="1" prompt="Dear Sir/ Madam - Score entered is greater than Max. Marks allotted." showErrorMessage="1" sqref="BF194">
      <formula1>0</formula1>
      <formula2>NaN</formula2>
    </dataValidation>
    <dataValidation type="decimal" allowBlank="1" showInputMessage="1" prompt="Dear Sir/ Madam - Score entered is greater than Max. Marks allotted." showErrorMessage="1" sqref="BF195">
      <formula1>0</formula1>
      <formula2>NaN</formula2>
    </dataValidation>
    <dataValidation type="decimal" allowBlank="1" showInputMessage="1" prompt="Dear Sir/ Madam - Score entered is greater than Max. Marks allotted." showErrorMessage="1" sqref="BF196">
      <formula1>0</formula1>
      <formula2>NaN</formula2>
    </dataValidation>
    <dataValidation type="decimal" allowBlank="1" showInputMessage="1" prompt="Dear Sir/ Madam - Score entered is greater than Max. Marks allotted." showErrorMessage="1" sqref="BF197">
      <formula1>0</formula1>
      <formula2>NaN</formula2>
    </dataValidation>
    <dataValidation type="decimal" allowBlank="1" showInputMessage="1" prompt="Dear Sir/ Madam - Score entered is greater than Max. Marks allotted." showErrorMessage="1" sqref="BF198">
      <formula1>0</formula1>
      <formula2>NaN</formula2>
    </dataValidation>
    <dataValidation type="decimal" allowBlank="1" showInputMessage="1" prompt="Dear Sir/ Madam - Score entered is greater than Max. Marks allotted." showErrorMessage="1" sqref="BF199">
      <formula1>0</formula1>
      <formula2>NaN</formula2>
    </dataValidation>
    <dataValidation type="decimal" allowBlank="1" showInputMessage="1" prompt="Dear Sir/ Madam - Score entered is greater than Max. Marks allotted." showErrorMessage="1" sqref="BF20">
      <formula1>0</formula1>
      <formula2>NaN</formula2>
    </dataValidation>
    <dataValidation type="decimal" allowBlank="1" showInputMessage="1" prompt="Dear Sir/ Madam - Score entered is greater than Max. Marks allotted." showErrorMessage="1" sqref="BF200">
      <formula1>0</formula1>
      <formula2>NaN</formula2>
    </dataValidation>
    <dataValidation type="decimal" allowBlank="1" showInputMessage="1" prompt="Dear Sir/ Madam - Score entered is greater than Max. Marks allotted." showErrorMessage="1" sqref="BF21">
      <formula1>0</formula1>
      <formula2>NaN</formula2>
    </dataValidation>
    <dataValidation type="decimal" allowBlank="1" showInputMessage="1" prompt="Dear Sir/ Madam - Score entered is greater than Max. Marks allotted." showErrorMessage="1" sqref="BF22">
      <formula1>0</formula1>
      <formula2>NaN</formula2>
    </dataValidation>
    <dataValidation type="decimal" allowBlank="1" showInputMessage="1" prompt="Dear Sir/ Madam - Score entered is greater than Max. Marks allotted." showErrorMessage="1" sqref="BF23">
      <formula1>0</formula1>
      <formula2>NaN</formula2>
    </dataValidation>
    <dataValidation type="decimal" allowBlank="1" showInputMessage="1" prompt="Dear Sir/ Madam - Score entered is greater than Max. Marks allotted." showErrorMessage="1" sqref="BF24">
      <formula1>0</formula1>
      <formula2>NaN</formula2>
    </dataValidation>
    <dataValidation type="decimal" allowBlank="1" showInputMessage="1" prompt="Dear Sir/ Madam - Score entered is greater than Max. Marks allotted." showErrorMessage="1" sqref="BF25">
      <formula1>0</formula1>
      <formula2>NaN</formula2>
    </dataValidation>
    <dataValidation type="decimal" allowBlank="1" showInputMessage="1" prompt="Dear Sir/ Madam - Score entered is greater than Max. Marks allotted." showErrorMessage="1" sqref="BF26">
      <formula1>0</formula1>
      <formula2>NaN</formula2>
    </dataValidation>
    <dataValidation type="decimal" allowBlank="1" showInputMessage="1" prompt="Dear Sir/ Madam - Score entered is greater than Max. Marks allotted." showErrorMessage="1" sqref="BF27">
      <formula1>0</formula1>
      <formula2>NaN</formula2>
    </dataValidation>
    <dataValidation type="decimal" allowBlank="1" showInputMessage="1" prompt="Dear Sir/ Madam - Score entered is greater than Max. Marks allotted." showErrorMessage="1" sqref="BF28">
      <formula1>0</formula1>
      <formula2>NaN</formula2>
    </dataValidation>
    <dataValidation type="decimal" allowBlank="1" showInputMessage="1" prompt="Dear Sir/ Madam - Score entered is greater than Max. Marks allotted." showErrorMessage="1" sqref="BF29">
      <formula1>0</formula1>
      <formula2>NaN</formula2>
    </dataValidation>
    <dataValidation type="decimal" allowBlank="1" showInputMessage="1" prompt="Dear Sir/ Madam - Score entered is greater than Max. Marks allotted." showErrorMessage="1" sqref="BF30">
      <formula1>0</formula1>
      <formula2>NaN</formula2>
    </dataValidation>
    <dataValidation type="decimal" allowBlank="1" showInputMessage="1" prompt="Dear Sir/ Madam - Score entered is greater than Max. Marks allotted." showErrorMessage="1" sqref="BF31">
      <formula1>0</formula1>
      <formula2>NaN</formula2>
    </dataValidation>
    <dataValidation type="decimal" allowBlank="1" showInputMessage="1" prompt="Dear Sir/ Madam - Score entered is greater than Max. Marks allotted." showErrorMessage="1" sqref="BF32">
      <formula1>0</formula1>
      <formula2>NaN</formula2>
    </dataValidation>
    <dataValidation type="decimal" allowBlank="1" showInputMessage="1" prompt="Dear Sir/ Madam - Score entered is greater than Max. Marks allotted." showErrorMessage="1" sqref="BF33">
      <formula1>0</formula1>
      <formula2>NaN</formula2>
    </dataValidation>
    <dataValidation type="decimal" allowBlank="1" showInputMessage="1" prompt="Dear Sir/ Madam - Score entered is greater than Max. Marks allotted." showErrorMessage="1" sqref="BF34">
      <formula1>0</formula1>
      <formula2>NaN</formula2>
    </dataValidation>
    <dataValidation type="decimal" allowBlank="1" showInputMessage="1" prompt="Dear Sir/ Madam - Score entered is greater than Max. Marks allotted." showErrorMessage="1" sqref="BF35">
      <formula1>0</formula1>
      <formula2>NaN</formula2>
    </dataValidation>
    <dataValidation type="decimal" allowBlank="1" showInputMessage="1" prompt="Dear Sir/ Madam - Score entered is greater than Max. Marks allotted." showErrorMessage="1" sqref="BF36">
      <formula1>0</formula1>
      <formula2>NaN</formula2>
    </dataValidation>
    <dataValidation type="decimal" allowBlank="1" showInputMessage="1" prompt="Dear Sir/ Madam - Score entered is greater than Max. Marks allotted." showErrorMessage="1" sqref="BF37">
      <formula1>0</formula1>
      <formula2>NaN</formula2>
    </dataValidation>
    <dataValidation type="decimal" allowBlank="1" showInputMessage="1" prompt="Dear Sir/ Madam - Score entered is greater than Max. Marks allotted." showErrorMessage="1" sqref="BF38">
      <formula1>0</formula1>
      <formula2>NaN</formula2>
    </dataValidation>
    <dataValidation type="decimal" allowBlank="1" showInputMessage="1" prompt="Dear Sir/ Madam - Score entered is greater than Max. Marks allotted." showErrorMessage="1" sqref="BF39">
      <formula1>0</formula1>
      <formula2>NaN</formula2>
    </dataValidation>
    <dataValidation type="decimal" allowBlank="1" showInputMessage="1" prompt="Dear Sir/ Madam - Score entered is greater than Max. Marks allotted." showErrorMessage="1" sqref="BF40">
      <formula1>0</formula1>
      <formula2>NaN</formula2>
    </dataValidation>
    <dataValidation type="decimal" allowBlank="1" showInputMessage="1" prompt="Dear Sir/ Madam - Score entered is greater than Max. Marks allotted." showErrorMessage="1" sqref="BF41">
      <formula1>0</formula1>
      <formula2>NaN</formula2>
    </dataValidation>
    <dataValidation type="decimal" allowBlank="1" showInputMessage="1" prompt="Dear Sir/ Madam - Score entered is greater than Max. Marks allotted." showErrorMessage="1" sqref="BF42">
      <formula1>0</formula1>
      <formula2>NaN</formula2>
    </dataValidation>
    <dataValidation type="decimal" allowBlank="1" showInputMessage="1" prompt="Dear Sir/ Madam - Score entered is greater than Max. Marks allotted." showErrorMessage="1" sqref="BF43">
      <formula1>0</formula1>
      <formula2>NaN</formula2>
    </dataValidation>
    <dataValidation type="decimal" allowBlank="1" showInputMessage="1" prompt="Dear Sir/ Madam - Score entered is greater than Max. Marks allotted." showErrorMessage="1" sqref="BF44">
      <formula1>0</formula1>
      <formula2>NaN</formula2>
    </dataValidation>
    <dataValidation type="decimal" allowBlank="1" showInputMessage="1" prompt="Dear Sir/ Madam - Score entered is greater than Max. Marks allotted." showErrorMessage="1" sqref="BF45">
      <formula1>0</formula1>
      <formula2>NaN</formula2>
    </dataValidation>
    <dataValidation type="decimal" allowBlank="1" showInputMessage="1" prompt="Dear Sir/ Madam - Score entered is greater than Max. Marks allotted." showErrorMessage="1" sqref="BF46">
      <formula1>0</formula1>
      <formula2>NaN</formula2>
    </dataValidation>
    <dataValidation type="decimal" allowBlank="1" showInputMessage="1" prompt="Dear Sir/ Madam - Score entered is greater than Max. Marks allotted." showErrorMessage="1" sqref="BF47">
      <formula1>0</formula1>
      <formula2>NaN</formula2>
    </dataValidation>
    <dataValidation type="decimal" allowBlank="1" showInputMessage="1" prompt="Dear Sir/ Madam - Score entered is greater than Max. Marks allotted." showErrorMessage="1" sqref="BF48">
      <formula1>0</formula1>
      <formula2>NaN</formula2>
    </dataValidation>
    <dataValidation type="decimal" allowBlank="1" showInputMessage="1" prompt="Dear Sir/ Madam - Score entered is greater than Max. Marks allotted." showErrorMessage="1" sqref="BF49">
      <formula1>0</formula1>
      <formula2>NaN</formula2>
    </dataValidation>
    <dataValidation type="decimal" allowBlank="1" showInputMessage="1" prompt="Dear Sir/ Madam - Score entered is greater than Max. Marks allotted." showErrorMessage="1" sqref="BF50">
      <formula1>0</formula1>
      <formula2>NaN</formula2>
    </dataValidation>
    <dataValidation type="decimal" allowBlank="1" showInputMessage="1" prompt="Dear Sir/ Madam - Score entered is greater than Max. Marks allotted." showErrorMessage="1" sqref="BF51">
      <formula1>0</formula1>
      <formula2>NaN</formula2>
    </dataValidation>
    <dataValidation type="decimal" allowBlank="1" showInputMessage="1" prompt="Dear Sir/ Madam - Score entered is greater than Max. Marks allotted." showErrorMessage="1" sqref="BF52">
      <formula1>0</formula1>
      <formula2>NaN</formula2>
    </dataValidation>
    <dataValidation type="decimal" allowBlank="1" showInputMessage="1" prompt="Dear Sir/ Madam - Score entered is greater than Max. Marks allotted." showErrorMessage="1" sqref="BF53">
      <formula1>0</formula1>
      <formula2>NaN</formula2>
    </dataValidation>
    <dataValidation type="decimal" allowBlank="1" showInputMessage="1" prompt="Dear Sir/ Madam - Score entered is greater than Max. Marks allotted." showErrorMessage="1" sqref="BF54">
      <formula1>0</formula1>
      <formula2>NaN</formula2>
    </dataValidation>
    <dataValidation type="decimal" allowBlank="1" showInputMessage="1" prompt="Dear Sir/ Madam - Score entered is greater than Max. Marks allotted." showErrorMessage="1" sqref="BF55">
      <formula1>0</formula1>
      <formula2>NaN</formula2>
    </dataValidation>
    <dataValidation type="decimal" allowBlank="1" showInputMessage="1" prompt="Dear Sir/ Madam - Score entered is greater than Max. Marks allotted." showErrorMessage="1" sqref="BF56">
      <formula1>0</formula1>
      <formula2>NaN</formula2>
    </dataValidation>
    <dataValidation type="decimal" allowBlank="1" showInputMessage="1" prompt="Dear Sir/ Madam - Score entered is greater than Max. Marks allotted." showErrorMessage="1" sqref="BF57">
      <formula1>0</formula1>
      <formula2>NaN</formula2>
    </dataValidation>
    <dataValidation type="decimal" allowBlank="1" showInputMessage="1" prompt="Dear Sir/ Madam - Score entered is greater than Max. Marks allotted." showErrorMessage="1" sqref="BF58">
      <formula1>0</formula1>
      <formula2>NaN</formula2>
    </dataValidation>
    <dataValidation type="decimal" allowBlank="1" showInputMessage="1" prompt="Dear Sir/ Madam - Score entered is greater than Max. Marks allotted." showErrorMessage="1" sqref="BF59">
      <formula1>0</formula1>
      <formula2>NaN</formula2>
    </dataValidation>
    <dataValidation type="decimal" allowBlank="1" showInputMessage="1" prompt="Dear Sir/ Madam - Score entered is greater than Max. Marks allotted." showErrorMessage="1" sqref="BF60">
      <formula1>0</formula1>
      <formula2>NaN</formula2>
    </dataValidation>
    <dataValidation type="decimal" allowBlank="1" showInputMessage="1" prompt="Dear Sir/ Madam - Score entered is greater than Max. Marks allotted." showErrorMessage="1" sqref="BF61">
      <formula1>0</formula1>
      <formula2>NaN</formula2>
    </dataValidation>
    <dataValidation type="decimal" allowBlank="1" showInputMessage="1" prompt="Dear Sir/ Madam - Score entered is greater than Max. Marks allotted." showErrorMessage="1" sqref="BF62">
      <formula1>0</formula1>
      <formula2>NaN</formula2>
    </dataValidation>
    <dataValidation type="decimal" allowBlank="1" showInputMessage="1" prompt="Dear Sir/ Madam - Score entered is greater than Max. Marks allotted." showErrorMessage="1" sqref="BF63">
      <formula1>0</formula1>
      <formula2>NaN</formula2>
    </dataValidation>
    <dataValidation type="decimal" allowBlank="1" showInputMessage="1" prompt="Dear Sir/ Madam - Score entered is greater than Max. Marks allotted." showErrorMessage="1" sqref="BF64">
      <formula1>0</formula1>
      <formula2>NaN</formula2>
    </dataValidation>
    <dataValidation type="decimal" allowBlank="1" showInputMessage="1" prompt="Dear Sir/ Madam - Score entered is greater than Max. Marks allotted." showErrorMessage="1" sqref="BF65">
      <formula1>0</formula1>
      <formula2>NaN</formula2>
    </dataValidation>
    <dataValidation type="decimal" allowBlank="1" showInputMessage="1" prompt="Dear Sir/ Madam - Score entered is greater than Max. Marks allotted." showErrorMessage="1" sqref="BF66">
      <formula1>0</formula1>
      <formula2>NaN</formula2>
    </dataValidation>
    <dataValidation type="decimal" allowBlank="1" showInputMessage="1" prompt="Dear Sir/ Madam - Score entered is greater than Max. Marks allotted." showErrorMessage="1" sqref="BF67">
      <formula1>0</formula1>
      <formula2>NaN</formula2>
    </dataValidation>
    <dataValidation type="decimal" allowBlank="1" showInputMessage="1" prompt="Dear Sir/ Madam - Score entered is greater than Max. Marks allotted." showErrorMessage="1" sqref="BF68">
      <formula1>0</formula1>
      <formula2>NaN</formula2>
    </dataValidation>
    <dataValidation type="decimal" allowBlank="1" showInputMessage="1" prompt="Dear Sir/ Madam - Score entered is greater than Max. Marks allotted." showErrorMessage="1" sqref="BF69">
      <formula1>0</formula1>
      <formula2>NaN</formula2>
    </dataValidation>
    <dataValidation type="decimal" allowBlank="1" showInputMessage="1" prompt="Dear Sir/ Madam - Score entered is greater than Max. Marks allotted." showErrorMessage="1" sqref="BF70">
      <formula1>0</formula1>
      <formula2>NaN</formula2>
    </dataValidation>
    <dataValidation type="decimal" allowBlank="1" showInputMessage="1" prompt="Dear Sir/ Madam - Score entered is greater than Max. Marks allotted." showErrorMessage="1" sqref="BF71">
      <formula1>0</formula1>
      <formula2>NaN</formula2>
    </dataValidation>
    <dataValidation type="decimal" allowBlank="1" showInputMessage="1" prompt="Dear Sir/ Madam - Score entered is greater than Max. Marks allotted." showErrorMessage="1" sqref="BF72">
      <formula1>0</formula1>
      <formula2>NaN</formula2>
    </dataValidation>
    <dataValidation type="decimal" allowBlank="1" showInputMessage="1" prompt="Dear Sir/ Madam - Score entered is greater than Max. Marks allotted." showErrorMessage="1" sqref="BF73">
      <formula1>0</formula1>
      <formula2>NaN</formula2>
    </dataValidation>
    <dataValidation type="decimal" allowBlank="1" showInputMessage="1" prompt="Dear Sir/ Madam - Score entered is greater than Max. Marks allotted." showErrorMessage="1" sqref="BF74">
      <formula1>0</formula1>
      <formula2>NaN</formula2>
    </dataValidation>
    <dataValidation type="decimal" allowBlank="1" showInputMessage="1" prompt="Dear Sir/ Madam - Score entered is greater than Max. Marks allotted." showErrorMessage="1" sqref="BF75">
      <formula1>0</formula1>
      <formula2>NaN</formula2>
    </dataValidation>
    <dataValidation type="decimal" allowBlank="1" showInputMessage="1" prompt="Dear Sir/ Madam - Score entered is greater than Max. Marks allotted." showErrorMessage="1" sqref="BF76">
      <formula1>0</formula1>
      <formula2>NaN</formula2>
    </dataValidation>
    <dataValidation type="decimal" allowBlank="1" showInputMessage="1" prompt="Dear Sir/ Madam - Score entered is greater than Max. Marks allotted." showErrorMessage="1" sqref="BF77">
      <formula1>0</formula1>
      <formula2>NaN</formula2>
    </dataValidation>
    <dataValidation type="decimal" allowBlank="1" showInputMessage="1" prompt="Dear Sir/ Madam - Score entered is greater than Max. Marks allotted." showErrorMessage="1" sqref="BF78">
      <formula1>0</formula1>
      <formula2>NaN</formula2>
    </dataValidation>
    <dataValidation type="decimal" allowBlank="1" showInputMessage="1" prompt="Dear Sir/ Madam - Score entered is greater than Max. Marks allotted." showErrorMessage="1" sqref="BF79">
      <formula1>0</formula1>
      <formula2>NaN</formula2>
    </dataValidation>
    <dataValidation type="decimal" allowBlank="1" showInputMessage="1" prompt="Dear Sir/ Madam - Score entered is greater than Max. Marks allotted." showErrorMessage="1" sqref="BF80">
      <formula1>0</formula1>
      <formula2>NaN</formula2>
    </dataValidation>
    <dataValidation type="decimal" allowBlank="1" showInputMessage="1" prompt="Dear Sir/ Madam - Score entered is greater than Max. Marks allotted." showErrorMessage="1" sqref="BF81">
      <formula1>0</formula1>
      <formula2>NaN</formula2>
    </dataValidation>
    <dataValidation type="decimal" allowBlank="1" showInputMessage="1" prompt="Dear Sir/ Madam - Score entered is greater than Max. Marks allotted." showErrorMessage="1" sqref="BF82">
      <formula1>0</formula1>
      <formula2>NaN</formula2>
    </dataValidation>
    <dataValidation type="decimal" allowBlank="1" showInputMessage="1" prompt="Dear Sir/ Madam - Score entered is greater than Max. Marks allotted." showErrorMessage="1" sqref="BF83">
      <formula1>0</formula1>
      <formula2>NaN</formula2>
    </dataValidation>
    <dataValidation type="decimal" allowBlank="1" showInputMessage="1" prompt="Dear Sir/ Madam - Score entered is greater than Max. Marks allotted." showErrorMessage="1" sqref="BF84">
      <formula1>0</formula1>
      <formula2>NaN</formula2>
    </dataValidation>
    <dataValidation type="decimal" allowBlank="1" showInputMessage="1" prompt="Dear Sir/ Madam - Score entered is greater than Max. Marks allotted." showErrorMessage="1" sqref="BF85">
      <formula1>0</formula1>
      <formula2>NaN</formula2>
    </dataValidation>
    <dataValidation type="decimal" allowBlank="1" showInputMessage="1" prompt="Dear Sir/ Madam - Score entered is greater than Max. Marks allotted." showErrorMessage="1" sqref="BF86">
      <formula1>0</formula1>
      <formula2>NaN</formula2>
    </dataValidation>
    <dataValidation type="decimal" allowBlank="1" showInputMessage="1" prompt="Dear Sir/ Madam - Score entered is greater than Max. Marks allotted." showErrorMessage="1" sqref="BF87">
      <formula1>0</formula1>
      <formula2>NaN</formula2>
    </dataValidation>
    <dataValidation type="decimal" allowBlank="1" showInputMessage="1" prompt="Dear Sir/ Madam - Score entered is greater than Max. Marks allotted." showErrorMessage="1" sqref="BF88">
      <formula1>0</formula1>
      <formula2>NaN</formula2>
    </dataValidation>
    <dataValidation type="decimal" allowBlank="1" showInputMessage="1" prompt="Dear Sir/ Madam - Score entered is greater than Max. Marks allotted." showErrorMessage="1" sqref="BF89">
      <formula1>0</formula1>
      <formula2>NaN</formula2>
    </dataValidation>
    <dataValidation type="decimal" allowBlank="1" showInputMessage="1" prompt="Dear Sir/ Madam - Score entered is greater than Max. Marks allotted." showErrorMessage="1" sqref="BF90">
      <formula1>0</formula1>
      <formula2>NaN</formula2>
    </dataValidation>
    <dataValidation type="decimal" allowBlank="1" showInputMessage="1" prompt="Dear Sir/ Madam - Score entered is greater than Max. Marks allotted." showErrorMessage="1" sqref="BF91">
      <formula1>0</formula1>
      <formula2>NaN</formula2>
    </dataValidation>
    <dataValidation type="decimal" allowBlank="1" showInputMessage="1" prompt="Dear Sir/ Madam - Score entered is greater than Max. Marks allotted." showErrorMessage="1" sqref="BF92">
      <formula1>0</formula1>
      <formula2>NaN</formula2>
    </dataValidation>
    <dataValidation type="decimal" allowBlank="1" showInputMessage="1" prompt="Dear Sir/ Madam - Score entered is greater than Max. Marks allotted." showErrorMessage="1" sqref="BF93">
      <formula1>0</formula1>
      <formula2>NaN</formula2>
    </dataValidation>
    <dataValidation type="decimal" allowBlank="1" showInputMessage="1" prompt="Dear Sir/ Madam - Score entered is greater than Max. Marks allotted." showErrorMessage="1" sqref="BF94">
      <formula1>0</formula1>
      <formula2>NaN</formula2>
    </dataValidation>
    <dataValidation type="decimal" allowBlank="1" showInputMessage="1" prompt="Dear Sir/ Madam - Score entered is greater than Max. Marks allotted." showErrorMessage="1" sqref="BF95">
      <formula1>0</formula1>
      <formula2>NaN</formula2>
    </dataValidation>
    <dataValidation type="decimal" allowBlank="1" showInputMessage="1" prompt="Dear Sir/ Madam - Score entered is greater than Max. Marks allotted." showErrorMessage="1" sqref="BF96">
      <formula1>0</formula1>
      <formula2>NaN</formula2>
    </dataValidation>
    <dataValidation type="decimal" allowBlank="1" showInputMessage="1" prompt="Dear Sir/ Madam - Score entered is greater than Max. Marks allotted." showErrorMessage="1" sqref="BF97">
      <formula1>0</formula1>
      <formula2>NaN</formula2>
    </dataValidation>
    <dataValidation type="decimal" allowBlank="1" showInputMessage="1" prompt="Dear Sir/ Madam - Score entered is greater than Max. Marks allotted." showErrorMessage="1" sqref="BF98">
      <formula1>0</formula1>
      <formula2>NaN</formula2>
    </dataValidation>
    <dataValidation type="decimal" allowBlank="1" showInputMessage="1" prompt="Dear Sir/ Madam - Score entered is greater than Max. Marks allotted." showErrorMessage="1" sqref="BF99">
      <formula1>0</formula1>
      <formula2>NaN</formula2>
    </dataValidation>
    <dataValidation type="decimal" allowBlank="1" showInputMessage="1" prompt="Dear Sir/ Madam - Score entered is greater than Max. Marks allotted." showErrorMessage="1" sqref="BG100">
      <formula1>0</formula1>
      <formula2>NaN</formula2>
    </dataValidation>
    <dataValidation type="decimal" allowBlank="1" showInputMessage="1" prompt="Dear Sir/ Madam - Score entered is greater than Max. Marks allotted." showErrorMessage="1" sqref="BG101">
      <formula1>0</formula1>
      <formula2>NaN</formula2>
    </dataValidation>
    <dataValidation type="decimal" allowBlank="1" showInputMessage="1" prompt="Dear Sir/ Madam - Score entered is greater than Max. Marks allotted." showErrorMessage="1" sqref="BG102">
      <formula1>0</formula1>
      <formula2>NaN</formula2>
    </dataValidation>
    <dataValidation type="decimal" allowBlank="1" showInputMessage="1" prompt="Dear Sir/ Madam - Score entered is greater than Max. Marks allotted." showErrorMessage="1" sqref="BG103">
      <formula1>0</formula1>
      <formula2>NaN</formula2>
    </dataValidation>
    <dataValidation type="decimal" allowBlank="1" showInputMessage="1" prompt="Dear Sir/ Madam - Score entered is greater than Max. Marks allotted." showErrorMessage="1" sqref="BG104">
      <formula1>0</formula1>
      <formula2>NaN</formula2>
    </dataValidation>
    <dataValidation type="decimal" allowBlank="1" showInputMessage="1" prompt="Dear Sir/ Madam - Score entered is greater than Max. Marks allotted." showErrorMessage="1" sqref="BG105">
      <formula1>0</formula1>
      <formula2>NaN</formula2>
    </dataValidation>
    <dataValidation type="decimal" allowBlank="1" showInputMessage="1" prompt="Dear Sir/ Madam - Score entered is greater than Max. Marks allotted." showErrorMessage="1" sqref="BG106">
      <formula1>0</formula1>
      <formula2>NaN</formula2>
    </dataValidation>
    <dataValidation type="decimal" allowBlank="1" showInputMessage="1" prompt="Dear Sir/ Madam - Score entered is greater than Max. Marks allotted." showErrorMessage="1" sqref="BG107">
      <formula1>0</formula1>
      <formula2>NaN</formula2>
    </dataValidation>
    <dataValidation type="decimal" allowBlank="1" showInputMessage="1" prompt="Dear Sir/ Madam - Score entered is greater than Max. Marks allotted." showErrorMessage="1" sqref="BG108">
      <formula1>0</formula1>
      <formula2>NaN</formula2>
    </dataValidation>
    <dataValidation type="decimal" allowBlank="1" showInputMessage="1" prompt="Dear Sir/ Madam - Score entered is greater than Max. Marks allotted." showErrorMessage="1" sqref="BG109">
      <formula1>0</formula1>
      <formula2>NaN</formula2>
    </dataValidation>
    <dataValidation type="decimal" allowBlank="1" showInputMessage="1" prompt="Dear Sir/ Madam - Score entered is greater than Max. Marks allotted." showErrorMessage="1" sqref="BG110">
      <formula1>0</formula1>
      <formula2>NaN</formula2>
    </dataValidation>
    <dataValidation type="decimal" allowBlank="1" showInputMessage="1" prompt="Dear Sir/ Madam - Score entered is greater than Max. Marks allotted." showErrorMessage="1" sqref="BG111">
      <formula1>0</formula1>
      <formula2>NaN</formula2>
    </dataValidation>
    <dataValidation type="decimal" allowBlank="1" showInputMessage="1" prompt="Dear Sir/ Madam - Score entered is greater than Max. Marks allotted." showErrorMessage="1" sqref="BG112">
      <formula1>0</formula1>
      <formula2>NaN</formula2>
    </dataValidation>
    <dataValidation type="decimal" allowBlank="1" showInputMessage="1" prompt="Dear Sir/ Madam - Score entered is greater than Max. Marks allotted." showErrorMessage="1" sqref="BG113">
      <formula1>0</formula1>
      <formula2>NaN</formula2>
    </dataValidation>
    <dataValidation type="decimal" allowBlank="1" showInputMessage="1" prompt="Dear Sir/ Madam - Score entered is greater than Max. Marks allotted." showErrorMessage="1" sqref="BG114">
      <formula1>0</formula1>
      <formula2>NaN</formula2>
    </dataValidation>
    <dataValidation type="decimal" allowBlank="1" showInputMessage="1" prompt="Dear Sir/ Madam - Score entered is greater than Max. Marks allotted." showErrorMessage="1" sqref="BG115">
      <formula1>0</formula1>
      <formula2>NaN</formula2>
    </dataValidation>
    <dataValidation type="decimal" allowBlank="1" showInputMessage="1" prompt="Dear Sir/ Madam - Score entered is greater than Max. Marks allotted." showErrorMessage="1" sqref="BG116">
      <formula1>0</formula1>
      <formula2>NaN</formula2>
    </dataValidation>
    <dataValidation type="decimal" allowBlank="1" showInputMessage="1" prompt="Dear Sir/ Madam - Score entered is greater than Max. Marks allotted." showErrorMessage="1" sqref="BG117">
      <formula1>0</formula1>
      <formula2>NaN</formula2>
    </dataValidation>
    <dataValidation type="decimal" allowBlank="1" showInputMessage="1" prompt="Dear Sir/ Madam - Score entered is greater than Max. Marks allotted." showErrorMessage="1" sqref="BG118">
      <formula1>0</formula1>
      <formula2>NaN</formula2>
    </dataValidation>
    <dataValidation type="decimal" allowBlank="1" showInputMessage="1" prompt="Dear Sir/ Madam - Score entered is greater than Max. Marks allotted." showErrorMessage="1" sqref="BG119">
      <formula1>0</formula1>
      <formula2>NaN</formula2>
    </dataValidation>
    <dataValidation type="decimal" allowBlank="1" showInputMessage="1" prompt="Dear Sir/ Madam - Score entered is greater than Max. Marks allotted." showErrorMessage="1" sqref="BG120">
      <formula1>0</formula1>
      <formula2>NaN</formula2>
    </dataValidation>
    <dataValidation type="decimal" allowBlank="1" showInputMessage="1" prompt="Dear Sir/ Madam - Score entered is greater than Max. Marks allotted." showErrorMessage="1" sqref="BG121">
      <formula1>0</formula1>
      <formula2>NaN</formula2>
    </dataValidation>
    <dataValidation type="decimal" allowBlank="1" showInputMessage="1" prompt="Dear Sir/ Madam - Score entered is greater than Max. Marks allotted." showErrorMessage="1" sqref="BG122">
      <formula1>0</formula1>
      <formula2>NaN</formula2>
    </dataValidation>
    <dataValidation type="decimal" allowBlank="1" showInputMessage="1" prompt="Dear Sir/ Madam - Score entered is greater than Max. Marks allotted." showErrorMessage="1" sqref="BG123">
      <formula1>0</formula1>
      <formula2>NaN</formula2>
    </dataValidation>
    <dataValidation type="decimal" allowBlank="1" showInputMessage="1" prompt="Dear Sir/ Madam - Score entered is greater than Max. Marks allotted." showErrorMessage="1" sqref="BG124">
      <formula1>0</formula1>
      <formula2>NaN</formula2>
    </dataValidation>
    <dataValidation type="decimal" allowBlank="1" showInputMessage="1" prompt="Dear Sir/ Madam - Score entered is greater than Max. Marks allotted." showErrorMessage="1" sqref="BG125">
      <formula1>0</formula1>
      <formula2>NaN</formula2>
    </dataValidation>
    <dataValidation type="decimal" allowBlank="1" showInputMessage="1" prompt="Dear Sir/ Madam - Score entered is greater than Max. Marks allotted." showErrorMessage="1" sqref="BG126">
      <formula1>0</formula1>
      <formula2>NaN</formula2>
    </dataValidation>
    <dataValidation type="decimal" allowBlank="1" showInputMessage="1" prompt="Dear Sir/ Madam - Score entered is greater than Max. Marks allotted." showErrorMessage="1" sqref="BG127">
      <formula1>0</formula1>
      <formula2>NaN</formula2>
    </dataValidation>
    <dataValidation type="decimal" allowBlank="1" showInputMessage="1" prompt="Dear Sir/ Madam - Score entered is greater than Max. Marks allotted." showErrorMessage="1" sqref="BG128">
      <formula1>0</formula1>
      <formula2>NaN</formula2>
    </dataValidation>
    <dataValidation type="decimal" allowBlank="1" showInputMessage="1" prompt="Dear Sir/ Madam - Score entered is greater than Max. Marks allotted." showErrorMessage="1" sqref="BG129">
      <formula1>0</formula1>
      <formula2>NaN</formula2>
    </dataValidation>
    <dataValidation type="decimal" allowBlank="1" showInputMessage="1" prompt="Dear Sir/ Madam - Score entered is greater than Max. Marks allotted." showErrorMessage="1" sqref="BG13">
      <formula1>0</formula1>
      <formula2>NaN</formula2>
    </dataValidation>
    <dataValidation type="decimal" allowBlank="1" showInputMessage="1" prompt="Dear Sir/ Madam - Score entered is greater than Max. Marks allotted." showErrorMessage="1" sqref="BG130">
      <formula1>0</formula1>
      <formula2>NaN</formula2>
    </dataValidation>
    <dataValidation type="decimal" allowBlank="1" showInputMessage="1" prompt="Dear Sir/ Madam - Score entered is greater than Max. Marks allotted." showErrorMessage="1" sqref="BG131">
      <formula1>0</formula1>
      <formula2>NaN</formula2>
    </dataValidation>
    <dataValidation type="decimal" allowBlank="1" showInputMessage="1" prompt="Dear Sir/ Madam - Score entered is greater than Max. Marks allotted." showErrorMessage="1" sqref="BG132">
      <formula1>0</formula1>
      <formula2>NaN</formula2>
    </dataValidation>
    <dataValidation type="decimal" allowBlank="1" showInputMessage="1" prompt="Dear Sir/ Madam - Score entered is greater than Max. Marks allotted." showErrorMessage="1" sqref="BG133">
      <formula1>0</formula1>
      <formula2>NaN</formula2>
    </dataValidation>
    <dataValidation type="decimal" allowBlank="1" showInputMessage="1" prompt="Dear Sir/ Madam - Score entered is greater than Max. Marks allotted." showErrorMessage="1" sqref="BG134">
      <formula1>0</formula1>
      <formula2>NaN</formula2>
    </dataValidation>
    <dataValidation type="decimal" allowBlank="1" showInputMessage="1" prompt="Dear Sir/ Madam - Score entered is greater than Max. Marks allotted." showErrorMessage="1" sqref="BG135">
      <formula1>0</formula1>
      <formula2>NaN</formula2>
    </dataValidation>
    <dataValidation type="decimal" allowBlank="1" showInputMessage="1" prompt="Dear Sir/ Madam - Score entered is greater than Max. Marks allotted." showErrorMessage="1" sqref="BG136">
      <formula1>0</formula1>
      <formula2>NaN</formula2>
    </dataValidation>
    <dataValidation type="decimal" allowBlank="1" showInputMessage="1" prompt="Dear Sir/ Madam - Score entered is greater than Max. Marks allotted." showErrorMessage="1" sqref="BG137">
      <formula1>0</formula1>
      <formula2>NaN</formula2>
    </dataValidation>
    <dataValidation type="decimal" allowBlank="1" showInputMessage="1" prompt="Dear Sir/ Madam - Score entered is greater than Max. Marks allotted." showErrorMessage="1" sqref="BG138">
      <formula1>0</formula1>
      <formula2>NaN</formula2>
    </dataValidation>
    <dataValidation type="decimal" allowBlank="1" showInputMessage="1" prompt="Dear Sir/ Madam - Score entered is greater than Max. Marks allotted." showErrorMessage="1" sqref="BG139">
      <formula1>0</formula1>
      <formula2>NaN</formula2>
    </dataValidation>
    <dataValidation type="decimal" allowBlank="1" showInputMessage="1" prompt="Dear Sir/ Madam - Score entered is greater than Max. Marks allotted." showErrorMessage="1" sqref="BG14">
      <formula1>0</formula1>
      <formula2>NaN</formula2>
    </dataValidation>
    <dataValidation type="decimal" allowBlank="1" showInputMessage="1" prompt="Dear Sir/ Madam - Score entered is greater than Max. Marks allotted." showErrorMessage="1" sqref="BG140">
      <formula1>0</formula1>
      <formula2>NaN</formula2>
    </dataValidation>
    <dataValidation type="decimal" allowBlank="1" showInputMessage="1" prompt="Dear Sir/ Madam - Score entered is greater than Max. Marks allotted." showErrorMessage="1" sqref="BG141">
      <formula1>0</formula1>
      <formula2>NaN</formula2>
    </dataValidation>
    <dataValidation type="decimal" allowBlank="1" showInputMessage="1" prompt="Dear Sir/ Madam - Score entered is greater than Max. Marks allotted." showErrorMessage="1" sqref="BG142">
      <formula1>0</formula1>
      <formula2>NaN</formula2>
    </dataValidation>
    <dataValidation type="decimal" allowBlank="1" showInputMessage="1" prompt="Dear Sir/ Madam - Score entered is greater than Max. Marks allotted." showErrorMessage="1" sqref="BG143">
      <formula1>0</formula1>
      <formula2>NaN</formula2>
    </dataValidation>
    <dataValidation type="decimal" allowBlank="1" showInputMessage="1" prompt="Dear Sir/ Madam - Score entered is greater than Max. Marks allotted." showErrorMessage="1" sqref="BG144">
      <formula1>0</formula1>
      <formula2>NaN</formula2>
    </dataValidation>
    <dataValidation type="decimal" allowBlank="1" showInputMessage="1" prompt="Dear Sir/ Madam - Score entered is greater than Max. Marks allotted." showErrorMessage="1" sqref="BG145">
      <formula1>0</formula1>
      <formula2>NaN</formula2>
    </dataValidation>
    <dataValidation type="decimal" allowBlank="1" showInputMessage="1" prompt="Dear Sir/ Madam - Score entered is greater than Max. Marks allotted." showErrorMessage="1" sqref="BG146">
      <formula1>0</formula1>
      <formula2>NaN</formula2>
    </dataValidation>
    <dataValidation type="decimal" allowBlank="1" showInputMessage="1" prompt="Dear Sir/ Madam - Score entered is greater than Max. Marks allotted." showErrorMessage="1" sqref="BG147">
      <formula1>0</formula1>
      <formula2>NaN</formula2>
    </dataValidation>
    <dataValidation type="decimal" allowBlank="1" showInputMessage="1" prompt="Dear Sir/ Madam - Score entered is greater than Max. Marks allotted." showErrorMessage="1" sqref="BG148">
      <formula1>0</formula1>
      <formula2>NaN</formula2>
    </dataValidation>
    <dataValidation type="decimal" allowBlank="1" showInputMessage="1" prompt="Dear Sir/ Madam - Score entered is greater than Max. Marks allotted." showErrorMessage="1" sqref="BG149">
      <formula1>0</formula1>
      <formula2>NaN</formula2>
    </dataValidation>
    <dataValidation type="decimal" allowBlank="1" showInputMessage="1" prompt="Dear Sir/ Madam - Score entered is greater than Max. Marks allotted." showErrorMessage="1" sqref="BG15">
      <formula1>0</formula1>
      <formula2>NaN</formula2>
    </dataValidation>
    <dataValidation type="decimal" allowBlank="1" showInputMessage="1" prompt="Dear Sir/ Madam - Score entered is greater than Max. Marks allotted." showErrorMessage="1" sqref="BG150">
      <formula1>0</formula1>
      <formula2>NaN</formula2>
    </dataValidation>
    <dataValidation type="decimal" allowBlank="1" showInputMessage="1" prompt="Dear Sir/ Madam - Score entered is greater than Max. Marks allotted." showErrorMessage="1" sqref="BG151">
      <formula1>0</formula1>
      <formula2>NaN</formula2>
    </dataValidation>
    <dataValidation type="decimal" allowBlank="1" showInputMessage="1" prompt="Dear Sir/ Madam - Score entered is greater than Max. Marks allotted." showErrorMessage="1" sqref="BG152">
      <formula1>0</formula1>
      <formula2>NaN</formula2>
    </dataValidation>
    <dataValidation type="decimal" allowBlank="1" showInputMessage="1" prompt="Dear Sir/ Madam - Score entered is greater than Max. Marks allotted." showErrorMessage="1" sqref="BG153">
      <formula1>0</formula1>
      <formula2>NaN</formula2>
    </dataValidation>
    <dataValidation type="decimal" allowBlank="1" showInputMessage="1" prompt="Dear Sir/ Madam - Score entered is greater than Max. Marks allotted." showErrorMessage="1" sqref="BG154">
      <formula1>0</formula1>
      <formula2>NaN</formula2>
    </dataValidation>
    <dataValidation type="decimal" allowBlank="1" showInputMessage="1" prompt="Dear Sir/ Madam - Score entered is greater than Max. Marks allotted." showErrorMessage="1" sqref="BG155">
      <formula1>0</formula1>
      <formula2>NaN</formula2>
    </dataValidation>
    <dataValidation type="decimal" allowBlank="1" showInputMessage="1" prompt="Dear Sir/ Madam - Score entered is greater than Max. Marks allotted." showErrorMessage="1" sqref="BG156">
      <formula1>0</formula1>
      <formula2>NaN</formula2>
    </dataValidation>
    <dataValidation type="decimal" allowBlank="1" showInputMessage="1" prompt="Dear Sir/ Madam - Score entered is greater than Max. Marks allotted." showErrorMessage="1" sqref="BG157">
      <formula1>0</formula1>
      <formula2>NaN</formula2>
    </dataValidation>
    <dataValidation type="decimal" allowBlank="1" showInputMessage="1" prompt="Dear Sir/ Madam - Score entered is greater than Max. Marks allotted." showErrorMessage="1" sqref="BG158">
      <formula1>0</formula1>
      <formula2>NaN</formula2>
    </dataValidation>
    <dataValidation type="decimal" allowBlank="1" showInputMessage="1" prompt="Dear Sir/ Madam - Score entered is greater than Max. Marks allotted." showErrorMessage="1" sqref="BG159">
      <formula1>0</formula1>
      <formula2>NaN</formula2>
    </dataValidation>
    <dataValidation type="decimal" allowBlank="1" showInputMessage="1" prompt="Dear Sir/ Madam - Score entered is greater than Max. Marks allotted." showErrorMessage="1" sqref="BG16">
      <formula1>0</formula1>
      <formula2>NaN</formula2>
    </dataValidation>
    <dataValidation type="decimal" allowBlank="1" showInputMessage="1" prompt="Dear Sir/ Madam - Score entered is greater than Max. Marks allotted." showErrorMessage="1" sqref="BG160">
      <formula1>0</formula1>
      <formula2>NaN</formula2>
    </dataValidation>
    <dataValidation type="decimal" allowBlank="1" showInputMessage="1" prompt="Dear Sir/ Madam - Score entered is greater than Max. Marks allotted." showErrorMessage="1" sqref="BG161">
      <formula1>0</formula1>
      <formula2>NaN</formula2>
    </dataValidation>
    <dataValidation type="decimal" allowBlank="1" showInputMessage="1" prompt="Dear Sir/ Madam - Score entered is greater than Max. Marks allotted." showErrorMessage="1" sqref="BG162">
      <formula1>0</formula1>
      <formula2>NaN</formula2>
    </dataValidation>
    <dataValidation type="decimal" allowBlank="1" showInputMessage="1" prompt="Dear Sir/ Madam - Score entered is greater than Max. Marks allotted." showErrorMessage="1" sqref="BG163">
      <formula1>0</formula1>
      <formula2>NaN</formula2>
    </dataValidation>
    <dataValidation type="decimal" allowBlank="1" showInputMessage="1" prompt="Dear Sir/ Madam - Score entered is greater than Max. Marks allotted." showErrorMessage="1" sqref="BG164">
      <formula1>0</formula1>
      <formula2>NaN</formula2>
    </dataValidation>
    <dataValidation type="decimal" allowBlank="1" showInputMessage="1" prompt="Dear Sir/ Madam - Score entered is greater than Max. Marks allotted." showErrorMessage="1" sqref="BG165">
      <formula1>0</formula1>
      <formula2>NaN</formula2>
    </dataValidation>
    <dataValidation type="decimal" allowBlank="1" showInputMessage="1" prompt="Dear Sir/ Madam - Score entered is greater than Max. Marks allotted." showErrorMessage="1" sqref="BG166">
      <formula1>0</formula1>
      <formula2>NaN</formula2>
    </dataValidation>
    <dataValidation type="decimal" allowBlank="1" showInputMessage="1" prompt="Dear Sir/ Madam - Score entered is greater than Max. Marks allotted." showErrorMessage="1" sqref="BG167">
      <formula1>0</formula1>
      <formula2>NaN</formula2>
    </dataValidation>
    <dataValidation type="decimal" allowBlank="1" showInputMessage="1" prompt="Dear Sir/ Madam - Score entered is greater than Max. Marks allotted." showErrorMessage="1" sqref="BG168">
      <formula1>0</formula1>
      <formula2>NaN</formula2>
    </dataValidation>
    <dataValidation type="decimal" allowBlank="1" showInputMessage="1" prompt="Dear Sir/ Madam - Score entered is greater than Max. Marks allotted." showErrorMessage="1" sqref="BG169">
      <formula1>0</formula1>
      <formula2>NaN</formula2>
    </dataValidation>
    <dataValidation type="decimal" allowBlank="1" showInputMessage="1" prompt="Dear Sir/ Madam - Score entered is greater than Max. Marks allotted." showErrorMessage="1" sqref="BG17">
      <formula1>0</formula1>
      <formula2>NaN</formula2>
    </dataValidation>
    <dataValidation type="decimal" allowBlank="1" showInputMessage="1" prompt="Dear Sir/ Madam - Score entered is greater than Max. Marks allotted." showErrorMessage="1" sqref="BG170">
      <formula1>0</formula1>
      <formula2>NaN</formula2>
    </dataValidation>
    <dataValidation type="decimal" allowBlank="1" showInputMessage="1" prompt="Dear Sir/ Madam - Score entered is greater than Max. Marks allotted." showErrorMessage="1" sqref="BG171">
      <formula1>0</formula1>
      <formula2>NaN</formula2>
    </dataValidation>
    <dataValidation type="decimal" allowBlank="1" showInputMessage="1" prompt="Dear Sir/ Madam - Score entered is greater than Max. Marks allotted." showErrorMessage="1" sqref="BG172">
      <formula1>0</formula1>
      <formula2>NaN</formula2>
    </dataValidation>
    <dataValidation type="decimal" allowBlank="1" showInputMessage="1" prompt="Dear Sir/ Madam - Score entered is greater than Max. Marks allotted." showErrorMessage="1" sqref="BG173">
      <formula1>0</formula1>
      <formula2>NaN</formula2>
    </dataValidation>
    <dataValidation type="decimal" allowBlank="1" showInputMessage="1" prompt="Dear Sir/ Madam - Score entered is greater than Max. Marks allotted." showErrorMessage="1" sqref="BG174">
      <formula1>0</formula1>
      <formula2>NaN</formula2>
    </dataValidation>
    <dataValidation type="decimal" allowBlank="1" showInputMessage="1" prompt="Dear Sir/ Madam - Score entered is greater than Max. Marks allotted." showErrorMessage="1" sqref="BG175">
      <formula1>0</formula1>
      <formula2>NaN</formula2>
    </dataValidation>
    <dataValidation type="decimal" allowBlank="1" showInputMessage="1" prompt="Dear Sir/ Madam - Score entered is greater than Max. Marks allotted." showErrorMessage="1" sqref="BG176">
      <formula1>0</formula1>
      <formula2>NaN</formula2>
    </dataValidation>
    <dataValidation type="decimal" allowBlank="1" showInputMessage="1" prompt="Dear Sir/ Madam - Score entered is greater than Max. Marks allotted." showErrorMessage="1" sqref="BG177">
      <formula1>0</formula1>
      <formula2>NaN</formula2>
    </dataValidation>
    <dataValidation type="decimal" allowBlank="1" showInputMessage="1" prompt="Dear Sir/ Madam - Score entered is greater than Max. Marks allotted." showErrorMessage="1" sqref="BG178">
      <formula1>0</formula1>
      <formula2>NaN</formula2>
    </dataValidation>
    <dataValidation type="decimal" allowBlank="1" showInputMessage="1" prompt="Dear Sir/ Madam - Score entered is greater than Max. Marks allotted." showErrorMessage="1" sqref="BG179">
      <formula1>0</formula1>
      <formula2>NaN</formula2>
    </dataValidation>
    <dataValidation type="decimal" allowBlank="1" showInputMessage="1" prompt="Dear Sir/ Madam - Score entered is greater than Max. Marks allotted." showErrorMessage="1" sqref="BG18">
      <formula1>0</formula1>
      <formula2>NaN</formula2>
    </dataValidation>
    <dataValidation type="decimal" allowBlank="1" showInputMessage="1" prompt="Dear Sir/ Madam - Score entered is greater than Max. Marks allotted." showErrorMessage="1" sqref="BG180">
      <formula1>0</formula1>
      <formula2>NaN</formula2>
    </dataValidation>
    <dataValidation type="decimal" allowBlank="1" showInputMessage="1" prompt="Dear Sir/ Madam - Score entered is greater than Max. Marks allotted." showErrorMessage="1" sqref="BG181">
      <formula1>0</formula1>
      <formula2>NaN</formula2>
    </dataValidation>
    <dataValidation type="decimal" allowBlank="1" showInputMessage="1" prompt="Dear Sir/ Madam - Score entered is greater than Max. Marks allotted." showErrorMessage="1" sqref="BG182">
      <formula1>0</formula1>
      <formula2>NaN</formula2>
    </dataValidation>
    <dataValidation type="decimal" allowBlank="1" showInputMessage="1" prompt="Dear Sir/ Madam - Score entered is greater than Max. Marks allotted." showErrorMessage="1" sqref="BG183">
      <formula1>0</formula1>
      <formula2>NaN</formula2>
    </dataValidation>
    <dataValidation type="decimal" allowBlank="1" showInputMessage="1" prompt="Dear Sir/ Madam - Score entered is greater than Max. Marks allotted." showErrorMessage="1" sqref="BG184">
      <formula1>0</formula1>
      <formula2>NaN</formula2>
    </dataValidation>
    <dataValidation type="decimal" allowBlank="1" showInputMessage="1" prompt="Dear Sir/ Madam - Score entered is greater than Max. Marks allotted." showErrorMessage="1" sqref="BG185">
      <formula1>0</formula1>
      <formula2>NaN</formula2>
    </dataValidation>
    <dataValidation type="decimal" allowBlank="1" showInputMessage="1" prompt="Dear Sir/ Madam - Score entered is greater than Max. Marks allotted." showErrorMessage="1" sqref="BG186">
      <formula1>0</formula1>
      <formula2>NaN</formula2>
    </dataValidation>
    <dataValidation type="decimal" allowBlank="1" showInputMessage="1" prompt="Dear Sir/ Madam - Score entered is greater than Max. Marks allotted." showErrorMessage="1" sqref="BG187">
      <formula1>0</formula1>
      <formula2>NaN</formula2>
    </dataValidation>
    <dataValidation type="decimal" allowBlank="1" showInputMessage="1" prompt="Dear Sir/ Madam - Score entered is greater than Max. Marks allotted." showErrorMessage="1" sqref="BG188">
      <formula1>0</formula1>
      <formula2>NaN</formula2>
    </dataValidation>
    <dataValidation type="decimal" allowBlank="1" showInputMessage="1" prompt="Dear Sir/ Madam - Score entered is greater than Max. Marks allotted." showErrorMessage="1" sqref="BG189">
      <formula1>0</formula1>
      <formula2>NaN</formula2>
    </dataValidation>
    <dataValidation type="decimal" allowBlank="1" showInputMessage="1" prompt="Dear Sir/ Madam - Score entered is greater than Max. Marks allotted." showErrorMessage="1" sqref="BG19">
      <formula1>0</formula1>
      <formula2>NaN</formula2>
    </dataValidation>
    <dataValidation type="decimal" allowBlank="1" showInputMessage="1" prompt="Dear Sir/ Madam - Score entered is greater than Max. Marks allotted." showErrorMessage="1" sqref="BG190">
      <formula1>0</formula1>
      <formula2>NaN</formula2>
    </dataValidation>
    <dataValidation type="decimal" allowBlank="1" showInputMessage="1" prompt="Dear Sir/ Madam - Score entered is greater than Max. Marks allotted." showErrorMessage="1" sqref="BG191">
      <formula1>0</formula1>
      <formula2>NaN</formula2>
    </dataValidation>
    <dataValidation type="decimal" allowBlank="1" showInputMessage="1" prompt="Dear Sir/ Madam - Score entered is greater than Max. Marks allotted." showErrorMessage="1" sqref="BG192">
      <formula1>0</formula1>
      <formula2>NaN</formula2>
    </dataValidation>
    <dataValidation type="decimal" allowBlank="1" showInputMessage="1" prompt="Dear Sir/ Madam - Score entered is greater than Max. Marks allotted." showErrorMessage="1" sqref="BG193">
      <formula1>0</formula1>
      <formula2>NaN</formula2>
    </dataValidation>
    <dataValidation type="decimal" allowBlank="1" showInputMessage="1" prompt="Dear Sir/ Madam - Score entered is greater than Max. Marks allotted." showErrorMessage="1" sqref="BG194">
      <formula1>0</formula1>
      <formula2>NaN</formula2>
    </dataValidation>
    <dataValidation type="decimal" allowBlank="1" showInputMessage="1" prompt="Dear Sir/ Madam - Score entered is greater than Max. Marks allotted." showErrorMessage="1" sqref="BG195">
      <formula1>0</formula1>
      <formula2>NaN</formula2>
    </dataValidation>
    <dataValidation type="decimal" allowBlank="1" showInputMessage="1" prompt="Dear Sir/ Madam - Score entered is greater than Max. Marks allotted." showErrorMessage="1" sqref="BG196">
      <formula1>0</formula1>
      <formula2>NaN</formula2>
    </dataValidation>
    <dataValidation type="decimal" allowBlank="1" showInputMessage="1" prompt="Dear Sir/ Madam - Score entered is greater than Max. Marks allotted." showErrorMessage="1" sqref="BG197">
      <formula1>0</formula1>
      <formula2>NaN</formula2>
    </dataValidation>
    <dataValidation type="decimal" allowBlank="1" showInputMessage="1" prompt="Dear Sir/ Madam - Score entered is greater than Max. Marks allotted." showErrorMessage="1" sqref="BG198">
      <formula1>0</formula1>
      <formula2>NaN</formula2>
    </dataValidation>
    <dataValidation type="decimal" allowBlank="1" showInputMessage="1" prompt="Dear Sir/ Madam - Score entered is greater than Max. Marks allotted." showErrorMessage="1" sqref="BG199">
      <formula1>0</formula1>
      <formula2>NaN</formula2>
    </dataValidation>
    <dataValidation type="decimal" allowBlank="1" showInputMessage="1" prompt="Dear Sir/ Madam - Score entered is greater than Max. Marks allotted." showErrorMessage="1" sqref="BG20">
      <formula1>0</formula1>
      <formula2>NaN</formula2>
    </dataValidation>
    <dataValidation type="decimal" allowBlank="1" showInputMessage="1" prompt="Dear Sir/ Madam - Score entered is greater than Max. Marks allotted." showErrorMessage="1" sqref="BG200">
      <formula1>0</formula1>
      <formula2>NaN</formula2>
    </dataValidation>
    <dataValidation type="decimal" allowBlank="1" showInputMessage="1" prompt="Dear Sir/ Madam - Score entered is greater than Max. Marks allotted." showErrorMessage="1" sqref="BG21">
      <formula1>0</formula1>
      <formula2>NaN</formula2>
    </dataValidation>
    <dataValidation type="decimal" allowBlank="1" showInputMessage="1" prompt="Dear Sir/ Madam - Score entered is greater than Max. Marks allotted." showErrorMessage="1" sqref="BG22">
      <formula1>0</formula1>
      <formula2>NaN</formula2>
    </dataValidation>
    <dataValidation type="decimal" allowBlank="1" showInputMessage="1" prompt="Dear Sir/ Madam - Score entered is greater than Max. Marks allotted." showErrorMessage="1" sqref="BG23">
      <formula1>0</formula1>
      <formula2>NaN</formula2>
    </dataValidation>
    <dataValidation type="decimal" allowBlank="1" showInputMessage="1" prompt="Dear Sir/ Madam - Score entered is greater than Max. Marks allotted." showErrorMessage="1" sqref="BG24">
      <formula1>0</formula1>
      <formula2>NaN</formula2>
    </dataValidation>
    <dataValidation type="decimal" allowBlank="1" showInputMessage="1" prompt="Dear Sir/ Madam - Score entered is greater than Max. Marks allotted." showErrorMessage="1" sqref="BG25">
      <formula1>0</formula1>
      <formula2>NaN</formula2>
    </dataValidation>
    <dataValidation type="decimal" allowBlank="1" showInputMessage="1" prompt="Dear Sir/ Madam - Score entered is greater than Max. Marks allotted." showErrorMessage="1" sqref="BG26">
      <formula1>0</formula1>
      <formula2>NaN</formula2>
    </dataValidation>
    <dataValidation type="decimal" allowBlank="1" showInputMessage="1" prompt="Dear Sir/ Madam - Score entered is greater than Max. Marks allotted." showErrorMessage="1" sqref="BG27">
      <formula1>0</formula1>
      <formula2>NaN</formula2>
    </dataValidation>
    <dataValidation type="decimal" allowBlank="1" showInputMessage="1" prompt="Dear Sir/ Madam - Score entered is greater than Max. Marks allotted." showErrorMessage="1" sqref="BG28">
      <formula1>0</formula1>
      <formula2>NaN</formula2>
    </dataValidation>
    <dataValidation type="decimal" allowBlank="1" showInputMessage="1" prompt="Dear Sir/ Madam - Score entered is greater than Max. Marks allotted." showErrorMessage="1" sqref="BG29">
      <formula1>0</formula1>
      <formula2>NaN</formula2>
    </dataValidation>
    <dataValidation type="decimal" allowBlank="1" showInputMessage="1" prompt="Dear Sir/ Madam - Score entered is greater than Max. Marks allotted." showErrorMessage="1" sqref="BG30">
      <formula1>0</formula1>
      <formula2>NaN</formula2>
    </dataValidation>
    <dataValidation type="decimal" allowBlank="1" showInputMessage="1" prompt="Dear Sir/ Madam - Score entered is greater than Max. Marks allotted." showErrorMessage="1" sqref="BG31">
      <formula1>0</formula1>
      <formula2>NaN</formula2>
    </dataValidation>
    <dataValidation type="decimal" allowBlank="1" showInputMessage="1" prompt="Dear Sir/ Madam - Score entered is greater than Max. Marks allotted." showErrorMessage="1" sqref="BG32">
      <formula1>0</formula1>
      <formula2>NaN</formula2>
    </dataValidation>
    <dataValidation type="decimal" allowBlank="1" showInputMessage="1" prompt="Dear Sir/ Madam - Score entered is greater than Max. Marks allotted." showErrorMessage="1" sqref="BG33">
      <formula1>0</formula1>
      <formula2>NaN</formula2>
    </dataValidation>
    <dataValidation type="decimal" allowBlank="1" showInputMessage="1" prompt="Dear Sir/ Madam - Score entered is greater than Max. Marks allotted." showErrorMessage="1" sqref="BG34">
      <formula1>0</formula1>
      <formula2>NaN</formula2>
    </dataValidation>
    <dataValidation type="decimal" allowBlank="1" showInputMessage="1" prompt="Dear Sir/ Madam - Score entered is greater than Max. Marks allotted." showErrorMessage="1" sqref="BG35">
      <formula1>0</formula1>
      <formula2>NaN</formula2>
    </dataValidation>
    <dataValidation type="decimal" allowBlank="1" showInputMessage="1" prompt="Dear Sir/ Madam - Score entered is greater than Max. Marks allotted." showErrorMessage="1" sqref="BG36">
      <formula1>0</formula1>
      <formula2>NaN</formula2>
    </dataValidation>
    <dataValidation type="decimal" allowBlank="1" showInputMessage="1" prompt="Dear Sir/ Madam - Score entered is greater than Max. Marks allotted." showErrorMessage="1" sqref="BG37">
      <formula1>0</formula1>
      <formula2>NaN</formula2>
    </dataValidation>
    <dataValidation type="decimal" allowBlank="1" showInputMessage="1" prompt="Dear Sir/ Madam - Score entered is greater than Max. Marks allotted." showErrorMessage="1" sqref="BG38">
      <formula1>0</formula1>
      <formula2>NaN</formula2>
    </dataValidation>
    <dataValidation type="decimal" allowBlank="1" showInputMessage="1" prompt="Dear Sir/ Madam - Score entered is greater than Max. Marks allotted." showErrorMessage="1" sqref="BG39">
      <formula1>0</formula1>
      <formula2>NaN</formula2>
    </dataValidation>
    <dataValidation type="decimal" allowBlank="1" showInputMessage="1" prompt="Dear Sir/ Madam - Score entered is greater than Max. Marks allotted." showErrorMessage="1" sqref="BG40">
      <formula1>0</formula1>
      <formula2>NaN</formula2>
    </dataValidation>
    <dataValidation type="decimal" allowBlank="1" showInputMessage="1" prompt="Dear Sir/ Madam - Score entered is greater than Max. Marks allotted." showErrorMessage="1" sqref="BG41">
      <formula1>0</formula1>
      <formula2>NaN</formula2>
    </dataValidation>
    <dataValidation type="decimal" allowBlank="1" showInputMessage="1" prompt="Dear Sir/ Madam - Score entered is greater than Max. Marks allotted." showErrorMessage="1" sqref="BG42">
      <formula1>0</formula1>
      <formula2>NaN</formula2>
    </dataValidation>
    <dataValidation type="decimal" allowBlank="1" showInputMessage="1" prompt="Dear Sir/ Madam - Score entered is greater than Max. Marks allotted." showErrorMessage="1" sqref="BG43">
      <formula1>0</formula1>
      <formula2>NaN</formula2>
    </dataValidation>
    <dataValidation type="decimal" allowBlank="1" showInputMessage="1" prompt="Dear Sir/ Madam - Score entered is greater than Max. Marks allotted." showErrorMessage="1" sqref="BG44">
      <formula1>0</formula1>
      <formula2>NaN</formula2>
    </dataValidation>
    <dataValidation type="decimal" allowBlank="1" showInputMessage="1" prompt="Dear Sir/ Madam - Score entered is greater than Max. Marks allotted." showErrorMessage="1" sqref="BG45">
      <formula1>0</formula1>
      <formula2>NaN</formula2>
    </dataValidation>
    <dataValidation type="decimal" allowBlank="1" showInputMessage="1" prompt="Dear Sir/ Madam - Score entered is greater than Max. Marks allotted." showErrorMessage="1" sqref="BG46">
      <formula1>0</formula1>
      <formula2>NaN</formula2>
    </dataValidation>
    <dataValidation type="decimal" allowBlank="1" showInputMessage="1" prompt="Dear Sir/ Madam - Score entered is greater than Max. Marks allotted." showErrorMessage="1" sqref="BG47">
      <formula1>0</formula1>
      <formula2>NaN</formula2>
    </dataValidation>
    <dataValidation type="decimal" allowBlank="1" showInputMessage="1" prompt="Dear Sir/ Madam - Score entered is greater than Max. Marks allotted." showErrorMessage="1" sqref="BG48">
      <formula1>0</formula1>
      <formula2>NaN</formula2>
    </dataValidation>
    <dataValidation type="decimal" allowBlank="1" showInputMessage="1" prompt="Dear Sir/ Madam - Score entered is greater than Max. Marks allotted." showErrorMessage="1" sqref="BG49">
      <formula1>0</formula1>
      <formula2>NaN</formula2>
    </dataValidation>
    <dataValidation type="decimal" allowBlank="1" showInputMessage="1" prompt="Dear Sir/ Madam - Score entered is greater than Max. Marks allotted." showErrorMessage="1" sqref="BG50">
      <formula1>0</formula1>
      <formula2>NaN</formula2>
    </dataValidation>
    <dataValidation type="decimal" allowBlank="1" showInputMessage="1" prompt="Dear Sir/ Madam - Score entered is greater than Max. Marks allotted." showErrorMessage="1" sqref="BG51">
      <formula1>0</formula1>
      <formula2>NaN</formula2>
    </dataValidation>
    <dataValidation type="decimal" allowBlank="1" showInputMessage="1" prompt="Dear Sir/ Madam - Score entered is greater than Max. Marks allotted." showErrorMessage="1" sqref="BG52">
      <formula1>0</formula1>
      <formula2>NaN</formula2>
    </dataValidation>
    <dataValidation type="decimal" allowBlank="1" showInputMessage="1" prompt="Dear Sir/ Madam - Score entered is greater than Max. Marks allotted." showErrorMessage="1" sqref="BG53">
      <formula1>0</formula1>
      <formula2>NaN</formula2>
    </dataValidation>
    <dataValidation type="decimal" allowBlank="1" showInputMessage="1" prompt="Dear Sir/ Madam - Score entered is greater than Max. Marks allotted." showErrorMessage="1" sqref="BG54">
      <formula1>0</formula1>
      <formula2>NaN</formula2>
    </dataValidation>
    <dataValidation type="decimal" allowBlank="1" showInputMessage="1" prompt="Dear Sir/ Madam - Score entered is greater than Max. Marks allotted." showErrorMessage="1" sqref="BG55">
      <formula1>0</formula1>
      <formula2>NaN</formula2>
    </dataValidation>
    <dataValidation type="decimal" allowBlank="1" showInputMessage="1" prompt="Dear Sir/ Madam - Score entered is greater than Max. Marks allotted." showErrorMessage="1" sqref="BG56">
      <formula1>0</formula1>
      <formula2>NaN</formula2>
    </dataValidation>
    <dataValidation type="decimal" allowBlank="1" showInputMessage="1" prompt="Dear Sir/ Madam - Score entered is greater than Max. Marks allotted." showErrorMessage="1" sqref="BG57">
      <formula1>0</formula1>
      <formula2>NaN</formula2>
    </dataValidation>
    <dataValidation type="decimal" allowBlank="1" showInputMessage="1" prompt="Dear Sir/ Madam - Score entered is greater than Max. Marks allotted." showErrorMessage="1" sqref="BG58">
      <formula1>0</formula1>
      <formula2>NaN</formula2>
    </dataValidation>
    <dataValidation type="decimal" allowBlank="1" showInputMessage="1" prompt="Dear Sir/ Madam - Score entered is greater than Max. Marks allotted." showErrorMessage="1" sqref="BG59">
      <formula1>0</formula1>
      <formula2>NaN</formula2>
    </dataValidation>
    <dataValidation type="decimal" allowBlank="1" showInputMessage="1" prompt="Dear Sir/ Madam - Score entered is greater than Max. Marks allotted." showErrorMessage="1" sqref="BG60">
      <formula1>0</formula1>
      <formula2>NaN</formula2>
    </dataValidation>
    <dataValidation type="decimal" allowBlank="1" showInputMessage="1" prompt="Dear Sir/ Madam - Score entered is greater than Max. Marks allotted." showErrorMessage="1" sqref="BG61">
      <formula1>0</formula1>
      <formula2>NaN</formula2>
    </dataValidation>
    <dataValidation type="decimal" allowBlank="1" showInputMessage="1" prompt="Dear Sir/ Madam - Score entered is greater than Max. Marks allotted." showErrorMessage="1" sqref="BG62">
      <formula1>0</formula1>
      <formula2>NaN</formula2>
    </dataValidation>
    <dataValidation type="decimal" allowBlank="1" showInputMessage="1" prompt="Dear Sir/ Madam - Score entered is greater than Max. Marks allotted." showErrorMessage="1" sqref="BG63">
      <formula1>0</formula1>
      <formula2>NaN</formula2>
    </dataValidation>
    <dataValidation type="decimal" allowBlank="1" showInputMessage="1" prompt="Dear Sir/ Madam - Score entered is greater than Max. Marks allotted." showErrorMessage="1" sqref="BG64">
      <formula1>0</formula1>
      <formula2>NaN</formula2>
    </dataValidation>
    <dataValidation type="decimal" allowBlank="1" showInputMessage="1" prompt="Dear Sir/ Madam - Score entered is greater than Max. Marks allotted." showErrorMessage="1" sqref="BG65">
      <formula1>0</formula1>
      <formula2>NaN</formula2>
    </dataValidation>
    <dataValidation type="decimal" allowBlank="1" showInputMessage="1" prompt="Dear Sir/ Madam - Score entered is greater than Max. Marks allotted." showErrorMessage="1" sqref="BG66">
      <formula1>0</formula1>
      <formula2>NaN</formula2>
    </dataValidation>
    <dataValidation type="decimal" allowBlank="1" showInputMessage="1" prompt="Dear Sir/ Madam - Score entered is greater than Max. Marks allotted." showErrorMessage="1" sqref="BG67">
      <formula1>0</formula1>
      <formula2>NaN</formula2>
    </dataValidation>
    <dataValidation type="decimal" allowBlank="1" showInputMessage="1" prompt="Dear Sir/ Madam - Score entered is greater than Max. Marks allotted." showErrorMessage="1" sqref="BG68">
      <formula1>0</formula1>
      <formula2>NaN</formula2>
    </dataValidation>
    <dataValidation type="decimal" allowBlank="1" showInputMessage="1" prompt="Dear Sir/ Madam - Score entered is greater than Max. Marks allotted." showErrorMessage="1" sqref="BG69">
      <formula1>0</formula1>
      <formula2>NaN</formula2>
    </dataValidation>
    <dataValidation type="decimal" allowBlank="1" showInputMessage="1" prompt="Dear Sir/ Madam - Score entered is greater than Max. Marks allotted." showErrorMessage="1" sqref="BG70">
      <formula1>0</formula1>
      <formula2>NaN</formula2>
    </dataValidation>
    <dataValidation type="decimal" allowBlank="1" showInputMessage="1" prompt="Dear Sir/ Madam - Score entered is greater than Max. Marks allotted." showErrorMessage="1" sqref="BG71">
      <formula1>0</formula1>
      <formula2>NaN</formula2>
    </dataValidation>
    <dataValidation type="decimal" allowBlank="1" showInputMessage="1" prompt="Dear Sir/ Madam - Score entered is greater than Max. Marks allotted." showErrorMessage="1" sqref="BG72">
      <formula1>0</formula1>
      <formula2>NaN</formula2>
    </dataValidation>
    <dataValidation type="decimal" allowBlank="1" showInputMessage="1" prompt="Dear Sir/ Madam - Score entered is greater than Max. Marks allotted." showErrorMessage="1" sqref="BG73">
      <formula1>0</formula1>
      <formula2>NaN</formula2>
    </dataValidation>
    <dataValidation type="decimal" allowBlank="1" showInputMessage="1" prompt="Dear Sir/ Madam - Score entered is greater than Max. Marks allotted." showErrorMessage="1" sqref="BG74">
      <formula1>0</formula1>
      <formula2>NaN</formula2>
    </dataValidation>
    <dataValidation type="decimal" allowBlank="1" showInputMessage="1" prompt="Dear Sir/ Madam - Score entered is greater than Max. Marks allotted." showErrorMessage="1" sqref="BG75">
      <formula1>0</formula1>
      <formula2>NaN</formula2>
    </dataValidation>
    <dataValidation type="decimal" allowBlank="1" showInputMessage="1" prompt="Dear Sir/ Madam - Score entered is greater than Max. Marks allotted." showErrorMessage="1" sqref="BG76">
      <formula1>0</formula1>
      <formula2>NaN</formula2>
    </dataValidation>
    <dataValidation type="decimal" allowBlank="1" showInputMessage="1" prompt="Dear Sir/ Madam - Score entered is greater than Max. Marks allotted." showErrorMessage="1" sqref="BG77">
      <formula1>0</formula1>
      <formula2>NaN</formula2>
    </dataValidation>
    <dataValidation type="decimal" allowBlank="1" showInputMessage="1" prompt="Dear Sir/ Madam - Score entered is greater than Max. Marks allotted." showErrorMessage="1" sqref="BG78">
      <formula1>0</formula1>
      <formula2>NaN</formula2>
    </dataValidation>
    <dataValidation type="decimal" allowBlank="1" showInputMessage="1" prompt="Dear Sir/ Madam - Score entered is greater than Max. Marks allotted." showErrorMessage="1" sqref="BG79">
      <formula1>0</formula1>
      <formula2>NaN</formula2>
    </dataValidation>
    <dataValidation type="decimal" allowBlank="1" showInputMessage="1" prompt="Dear Sir/ Madam - Score entered is greater than Max. Marks allotted." showErrorMessage="1" sqref="BG80">
      <formula1>0</formula1>
      <formula2>NaN</formula2>
    </dataValidation>
    <dataValidation type="decimal" allowBlank="1" showInputMessage="1" prompt="Dear Sir/ Madam - Score entered is greater than Max. Marks allotted." showErrorMessage="1" sqref="BG81">
      <formula1>0</formula1>
      <formula2>NaN</formula2>
    </dataValidation>
    <dataValidation type="decimal" allowBlank="1" showInputMessage="1" prompt="Dear Sir/ Madam - Score entered is greater than Max. Marks allotted." showErrorMessage="1" sqref="BG82">
      <formula1>0</formula1>
      <formula2>NaN</formula2>
    </dataValidation>
    <dataValidation type="decimal" allowBlank="1" showInputMessage="1" prompt="Dear Sir/ Madam - Score entered is greater than Max. Marks allotted." showErrorMessage="1" sqref="BG83">
      <formula1>0</formula1>
      <formula2>NaN</formula2>
    </dataValidation>
    <dataValidation type="decimal" allowBlank="1" showInputMessage="1" prompt="Dear Sir/ Madam - Score entered is greater than Max. Marks allotted." showErrorMessage="1" sqref="BG84">
      <formula1>0</formula1>
      <formula2>NaN</formula2>
    </dataValidation>
    <dataValidation type="decimal" allowBlank="1" showInputMessage="1" prompt="Dear Sir/ Madam - Score entered is greater than Max. Marks allotted." showErrorMessage="1" sqref="BG85">
      <formula1>0</formula1>
      <formula2>NaN</formula2>
    </dataValidation>
    <dataValidation type="decimal" allowBlank="1" showInputMessage="1" prompt="Dear Sir/ Madam - Score entered is greater than Max. Marks allotted." showErrorMessage="1" sqref="BG86">
      <formula1>0</formula1>
      <formula2>NaN</formula2>
    </dataValidation>
    <dataValidation type="decimal" allowBlank="1" showInputMessage="1" prompt="Dear Sir/ Madam - Score entered is greater than Max. Marks allotted." showErrorMessage="1" sqref="BG87">
      <formula1>0</formula1>
      <formula2>NaN</formula2>
    </dataValidation>
    <dataValidation type="decimal" allowBlank="1" showInputMessage="1" prompt="Dear Sir/ Madam - Score entered is greater than Max. Marks allotted." showErrorMessage="1" sqref="BG88">
      <formula1>0</formula1>
      <formula2>NaN</formula2>
    </dataValidation>
    <dataValidation type="decimal" allowBlank="1" showInputMessage="1" prompt="Dear Sir/ Madam - Score entered is greater than Max. Marks allotted." showErrorMessage="1" sqref="BG89">
      <formula1>0</formula1>
      <formula2>NaN</formula2>
    </dataValidation>
    <dataValidation type="decimal" allowBlank="1" showInputMessage="1" prompt="Dear Sir/ Madam - Score entered is greater than Max. Marks allotted." showErrorMessage="1" sqref="BG90">
      <formula1>0</formula1>
      <formula2>NaN</formula2>
    </dataValidation>
    <dataValidation type="decimal" allowBlank="1" showInputMessage="1" prompt="Dear Sir/ Madam - Score entered is greater than Max. Marks allotted." showErrorMessage="1" sqref="BG91">
      <formula1>0</formula1>
      <formula2>NaN</formula2>
    </dataValidation>
    <dataValidation type="decimal" allowBlank="1" showInputMessage="1" prompt="Dear Sir/ Madam - Score entered is greater than Max. Marks allotted." showErrorMessage="1" sqref="BG92">
      <formula1>0</formula1>
      <formula2>NaN</formula2>
    </dataValidation>
    <dataValidation type="decimal" allowBlank="1" showInputMessage="1" prompt="Dear Sir/ Madam - Score entered is greater than Max. Marks allotted." showErrorMessage="1" sqref="BG93">
      <formula1>0</formula1>
      <formula2>NaN</formula2>
    </dataValidation>
    <dataValidation type="decimal" allowBlank="1" showInputMessage="1" prompt="Dear Sir/ Madam - Score entered is greater than Max. Marks allotted." showErrorMessage="1" sqref="BG94">
      <formula1>0</formula1>
      <formula2>NaN</formula2>
    </dataValidation>
    <dataValidation type="decimal" allowBlank="1" showInputMessage="1" prompt="Dear Sir/ Madam - Score entered is greater than Max. Marks allotted." showErrorMessage="1" sqref="BG95">
      <formula1>0</formula1>
      <formula2>NaN</formula2>
    </dataValidation>
    <dataValidation type="decimal" allowBlank="1" showInputMessage="1" prompt="Dear Sir/ Madam - Score entered is greater than Max. Marks allotted." showErrorMessage="1" sqref="BG96">
      <formula1>0</formula1>
      <formula2>NaN</formula2>
    </dataValidation>
    <dataValidation type="decimal" allowBlank="1" showInputMessage="1" prompt="Dear Sir/ Madam - Score entered is greater than Max. Marks allotted." showErrorMessage="1" sqref="BG97">
      <formula1>0</formula1>
      <formula2>NaN</formula2>
    </dataValidation>
    <dataValidation type="decimal" allowBlank="1" showInputMessage="1" prompt="Dear Sir/ Madam - Score entered is greater than Max. Marks allotted." showErrorMessage="1" sqref="BG98">
      <formula1>0</formula1>
      <formula2>NaN</formula2>
    </dataValidation>
    <dataValidation type="decimal" allowBlank="1" showInputMessage="1" prompt="Dear Sir/ Madam - Score entered is greater than Max. Marks allotted." showErrorMessage="1" sqref="BG99">
      <formula1>0</formula1>
      <formula2>NaN</formula2>
    </dataValidation>
    <dataValidation type="decimal" allowBlank="1" showInputMessage="1" prompt="Dear Sir/ Madam - Score entered is greater than Max. Marks allotted." showErrorMessage="1" sqref="BH100">
      <formula1>0</formula1>
      <formula2>NaN</formula2>
    </dataValidation>
    <dataValidation type="decimal" allowBlank="1" showInputMessage="1" prompt="Dear Sir/ Madam - Score entered is greater than Max. Marks allotted." showErrorMessage="1" sqref="BH101">
      <formula1>0</formula1>
      <formula2>NaN</formula2>
    </dataValidation>
    <dataValidation type="decimal" allowBlank="1" showInputMessage="1" prompt="Dear Sir/ Madam - Score entered is greater than Max. Marks allotted." showErrorMessage="1" sqref="BH102">
      <formula1>0</formula1>
      <formula2>NaN</formula2>
    </dataValidation>
    <dataValidation type="decimal" allowBlank="1" showInputMessage="1" prompt="Dear Sir/ Madam - Score entered is greater than Max. Marks allotted." showErrorMessage="1" sqref="BH103">
      <formula1>0</formula1>
      <formula2>NaN</formula2>
    </dataValidation>
    <dataValidation type="decimal" allowBlank="1" showInputMessage="1" prompt="Dear Sir/ Madam - Score entered is greater than Max. Marks allotted." showErrorMessage="1" sqref="BH104">
      <formula1>0</formula1>
      <formula2>NaN</formula2>
    </dataValidation>
    <dataValidation type="decimal" allowBlank="1" showInputMessage="1" prompt="Dear Sir/ Madam - Score entered is greater than Max. Marks allotted." showErrorMessage="1" sqref="BH105">
      <formula1>0</formula1>
      <formula2>NaN</formula2>
    </dataValidation>
    <dataValidation type="decimal" allowBlank="1" showInputMessage="1" prompt="Dear Sir/ Madam - Score entered is greater than Max. Marks allotted." showErrorMessage="1" sqref="BH106">
      <formula1>0</formula1>
      <formula2>NaN</formula2>
    </dataValidation>
    <dataValidation type="decimal" allowBlank="1" showInputMessage="1" prompt="Dear Sir/ Madam - Score entered is greater than Max. Marks allotted." showErrorMessage="1" sqref="BH107">
      <formula1>0</formula1>
      <formula2>NaN</formula2>
    </dataValidation>
    <dataValidation type="decimal" allowBlank="1" showInputMessage="1" prompt="Dear Sir/ Madam - Score entered is greater than Max. Marks allotted." showErrorMessage="1" sqref="BH108">
      <formula1>0</formula1>
      <formula2>NaN</formula2>
    </dataValidation>
    <dataValidation type="decimal" allowBlank="1" showInputMessage="1" prompt="Dear Sir/ Madam - Score entered is greater than Max. Marks allotted." showErrorMessage="1" sqref="BH109">
      <formula1>0</formula1>
      <formula2>NaN</formula2>
    </dataValidation>
    <dataValidation type="decimal" allowBlank="1" showInputMessage="1" prompt="Dear Sir/ Madam - Score entered is greater than Max. Marks allotted." showErrorMessage="1" sqref="BH110">
      <formula1>0</formula1>
      <formula2>NaN</formula2>
    </dataValidation>
    <dataValidation type="decimal" allowBlank="1" showInputMessage="1" prompt="Dear Sir/ Madam - Score entered is greater than Max. Marks allotted." showErrorMessage="1" sqref="BH111">
      <formula1>0</formula1>
      <formula2>NaN</formula2>
    </dataValidation>
    <dataValidation type="decimal" allowBlank="1" showInputMessage="1" prompt="Dear Sir/ Madam - Score entered is greater than Max. Marks allotted." showErrorMessage="1" sqref="BH112">
      <formula1>0</formula1>
      <formula2>NaN</formula2>
    </dataValidation>
    <dataValidation type="decimal" allowBlank="1" showInputMessage="1" prompt="Dear Sir/ Madam - Score entered is greater than Max. Marks allotted." showErrorMessage="1" sqref="BH113">
      <formula1>0</formula1>
      <formula2>NaN</formula2>
    </dataValidation>
    <dataValidation type="decimal" allowBlank="1" showInputMessage="1" prompt="Dear Sir/ Madam - Score entered is greater than Max. Marks allotted." showErrorMessage="1" sqref="BH114">
      <formula1>0</formula1>
      <formula2>NaN</formula2>
    </dataValidation>
    <dataValidation type="decimal" allowBlank="1" showInputMessage="1" prompt="Dear Sir/ Madam - Score entered is greater than Max. Marks allotted." showErrorMessage="1" sqref="BH115">
      <formula1>0</formula1>
      <formula2>NaN</formula2>
    </dataValidation>
    <dataValidation type="decimal" allowBlank="1" showInputMessage="1" prompt="Dear Sir/ Madam - Score entered is greater than Max. Marks allotted." showErrorMessage="1" sqref="BH116">
      <formula1>0</formula1>
      <formula2>NaN</formula2>
    </dataValidation>
    <dataValidation type="decimal" allowBlank="1" showInputMessage="1" prompt="Dear Sir/ Madam - Score entered is greater than Max. Marks allotted." showErrorMessage="1" sqref="BH117">
      <formula1>0</formula1>
      <formula2>NaN</formula2>
    </dataValidation>
    <dataValidation type="decimal" allowBlank="1" showInputMessage="1" prompt="Dear Sir/ Madam - Score entered is greater than Max. Marks allotted." showErrorMessage="1" sqref="BH118">
      <formula1>0</formula1>
      <formula2>NaN</formula2>
    </dataValidation>
    <dataValidation type="decimal" allowBlank="1" showInputMessage="1" prompt="Dear Sir/ Madam - Score entered is greater than Max. Marks allotted." showErrorMessage="1" sqref="BH119">
      <formula1>0</formula1>
      <formula2>NaN</formula2>
    </dataValidation>
    <dataValidation type="decimal" allowBlank="1" showInputMessage="1" prompt="Dear Sir/ Madam - Score entered is greater than Max. Marks allotted." showErrorMessage="1" sqref="BH120">
      <formula1>0</formula1>
      <formula2>NaN</formula2>
    </dataValidation>
    <dataValidation type="decimal" allowBlank="1" showInputMessage="1" prompt="Dear Sir/ Madam - Score entered is greater than Max. Marks allotted." showErrorMessage="1" sqref="BH121">
      <formula1>0</formula1>
      <formula2>NaN</formula2>
    </dataValidation>
    <dataValidation type="decimal" allowBlank="1" showInputMessage="1" prompt="Dear Sir/ Madam - Score entered is greater than Max. Marks allotted." showErrorMessage="1" sqref="BH122">
      <formula1>0</formula1>
      <formula2>NaN</formula2>
    </dataValidation>
    <dataValidation type="decimal" allowBlank="1" showInputMessage="1" prompt="Dear Sir/ Madam - Score entered is greater than Max. Marks allotted." showErrorMessage="1" sqref="BH123">
      <formula1>0</formula1>
      <formula2>NaN</formula2>
    </dataValidation>
    <dataValidation type="decimal" allowBlank="1" showInputMessage="1" prompt="Dear Sir/ Madam - Score entered is greater than Max. Marks allotted." showErrorMessage="1" sqref="BH124">
      <formula1>0</formula1>
      <formula2>NaN</formula2>
    </dataValidation>
    <dataValidation type="decimal" allowBlank="1" showInputMessage="1" prompt="Dear Sir/ Madam - Score entered is greater than Max. Marks allotted." showErrorMessage="1" sqref="BH125">
      <formula1>0</formula1>
      <formula2>NaN</formula2>
    </dataValidation>
    <dataValidation type="decimal" allowBlank="1" showInputMessage="1" prompt="Dear Sir/ Madam - Score entered is greater than Max. Marks allotted." showErrorMessage="1" sqref="BH126">
      <formula1>0</formula1>
      <formula2>NaN</formula2>
    </dataValidation>
    <dataValidation type="decimal" allowBlank="1" showInputMessage="1" prompt="Dear Sir/ Madam - Score entered is greater than Max. Marks allotted." showErrorMessage="1" sqref="BH127">
      <formula1>0</formula1>
      <formula2>NaN</formula2>
    </dataValidation>
    <dataValidation type="decimal" allowBlank="1" showInputMessage="1" prompt="Dear Sir/ Madam - Score entered is greater than Max. Marks allotted." showErrorMessage="1" sqref="BH128">
      <formula1>0</formula1>
      <formula2>NaN</formula2>
    </dataValidation>
    <dataValidation type="decimal" allowBlank="1" showInputMessage="1" prompt="Dear Sir/ Madam - Score entered is greater than Max. Marks allotted." showErrorMessage="1" sqref="BH129">
      <formula1>0</formula1>
      <formula2>NaN</formula2>
    </dataValidation>
    <dataValidation type="decimal" allowBlank="1" showInputMessage="1" prompt="Dear Sir/ Madam - Score entered is greater than Max. Marks allotted." showErrorMessage="1" sqref="BH13">
      <formula1>0</formula1>
      <formula2>NaN</formula2>
    </dataValidation>
    <dataValidation type="decimal" allowBlank="1" showInputMessage="1" prompt="Dear Sir/ Madam - Score entered is greater than Max. Marks allotted." showErrorMessage="1" sqref="BH130">
      <formula1>0</formula1>
      <formula2>NaN</formula2>
    </dataValidation>
    <dataValidation type="decimal" allowBlank="1" showInputMessage="1" prompt="Dear Sir/ Madam - Score entered is greater than Max. Marks allotted." showErrorMessage="1" sqref="BH131">
      <formula1>0</formula1>
      <formula2>NaN</formula2>
    </dataValidation>
    <dataValidation type="decimal" allowBlank="1" showInputMessage="1" prompt="Dear Sir/ Madam - Score entered is greater than Max. Marks allotted." showErrorMessage="1" sqref="BH132">
      <formula1>0</formula1>
      <formula2>NaN</formula2>
    </dataValidation>
    <dataValidation type="decimal" allowBlank="1" showInputMessage="1" prompt="Dear Sir/ Madam - Score entered is greater than Max. Marks allotted." showErrorMessage="1" sqref="BH133">
      <formula1>0</formula1>
      <formula2>NaN</formula2>
    </dataValidation>
    <dataValidation type="decimal" allowBlank="1" showInputMessage="1" prompt="Dear Sir/ Madam - Score entered is greater than Max. Marks allotted." showErrorMessage="1" sqref="BH134">
      <formula1>0</formula1>
      <formula2>NaN</formula2>
    </dataValidation>
    <dataValidation type="decimal" allowBlank="1" showInputMessage="1" prompt="Dear Sir/ Madam - Score entered is greater than Max. Marks allotted." showErrorMessage="1" sqref="BH135">
      <formula1>0</formula1>
      <formula2>NaN</formula2>
    </dataValidation>
    <dataValidation type="decimal" allowBlank="1" showInputMessage="1" prompt="Dear Sir/ Madam - Score entered is greater than Max. Marks allotted." showErrorMessage="1" sqref="BH136">
      <formula1>0</formula1>
      <formula2>NaN</formula2>
    </dataValidation>
    <dataValidation type="decimal" allowBlank="1" showInputMessage="1" prompt="Dear Sir/ Madam - Score entered is greater than Max. Marks allotted." showErrorMessage="1" sqref="BH137">
      <formula1>0</formula1>
      <formula2>NaN</formula2>
    </dataValidation>
    <dataValidation type="decimal" allowBlank="1" showInputMessage="1" prompt="Dear Sir/ Madam - Score entered is greater than Max. Marks allotted." showErrorMessage="1" sqref="BH138">
      <formula1>0</formula1>
      <formula2>NaN</formula2>
    </dataValidation>
    <dataValidation type="decimal" allowBlank="1" showInputMessage="1" prompt="Dear Sir/ Madam - Score entered is greater than Max. Marks allotted." showErrorMessage="1" sqref="BH139">
      <formula1>0</formula1>
      <formula2>NaN</formula2>
    </dataValidation>
    <dataValidation type="decimal" allowBlank="1" showInputMessage="1" prompt="Dear Sir/ Madam - Score entered is greater than Max. Marks allotted." showErrorMessage="1" sqref="BH14">
      <formula1>0</formula1>
      <formula2>NaN</formula2>
    </dataValidation>
    <dataValidation type="decimal" allowBlank="1" showInputMessage="1" prompt="Dear Sir/ Madam - Score entered is greater than Max. Marks allotted." showErrorMessage="1" sqref="BH140">
      <formula1>0</formula1>
      <formula2>NaN</formula2>
    </dataValidation>
    <dataValidation type="decimal" allowBlank="1" showInputMessage="1" prompt="Dear Sir/ Madam - Score entered is greater than Max. Marks allotted." showErrorMessage="1" sqref="BH141">
      <formula1>0</formula1>
      <formula2>NaN</formula2>
    </dataValidation>
    <dataValidation type="decimal" allowBlank="1" showInputMessage="1" prompt="Dear Sir/ Madam - Score entered is greater than Max. Marks allotted." showErrorMessage="1" sqref="BH142">
      <formula1>0</formula1>
      <formula2>NaN</formula2>
    </dataValidation>
    <dataValidation type="decimal" allowBlank="1" showInputMessage="1" prompt="Dear Sir/ Madam - Score entered is greater than Max. Marks allotted." showErrorMessage="1" sqref="BH143">
      <formula1>0</formula1>
      <formula2>NaN</formula2>
    </dataValidation>
    <dataValidation type="decimal" allowBlank="1" showInputMessage="1" prompt="Dear Sir/ Madam - Score entered is greater than Max. Marks allotted." showErrorMessage="1" sqref="BH144">
      <formula1>0</formula1>
      <formula2>NaN</formula2>
    </dataValidation>
    <dataValidation type="decimal" allowBlank="1" showInputMessage="1" prompt="Dear Sir/ Madam - Score entered is greater than Max. Marks allotted." showErrorMessage="1" sqref="BH145">
      <formula1>0</formula1>
      <formula2>NaN</formula2>
    </dataValidation>
    <dataValidation type="decimal" allowBlank="1" showInputMessage="1" prompt="Dear Sir/ Madam - Score entered is greater than Max. Marks allotted." showErrorMessage="1" sqref="BH146">
      <formula1>0</formula1>
      <formula2>NaN</formula2>
    </dataValidation>
    <dataValidation type="decimal" allowBlank="1" showInputMessage="1" prompt="Dear Sir/ Madam - Score entered is greater than Max. Marks allotted." showErrorMessage="1" sqref="BH147">
      <formula1>0</formula1>
      <formula2>NaN</formula2>
    </dataValidation>
    <dataValidation type="decimal" allowBlank="1" showInputMessage="1" prompt="Dear Sir/ Madam - Score entered is greater than Max. Marks allotted." showErrorMessage="1" sqref="BH148">
      <formula1>0</formula1>
      <formula2>NaN</formula2>
    </dataValidation>
    <dataValidation type="decimal" allowBlank="1" showInputMessage="1" prompt="Dear Sir/ Madam - Score entered is greater than Max. Marks allotted." showErrorMessage="1" sqref="BH149">
      <formula1>0</formula1>
      <formula2>NaN</formula2>
    </dataValidation>
    <dataValidation type="decimal" allowBlank="1" showInputMessage="1" prompt="Dear Sir/ Madam - Score entered is greater than Max. Marks allotted." showErrorMessage="1" sqref="BH15">
      <formula1>0</formula1>
      <formula2>NaN</formula2>
    </dataValidation>
    <dataValidation type="decimal" allowBlank="1" showInputMessage="1" prompt="Dear Sir/ Madam - Score entered is greater than Max. Marks allotted." showErrorMessage="1" sqref="BH150">
      <formula1>0</formula1>
      <formula2>NaN</formula2>
    </dataValidation>
    <dataValidation type="decimal" allowBlank="1" showInputMessage="1" prompt="Dear Sir/ Madam - Score entered is greater than Max. Marks allotted." showErrorMessage="1" sqref="BH151">
      <formula1>0</formula1>
      <formula2>NaN</formula2>
    </dataValidation>
    <dataValidation type="decimal" allowBlank="1" showInputMessage="1" prompt="Dear Sir/ Madam - Score entered is greater than Max. Marks allotted." showErrorMessage="1" sqref="BH152">
      <formula1>0</formula1>
      <formula2>NaN</formula2>
    </dataValidation>
    <dataValidation type="decimal" allowBlank="1" showInputMessage="1" prompt="Dear Sir/ Madam - Score entered is greater than Max. Marks allotted." showErrorMessage="1" sqref="BH153">
      <formula1>0</formula1>
      <formula2>NaN</formula2>
    </dataValidation>
    <dataValidation type="decimal" allowBlank="1" showInputMessage="1" prompt="Dear Sir/ Madam - Score entered is greater than Max. Marks allotted." showErrorMessage="1" sqref="BH154">
      <formula1>0</formula1>
      <formula2>NaN</formula2>
    </dataValidation>
    <dataValidation type="decimal" allowBlank="1" showInputMessage="1" prompt="Dear Sir/ Madam - Score entered is greater than Max. Marks allotted." showErrorMessage="1" sqref="BH155">
      <formula1>0</formula1>
      <formula2>NaN</formula2>
    </dataValidation>
    <dataValidation type="decimal" allowBlank="1" showInputMessage="1" prompt="Dear Sir/ Madam - Score entered is greater than Max. Marks allotted." showErrorMessage="1" sqref="BH156">
      <formula1>0</formula1>
      <formula2>NaN</formula2>
    </dataValidation>
    <dataValidation type="decimal" allowBlank="1" showInputMessage="1" prompt="Dear Sir/ Madam - Score entered is greater than Max. Marks allotted." showErrorMessage="1" sqref="BH157">
      <formula1>0</formula1>
      <formula2>NaN</formula2>
    </dataValidation>
    <dataValidation type="decimal" allowBlank="1" showInputMessage="1" prompt="Dear Sir/ Madam - Score entered is greater than Max. Marks allotted." showErrorMessage="1" sqref="BH158">
      <formula1>0</formula1>
      <formula2>NaN</formula2>
    </dataValidation>
    <dataValidation type="decimal" allowBlank="1" showInputMessage="1" prompt="Dear Sir/ Madam - Score entered is greater than Max. Marks allotted." showErrorMessage="1" sqref="BH159">
      <formula1>0</formula1>
      <formula2>NaN</formula2>
    </dataValidation>
    <dataValidation type="decimal" allowBlank="1" showInputMessage="1" prompt="Dear Sir/ Madam - Score entered is greater than Max. Marks allotted." showErrorMessage="1" sqref="BH16">
      <formula1>0</formula1>
      <formula2>NaN</formula2>
    </dataValidation>
    <dataValidation type="decimal" allowBlank="1" showInputMessage="1" prompt="Dear Sir/ Madam - Score entered is greater than Max. Marks allotted." showErrorMessage="1" sqref="BH160">
      <formula1>0</formula1>
      <formula2>NaN</formula2>
    </dataValidation>
    <dataValidation type="decimal" allowBlank="1" showInputMessage="1" prompt="Dear Sir/ Madam - Score entered is greater than Max. Marks allotted." showErrorMessage="1" sqref="BH161">
      <formula1>0</formula1>
      <formula2>NaN</formula2>
    </dataValidation>
    <dataValidation type="decimal" allowBlank="1" showInputMessage="1" prompt="Dear Sir/ Madam - Score entered is greater than Max. Marks allotted." showErrorMessage="1" sqref="BH162">
      <formula1>0</formula1>
      <formula2>NaN</formula2>
    </dataValidation>
    <dataValidation type="decimal" allowBlank="1" showInputMessage="1" prompt="Dear Sir/ Madam - Score entered is greater than Max. Marks allotted." showErrorMessage="1" sqref="BH163">
      <formula1>0</formula1>
      <formula2>NaN</formula2>
    </dataValidation>
    <dataValidation type="decimal" allowBlank="1" showInputMessage="1" prompt="Dear Sir/ Madam - Score entered is greater than Max. Marks allotted." showErrorMessage="1" sqref="BH164">
      <formula1>0</formula1>
      <formula2>NaN</formula2>
    </dataValidation>
    <dataValidation type="decimal" allowBlank="1" showInputMessage="1" prompt="Dear Sir/ Madam - Score entered is greater than Max. Marks allotted." showErrorMessage="1" sqref="BH165">
      <formula1>0</formula1>
      <formula2>NaN</formula2>
    </dataValidation>
    <dataValidation type="decimal" allowBlank="1" showInputMessage="1" prompt="Dear Sir/ Madam - Score entered is greater than Max. Marks allotted." showErrorMessage="1" sqref="BH166">
      <formula1>0</formula1>
      <formula2>NaN</formula2>
    </dataValidation>
    <dataValidation type="decimal" allowBlank="1" showInputMessage="1" prompt="Dear Sir/ Madam - Score entered is greater than Max. Marks allotted." showErrorMessage="1" sqref="BH167">
      <formula1>0</formula1>
      <formula2>NaN</formula2>
    </dataValidation>
    <dataValidation type="decimal" allowBlank="1" showInputMessage="1" prompt="Dear Sir/ Madam - Score entered is greater than Max. Marks allotted." showErrorMessage="1" sqref="BH168">
      <formula1>0</formula1>
      <formula2>NaN</formula2>
    </dataValidation>
    <dataValidation type="decimal" allowBlank="1" showInputMessage="1" prompt="Dear Sir/ Madam - Score entered is greater than Max. Marks allotted." showErrorMessage="1" sqref="BH169">
      <formula1>0</formula1>
      <formula2>NaN</formula2>
    </dataValidation>
    <dataValidation type="decimal" allowBlank="1" showInputMessage="1" prompt="Dear Sir/ Madam - Score entered is greater than Max. Marks allotted." showErrorMessage="1" sqref="BH17">
      <formula1>0</formula1>
      <formula2>NaN</formula2>
    </dataValidation>
    <dataValidation type="decimal" allowBlank="1" showInputMessage="1" prompt="Dear Sir/ Madam - Score entered is greater than Max. Marks allotted." showErrorMessage="1" sqref="BH170">
      <formula1>0</formula1>
      <formula2>NaN</formula2>
    </dataValidation>
    <dataValidation type="decimal" allowBlank="1" showInputMessage="1" prompt="Dear Sir/ Madam - Score entered is greater than Max. Marks allotted." showErrorMessage="1" sqref="BH171">
      <formula1>0</formula1>
      <formula2>NaN</formula2>
    </dataValidation>
    <dataValidation type="decimal" allowBlank="1" showInputMessage="1" prompt="Dear Sir/ Madam - Score entered is greater than Max. Marks allotted." showErrorMessage="1" sqref="BH172">
      <formula1>0</formula1>
      <formula2>NaN</formula2>
    </dataValidation>
    <dataValidation type="decimal" allowBlank="1" showInputMessage="1" prompt="Dear Sir/ Madam - Score entered is greater than Max. Marks allotted." showErrorMessage="1" sqref="BH173">
      <formula1>0</formula1>
      <formula2>NaN</formula2>
    </dataValidation>
    <dataValidation type="decimal" allowBlank="1" showInputMessage="1" prompt="Dear Sir/ Madam - Score entered is greater than Max. Marks allotted." showErrorMessage="1" sqref="BH174">
      <formula1>0</formula1>
      <formula2>NaN</formula2>
    </dataValidation>
    <dataValidation type="decimal" allowBlank="1" showInputMessage="1" prompt="Dear Sir/ Madam - Score entered is greater than Max. Marks allotted." showErrorMessage="1" sqref="BH175">
      <formula1>0</formula1>
      <formula2>NaN</formula2>
    </dataValidation>
    <dataValidation type="decimal" allowBlank="1" showInputMessage="1" prompt="Dear Sir/ Madam - Score entered is greater than Max. Marks allotted." showErrorMessage="1" sqref="BH176">
      <formula1>0</formula1>
      <formula2>NaN</formula2>
    </dataValidation>
    <dataValidation type="decimal" allowBlank="1" showInputMessage="1" prompt="Dear Sir/ Madam - Score entered is greater than Max. Marks allotted." showErrorMessage="1" sqref="BH177">
      <formula1>0</formula1>
      <formula2>NaN</formula2>
    </dataValidation>
    <dataValidation type="decimal" allowBlank="1" showInputMessage="1" prompt="Dear Sir/ Madam - Score entered is greater than Max. Marks allotted." showErrorMessage="1" sqref="BH178">
      <formula1>0</formula1>
      <formula2>NaN</formula2>
    </dataValidation>
    <dataValidation type="decimal" allowBlank="1" showInputMessage="1" prompt="Dear Sir/ Madam - Score entered is greater than Max. Marks allotted." showErrorMessage="1" sqref="BH179">
      <formula1>0</formula1>
      <formula2>NaN</formula2>
    </dataValidation>
    <dataValidation type="decimal" allowBlank="1" showInputMessage="1" prompt="Dear Sir/ Madam - Score entered is greater than Max. Marks allotted." showErrorMessage="1" sqref="BH18">
      <formula1>0</formula1>
      <formula2>NaN</formula2>
    </dataValidation>
    <dataValidation type="decimal" allowBlank="1" showInputMessage="1" prompt="Dear Sir/ Madam - Score entered is greater than Max. Marks allotted." showErrorMessage="1" sqref="BH180">
      <formula1>0</formula1>
      <formula2>NaN</formula2>
    </dataValidation>
    <dataValidation type="decimal" allowBlank="1" showInputMessage="1" prompt="Dear Sir/ Madam - Score entered is greater than Max. Marks allotted." showErrorMessage="1" sqref="BH181">
      <formula1>0</formula1>
      <formula2>NaN</formula2>
    </dataValidation>
    <dataValidation type="decimal" allowBlank="1" showInputMessage="1" prompt="Dear Sir/ Madam - Score entered is greater than Max. Marks allotted." showErrorMessage="1" sqref="BH182">
      <formula1>0</formula1>
      <formula2>NaN</formula2>
    </dataValidation>
    <dataValidation type="decimal" allowBlank="1" showInputMessage="1" prompt="Dear Sir/ Madam - Score entered is greater than Max. Marks allotted." showErrorMessage="1" sqref="BH183">
      <formula1>0</formula1>
      <formula2>NaN</formula2>
    </dataValidation>
    <dataValidation type="decimal" allowBlank="1" showInputMessage="1" prompt="Dear Sir/ Madam - Score entered is greater than Max. Marks allotted." showErrorMessage="1" sqref="BH184">
      <formula1>0</formula1>
      <formula2>NaN</formula2>
    </dataValidation>
    <dataValidation type="decimal" allowBlank="1" showInputMessage="1" prompt="Dear Sir/ Madam - Score entered is greater than Max. Marks allotted." showErrorMessage="1" sqref="BH185">
      <formula1>0</formula1>
      <formula2>NaN</formula2>
    </dataValidation>
    <dataValidation type="decimal" allowBlank="1" showInputMessage="1" prompt="Dear Sir/ Madam - Score entered is greater than Max. Marks allotted." showErrorMessage="1" sqref="BH186">
      <formula1>0</formula1>
      <formula2>NaN</formula2>
    </dataValidation>
    <dataValidation type="decimal" allowBlank="1" showInputMessage="1" prompt="Dear Sir/ Madam - Score entered is greater than Max. Marks allotted." showErrorMessage="1" sqref="BH187">
      <formula1>0</formula1>
      <formula2>NaN</formula2>
    </dataValidation>
    <dataValidation type="decimal" allowBlank="1" showInputMessage="1" prompt="Dear Sir/ Madam - Score entered is greater than Max. Marks allotted." showErrorMessage="1" sqref="BH188">
      <formula1>0</formula1>
      <formula2>NaN</formula2>
    </dataValidation>
    <dataValidation type="decimal" allowBlank="1" showInputMessage="1" prompt="Dear Sir/ Madam - Score entered is greater than Max. Marks allotted." showErrorMessage="1" sqref="BH189">
      <formula1>0</formula1>
      <formula2>NaN</formula2>
    </dataValidation>
    <dataValidation type="decimal" allowBlank="1" showInputMessage="1" prompt="Dear Sir/ Madam - Score entered is greater than Max. Marks allotted." showErrorMessage="1" sqref="BH19">
      <formula1>0</formula1>
      <formula2>NaN</formula2>
    </dataValidation>
    <dataValidation type="decimal" allowBlank="1" showInputMessage="1" prompt="Dear Sir/ Madam - Score entered is greater than Max. Marks allotted." showErrorMessage="1" sqref="BH190">
      <formula1>0</formula1>
      <formula2>NaN</formula2>
    </dataValidation>
    <dataValidation type="decimal" allowBlank="1" showInputMessage="1" prompt="Dear Sir/ Madam - Score entered is greater than Max. Marks allotted." showErrorMessage="1" sqref="BH191">
      <formula1>0</formula1>
      <formula2>NaN</formula2>
    </dataValidation>
    <dataValidation type="decimal" allowBlank="1" showInputMessage="1" prompt="Dear Sir/ Madam - Score entered is greater than Max. Marks allotted." showErrorMessage="1" sqref="BH192">
      <formula1>0</formula1>
      <formula2>NaN</formula2>
    </dataValidation>
    <dataValidation type="decimal" allowBlank="1" showInputMessage="1" prompt="Dear Sir/ Madam - Score entered is greater than Max. Marks allotted." showErrorMessage="1" sqref="BH193">
      <formula1>0</formula1>
      <formula2>NaN</formula2>
    </dataValidation>
    <dataValidation type="decimal" allowBlank="1" showInputMessage="1" prompt="Dear Sir/ Madam - Score entered is greater than Max. Marks allotted." showErrorMessage="1" sqref="BH194">
      <formula1>0</formula1>
      <formula2>NaN</formula2>
    </dataValidation>
    <dataValidation type="decimal" allowBlank="1" showInputMessage="1" prompt="Dear Sir/ Madam - Score entered is greater than Max. Marks allotted." showErrorMessage="1" sqref="BH195">
      <formula1>0</formula1>
      <formula2>NaN</formula2>
    </dataValidation>
    <dataValidation type="decimal" allowBlank="1" showInputMessage="1" prompt="Dear Sir/ Madam - Score entered is greater than Max. Marks allotted." showErrorMessage="1" sqref="BH196">
      <formula1>0</formula1>
      <formula2>NaN</formula2>
    </dataValidation>
    <dataValidation type="decimal" allowBlank="1" showInputMessage="1" prompt="Dear Sir/ Madam - Score entered is greater than Max. Marks allotted." showErrorMessage="1" sqref="BH197">
      <formula1>0</formula1>
      <formula2>NaN</formula2>
    </dataValidation>
    <dataValidation type="decimal" allowBlank="1" showInputMessage="1" prompt="Dear Sir/ Madam - Score entered is greater than Max. Marks allotted." showErrorMessage="1" sqref="BH198">
      <formula1>0</formula1>
      <formula2>NaN</formula2>
    </dataValidation>
    <dataValidation type="decimal" allowBlank="1" showInputMessage="1" prompt="Dear Sir/ Madam - Score entered is greater than Max. Marks allotted." showErrorMessage="1" sqref="BH199">
      <formula1>0</formula1>
      <formula2>NaN</formula2>
    </dataValidation>
    <dataValidation type="decimal" allowBlank="1" showInputMessage="1" prompt="Dear Sir/ Madam - Score entered is greater than Max. Marks allotted." showErrorMessage="1" sqref="BH20">
      <formula1>0</formula1>
      <formula2>NaN</formula2>
    </dataValidation>
    <dataValidation type="decimal" allowBlank="1" showInputMessage="1" prompt="Dear Sir/ Madam - Score entered is greater than Max. Marks allotted." showErrorMessage="1" sqref="BH200">
      <formula1>0</formula1>
      <formula2>NaN</formula2>
    </dataValidation>
    <dataValidation type="decimal" allowBlank="1" showInputMessage="1" prompt="Dear Sir/ Madam - Score entered is greater than Max. Marks allotted." showErrorMessage="1" sqref="BH21">
      <formula1>0</formula1>
      <formula2>NaN</formula2>
    </dataValidation>
    <dataValidation type="decimal" allowBlank="1" showInputMessage="1" prompt="Dear Sir/ Madam - Score entered is greater than Max. Marks allotted." showErrorMessage="1" sqref="BH22">
      <formula1>0</formula1>
      <formula2>NaN</formula2>
    </dataValidation>
    <dataValidation type="decimal" allowBlank="1" showInputMessage="1" prompt="Dear Sir/ Madam - Score entered is greater than Max. Marks allotted." showErrorMessage="1" sqref="BH23">
      <formula1>0</formula1>
      <formula2>NaN</formula2>
    </dataValidation>
    <dataValidation type="decimal" allowBlank="1" showInputMessage="1" prompt="Dear Sir/ Madam - Score entered is greater than Max. Marks allotted." showErrorMessage="1" sqref="BH24">
      <formula1>0</formula1>
      <formula2>NaN</formula2>
    </dataValidation>
    <dataValidation type="decimal" allowBlank="1" showInputMessage="1" prompt="Dear Sir/ Madam - Score entered is greater than Max. Marks allotted." showErrorMessage="1" sqref="BH25">
      <formula1>0</formula1>
      <formula2>NaN</formula2>
    </dataValidation>
    <dataValidation type="decimal" allowBlank="1" showInputMessage="1" prompt="Dear Sir/ Madam - Score entered is greater than Max. Marks allotted." showErrorMessage="1" sqref="BH26">
      <formula1>0</formula1>
      <formula2>NaN</formula2>
    </dataValidation>
    <dataValidation type="decimal" allowBlank="1" showInputMessage="1" prompt="Dear Sir/ Madam - Score entered is greater than Max. Marks allotted." showErrorMessage="1" sqref="BH27">
      <formula1>0</formula1>
      <formula2>NaN</formula2>
    </dataValidation>
    <dataValidation type="decimal" allowBlank="1" showInputMessage="1" prompt="Dear Sir/ Madam - Score entered is greater than Max. Marks allotted." showErrorMessage="1" sqref="BH28">
      <formula1>0</formula1>
      <formula2>NaN</formula2>
    </dataValidation>
    <dataValidation type="decimal" allowBlank="1" showInputMessage="1" prompt="Dear Sir/ Madam - Score entered is greater than Max. Marks allotted." showErrorMessage="1" sqref="BH29">
      <formula1>0</formula1>
      <formula2>NaN</formula2>
    </dataValidation>
    <dataValidation type="decimal" allowBlank="1" showInputMessage="1" prompt="Dear Sir/ Madam - Score entered is greater than Max. Marks allotted." showErrorMessage="1" sqref="BH30">
      <formula1>0</formula1>
      <formula2>NaN</formula2>
    </dataValidation>
    <dataValidation type="decimal" allowBlank="1" showInputMessage="1" prompt="Dear Sir/ Madam - Score entered is greater than Max. Marks allotted." showErrorMessage="1" sqref="BH31">
      <formula1>0</formula1>
      <formula2>NaN</formula2>
    </dataValidation>
    <dataValidation type="decimal" allowBlank="1" showInputMessage="1" prompt="Dear Sir/ Madam - Score entered is greater than Max. Marks allotted." showErrorMessage="1" sqref="BH32">
      <formula1>0</formula1>
      <formula2>NaN</formula2>
    </dataValidation>
    <dataValidation type="decimal" allowBlank="1" showInputMessage="1" prompt="Dear Sir/ Madam - Score entered is greater than Max. Marks allotted." showErrorMessage="1" sqref="BH33">
      <formula1>0</formula1>
      <formula2>NaN</formula2>
    </dataValidation>
    <dataValidation type="decimal" allowBlank="1" showInputMessage="1" prompt="Dear Sir/ Madam - Score entered is greater than Max. Marks allotted." showErrorMessage="1" sqref="BH34">
      <formula1>0</formula1>
      <formula2>NaN</formula2>
    </dataValidation>
    <dataValidation type="decimal" allowBlank="1" showInputMessage="1" prompt="Dear Sir/ Madam - Score entered is greater than Max. Marks allotted." showErrorMessage="1" sqref="BH35">
      <formula1>0</formula1>
      <formula2>NaN</formula2>
    </dataValidation>
    <dataValidation type="decimal" allowBlank="1" showInputMessage="1" prompt="Dear Sir/ Madam - Score entered is greater than Max. Marks allotted." showErrorMessage="1" sqref="BH36">
      <formula1>0</formula1>
      <formula2>NaN</formula2>
    </dataValidation>
    <dataValidation type="decimal" allowBlank="1" showInputMessage="1" prompt="Dear Sir/ Madam - Score entered is greater than Max. Marks allotted." showErrorMessage="1" sqref="BH37">
      <formula1>0</formula1>
      <formula2>NaN</formula2>
    </dataValidation>
    <dataValidation type="decimal" allowBlank="1" showInputMessage="1" prompt="Dear Sir/ Madam - Score entered is greater than Max. Marks allotted." showErrorMessage="1" sqref="BH38">
      <formula1>0</formula1>
      <formula2>NaN</formula2>
    </dataValidation>
    <dataValidation type="decimal" allowBlank="1" showInputMessage="1" prompt="Dear Sir/ Madam - Score entered is greater than Max. Marks allotted." showErrorMessage="1" sqref="BH39">
      <formula1>0</formula1>
      <formula2>NaN</formula2>
    </dataValidation>
    <dataValidation type="decimal" allowBlank="1" showInputMessage="1" prompt="Dear Sir/ Madam - Score entered is greater than Max. Marks allotted." showErrorMessage="1" sqref="BH40">
      <formula1>0</formula1>
      <formula2>NaN</formula2>
    </dataValidation>
    <dataValidation type="decimal" allowBlank="1" showInputMessage="1" prompt="Dear Sir/ Madam - Score entered is greater than Max. Marks allotted." showErrorMessage="1" sqref="BH41">
      <formula1>0</formula1>
      <formula2>NaN</formula2>
    </dataValidation>
    <dataValidation type="decimal" allowBlank="1" showInputMessage="1" prompt="Dear Sir/ Madam - Score entered is greater than Max. Marks allotted." showErrorMessage="1" sqref="BH42">
      <formula1>0</formula1>
      <formula2>NaN</formula2>
    </dataValidation>
    <dataValidation type="decimal" allowBlank="1" showInputMessage="1" prompt="Dear Sir/ Madam - Score entered is greater than Max. Marks allotted." showErrorMessage="1" sqref="BH43">
      <formula1>0</formula1>
      <formula2>NaN</formula2>
    </dataValidation>
    <dataValidation type="decimal" allowBlank="1" showInputMessage="1" prompt="Dear Sir/ Madam - Score entered is greater than Max. Marks allotted." showErrorMessage="1" sqref="BH44">
      <formula1>0</formula1>
      <formula2>NaN</formula2>
    </dataValidation>
    <dataValidation type="decimal" allowBlank="1" showInputMessage="1" prompt="Dear Sir/ Madam - Score entered is greater than Max. Marks allotted." showErrorMessage="1" sqref="BH45">
      <formula1>0</formula1>
      <formula2>NaN</formula2>
    </dataValidation>
    <dataValidation type="decimal" allowBlank="1" showInputMessage="1" prompt="Dear Sir/ Madam - Score entered is greater than Max. Marks allotted." showErrorMessage="1" sqref="BH46">
      <formula1>0</formula1>
      <formula2>NaN</formula2>
    </dataValidation>
    <dataValidation type="decimal" allowBlank="1" showInputMessage="1" prompt="Dear Sir/ Madam - Score entered is greater than Max. Marks allotted." showErrorMessage="1" sqref="BH47">
      <formula1>0</formula1>
      <formula2>NaN</formula2>
    </dataValidation>
    <dataValidation type="decimal" allowBlank="1" showInputMessage="1" prompt="Dear Sir/ Madam - Score entered is greater than Max. Marks allotted." showErrorMessage="1" sqref="BH48">
      <formula1>0</formula1>
      <formula2>NaN</formula2>
    </dataValidation>
    <dataValidation type="decimal" allowBlank="1" showInputMessage="1" prompt="Dear Sir/ Madam - Score entered is greater than Max. Marks allotted." showErrorMessage="1" sqref="BH49">
      <formula1>0</formula1>
      <formula2>NaN</formula2>
    </dataValidation>
    <dataValidation type="decimal" allowBlank="1" showInputMessage="1" prompt="Dear Sir/ Madam - Score entered is greater than Max. Marks allotted." showErrorMessage="1" sqref="BH50">
      <formula1>0</formula1>
      <formula2>NaN</formula2>
    </dataValidation>
    <dataValidation type="decimal" allowBlank="1" showInputMessage="1" prompt="Dear Sir/ Madam - Score entered is greater than Max. Marks allotted." showErrorMessage="1" sqref="BH51">
      <formula1>0</formula1>
      <formula2>NaN</formula2>
    </dataValidation>
    <dataValidation type="decimal" allowBlank="1" showInputMessage="1" prompt="Dear Sir/ Madam - Score entered is greater than Max. Marks allotted." showErrorMessage="1" sqref="BH52">
      <formula1>0</formula1>
      <formula2>NaN</formula2>
    </dataValidation>
    <dataValidation type="decimal" allowBlank="1" showInputMessage="1" prompt="Dear Sir/ Madam - Score entered is greater than Max. Marks allotted." showErrorMessage="1" sqref="BH53">
      <formula1>0</formula1>
      <formula2>NaN</formula2>
    </dataValidation>
    <dataValidation type="decimal" allowBlank="1" showInputMessage="1" prompt="Dear Sir/ Madam - Score entered is greater than Max. Marks allotted." showErrorMessage="1" sqref="BH54">
      <formula1>0</formula1>
      <formula2>NaN</formula2>
    </dataValidation>
    <dataValidation type="decimal" allowBlank="1" showInputMessage="1" prompt="Dear Sir/ Madam - Score entered is greater than Max. Marks allotted." showErrorMessage="1" sqref="BH55">
      <formula1>0</formula1>
      <formula2>NaN</formula2>
    </dataValidation>
    <dataValidation type="decimal" allowBlank="1" showInputMessage="1" prompt="Dear Sir/ Madam - Score entered is greater than Max. Marks allotted." showErrorMessage="1" sqref="BH56">
      <formula1>0</formula1>
      <formula2>NaN</formula2>
    </dataValidation>
    <dataValidation type="decimal" allowBlank="1" showInputMessage="1" prompt="Dear Sir/ Madam - Score entered is greater than Max. Marks allotted." showErrorMessage="1" sqref="BH57">
      <formula1>0</formula1>
      <formula2>NaN</formula2>
    </dataValidation>
    <dataValidation type="decimal" allowBlank="1" showInputMessage="1" prompt="Dear Sir/ Madam - Score entered is greater than Max. Marks allotted." showErrorMessage="1" sqref="BH58">
      <formula1>0</formula1>
      <formula2>NaN</formula2>
    </dataValidation>
    <dataValidation type="decimal" allowBlank="1" showInputMessage="1" prompt="Dear Sir/ Madam - Score entered is greater than Max. Marks allotted." showErrorMessage="1" sqref="BH59">
      <formula1>0</formula1>
      <formula2>NaN</formula2>
    </dataValidation>
    <dataValidation type="decimal" allowBlank="1" showInputMessage="1" prompt="Dear Sir/ Madam - Score entered is greater than Max. Marks allotted." showErrorMessage="1" sqref="BH60">
      <formula1>0</formula1>
      <formula2>NaN</formula2>
    </dataValidation>
    <dataValidation type="decimal" allowBlank="1" showInputMessage="1" prompt="Dear Sir/ Madam - Score entered is greater than Max. Marks allotted." showErrorMessage="1" sqref="BH61">
      <formula1>0</formula1>
      <formula2>NaN</formula2>
    </dataValidation>
    <dataValidation type="decimal" allowBlank="1" showInputMessage="1" prompt="Dear Sir/ Madam - Score entered is greater than Max. Marks allotted." showErrorMessage="1" sqref="BH62">
      <formula1>0</formula1>
      <formula2>NaN</formula2>
    </dataValidation>
    <dataValidation type="decimal" allowBlank="1" showInputMessage="1" prompt="Dear Sir/ Madam - Score entered is greater than Max. Marks allotted." showErrorMessage="1" sqref="BH63">
      <formula1>0</formula1>
      <formula2>NaN</formula2>
    </dataValidation>
    <dataValidation type="decimal" allowBlank="1" showInputMessage="1" prompt="Dear Sir/ Madam - Score entered is greater than Max. Marks allotted." showErrorMessage="1" sqref="BH64">
      <formula1>0</formula1>
      <formula2>NaN</formula2>
    </dataValidation>
    <dataValidation type="decimal" allowBlank="1" showInputMessage="1" prompt="Dear Sir/ Madam - Score entered is greater than Max. Marks allotted." showErrorMessage="1" sqref="BH65">
      <formula1>0</formula1>
      <formula2>NaN</formula2>
    </dataValidation>
    <dataValidation type="decimal" allowBlank="1" showInputMessage="1" prompt="Dear Sir/ Madam - Score entered is greater than Max. Marks allotted." showErrorMessage="1" sqref="BH66">
      <formula1>0</formula1>
      <formula2>NaN</formula2>
    </dataValidation>
    <dataValidation type="decimal" allowBlank="1" showInputMessage="1" prompt="Dear Sir/ Madam - Score entered is greater than Max. Marks allotted." showErrorMessage="1" sqref="BH67">
      <formula1>0</formula1>
      <formula2>NaN</formula2>
    </dataValidation>
    <dataValidation type="decimal" allowBlank="1" showInputMessage="1" prompt="Dear Sir/ Madam - Score entered is greater than Max. Marks allotted." showErrorMessage="1" sqref="BH68">
      <formula1>0</formula1>
      <formula2>NaN</formula2>
    </dataValidation>
    <dataValidation type="decimal" allowBlank="1" showInputMessage="1" prompt="Dear Sir/ Madam - Score entered is greater than Max. Marks allotted." showErrorMessage="1" sqref="BH69">
      <formula1>0</formula1>
      <formula2>NaN</formula2>
    </dataValidation>
    <dataValidation type="decimal" allowBlank="1" showInputMessage="1" prompt="Dear Sir/ Madam - Score entered is greater than Max. Marks allotted." showErrorMessage="1" sqref="BH70">
      <formula1>0</formula1>
      <formula2>NaN</formula2>
    </dataValidation>
    <dataValidation type="decimal" allowBlank="1" showInputMessage="1" prompt="Dear Sir/ Madam - Score entered is greater than Max. Marks allotted." showErrorMessage="1" sqref="BH71">
      <formula1>0</formula1>
      <formula2>NaN</formula2>
    </dataValidation>
    <dataValidation type="decimal" allowBlank="1" showInputMessage="1" prompt="Dear Sir/ Madam - Score entered is greater than Max. Marks allotted." showErrorMessage="1" sqref="BH72">
      <formula1>0</formula1>
      <formula2>NaN</formula2>
    </dataValidation>
    <dataValidation type="decimal" allowBlank="1" showInputMessage="1" prompt="Dear Sir/ Madam - Score entered is greater than Max. Marks allotted." showErrorMessage="1" sqref="BH73">
      <formula1>0</formula1>
      <formula2>NaN</formula2>
    </dataValidation>
    <dataValidation type="decimal" allowBlank="1" showInputMessage="1" prompt="Dear Sir/ Madam - Score entered is greater than Max. Marks allotted." showErrorMessage="1" sqref="BH74">
      <formula1>0</formula1>
      <formula2>NaN</formula2>
    </dataValidation>
    <dataValidation type="decimal" allowBlank="1" showInputMessage="1" prompt="Dear Sir/ Madam - Score entered is greater than Max. Marks allotted." showErrorMessage="1" sqref="BH75">
      <formula1>0</formula1>
      <formula2>NaN</formula2>
    </dataValidation>
    <dataValidation type="decimal" allowBlank="1" showInputMessage="1" prompt="Dear Sir/ Madam - Score entered is greater than Max. Marks allotted." showErrorMessage="1" sqref="BH76">
      <formula1>0</formula1>
      <formula2>NaN</formula2>
    </dataValidation>
    <dataValidation type="decimal" allowBlank="1" showInputMessage="1" prompt="Dear Sir/ Madam - Score entered is greater than Max. Marks allotted." showErrorMessage="1" sqref="BH77">
      <formula1>0</formula1>
      <formula2>NaN</formula2>
    </dataValidation>
    <dataValidation type="decimal" allowBlank="1" showInputMessage="1" prompt="Dear Sir/ Madam - Score entered is greater than Max. Marks allotted." showErrorMessage="1" sqref="BH78">
      <formula1>0</formula1>
      <formula2>NaN</formula2>
    </dataValidation>
    <dataValidation type="decimal" allowBlank="1" showInputMessage="1" prompt="Dear Sir/ Madam - Score entered is greater than Max. Marks allotted." showErrorMessage="1" sqref="BH79">
      <formula1>0</formula1>
      <formula2>NaN</formula2>
    </dataValidation>
    <dataValidation type="decimal" allowBlank="1" showInputMessage="1" prompt="Dear Sir/ Madam - Score entered is greater than Max. Marks allotted." showErrorMessage="1" sqref="BH80">
      <formula1>0</formula1>
      <formula2>NaN</formula2>
    </dataValidation>
    <dataValidation type="decimal" allowBlank="1" showInputMessage="1" prompt="Dear Sir/ Madam - Score entered is greater than Max. Marks allotted." showErrorMessage="1" sqref="BH81">
      <formula1>0</formula1>
      <formula2>NaN</formula2>
    </dataValidation>
    <dataValidation type="decimal" allowBlank="1" showInputMessage="1" prompt="Dear Sir/ Madam - Score entered is greater than Max. Marks allotted." showErrorMessage="1" sqref="BH82">
      <formula1>0</formula1>
      <formula2>NaN</formula2>
    </dataValidation>
    <dataValidation type="decimal" allowBlank="1" showInputMessage="1" prompt="Dear Sir/ Madam - Score entered is greater than Max. Marks allotted." showErrorMessage="1" sqref="BH83">
      <formula1>0</formula1>
      <formula2>NaN</formula2>
    </dataValidation>
    <dataValidation type="decimal" allowBlank="1" showInputMessage="1" prompt="Dear Sir/ Madam - Score entered is greater than Max. Marks allotted." showErrorMessage="1" sqref="BH84">
      <formula1>0</formula1>
      <formula2>NaN</formula2>
    </dataValidation>
    <dataValidation type="decimal" allowBlank="1" showInputMessage="1" prompt="Dear Sir/ Madam - Score entered is greater than Max. Marks allotted." showErrorMessage="1" sqref="BH85">
      <formula1>0</formula1>
      <formula2>NaN</formula2>
    </dataValidation>
    <dataValidation type="decimal" allowBlank="1" showInputMessage="1" prompt="Dear Sir/ Madam - Score entered is greater than Max. Marks allotted." showErrorMessage="1" sqref="BH86">
      <formula1>0</formula1>
      <formula2>NaN</formula2>
    </dataValidation>
    <dataValidation type="decimal" allowBlank="1" showInputMessage="1" prompt="Dear Sir/ Madam - Score entered is greater than Max. Marks allotted." showErrorMessage="1" sqref="BH87">
      <formula1>0</formula1>
      <formula2>NaN</formula2>
    </dataValidation>
    <dataValidation type="decimal" allowBlank="1" showInputMessage="1" prompt="Dear Sir/ Madam - Score entered is greater than Max. Marks allotted." showErrorMessage="1" sqref="BH88">
      <formula1>0</formula1>
      <formula2>NaN</formula2>
    </dataValidation>
    <dataValidation type="decimal" allowBlank="1" showInputMessage="1" prompt="Dear Sir/ Madam - Score entered is greater than Max. Marks allotted." showErrorMessage="1" sqref="BH89">
      <formula1>0</formula1>
      <formula2>NaN</formula2>
    </dataValidation>
    <dataValidation type="decimal" allowBlank="1" showInputMessage="1" prompt="Dear Sir/ Madam - Score entered is greater than Max. Marks allotted." showErrorMessage="1" sqref="BH90">
      <formula1>0</formula1>
      <formula2>NaN</formula2>
    </dataValidation>
    <dataValidation type="decimal" allowBlank="1" showInputMessage="1" prompt="Dear Sir/ Madam - Score entered is greater than Max. Marks allotted." showErrorMessage="1" sqref="BH91">
      <formula1>0</formula1>
      <formula2>NaN</formula2>
    </dataValidation>
    <dataValidation type="decimal" allowBlank="1" showInputMessage="1" prompt="Dear Sir/ Madam - Score entered is greater than Max. Marks allotted." showErrorMessage="1" sqref="BH92">
      <formula1>0</formula1>
      <formula2>NaN</formula2>
    </dataValidation>
    <dataValidation type="decimal" allowBlank="1" showInputMessage="1" prompt="Dear Sir/ Madam - Score entered is greater than Max. Marks allotted." showErrorMessage="1" sqref="BH93">
      <formula1>0</formula1>
      <formula2>NaN</formula2>
    </dataValidation>
    <dataValidation type="decimal" allowBlank="1" showInputMessage="1" prompt="Dear Sir/ Madam - Score entered is greater than Max. Marks allotted." showErrorMessage="1" sqref="BH94">
      <formula1>0</formula1>
      <formula2>NaN</formula2>
    </dataValidation>
    <dataValidation type="decimal" allowBlank="1" showInputMessage="1" prompt="Dear Sir/ Madam - Score entered is greater than Max. Marks allotted." showErrorMessage="1" sqref="BH95">
      <formula1>0</formula1>
      <formula2>NaN</formula2>
    </dataValidation>
    <dataValidation type="decimal" allowBlank="1" showInputMessage="1" prompt="Dear Sir/ Madam - Score entered is greater than Max. Marks allotted." showErrorMessage="1" sqref="BH96">
      <formula1>0</formula1>
      <formula2>NaN</formula2>
    </dataValidation>
    <dataValidation type="decimal" allowBlank="1" showInputMessage="1" prompt="Dear Sir/ Madam - Score entered is greater than Max. Marks allotted." showErrorMessage="1" sqref="BH97">
      <formula1>0</formula1>
      <formula2>NaN</formula2>
    </dataValidation>
    <dataValidation type="decimal" allowBlank="1" showInputMessage="1" prompt="Dear Sir/ Madam - Score entered is greater than Max. Marks allotted." showErrorMessage="1" sqref="BH98">
      <formula1>0</formula1>
      <formula2>NaN</formula2>
    </dataValidation>
    <dataValidation type="decimal" allowBlank="1" showInputMessage="1" prompt="Dear Sir/ Madam - Score entered is greater than Max. Marks allotted." showErrorMessage="1" sqref="BH99">
      <formula1>0</formula1>
      <formula2>NaN</formula2>
    </dataValidation>
    <dataValidation type="decimal" allowBlank="1" showInputMessage="1" prompt="Dear Sir/ Madam - Score entered is greater than Max. Marks allotted." showErrorMessage="1" sqref="D108">
      <formula1>0</formula1>
      <formula2>NaN</formula2>
    </dataValidation>
    <dataValidation type="decimal" allowBlank="1" showInputMessage="1" prompt="Dear Sir/ Madam - Score entered is greater than Max. Marks allotted." showErrorMessage="1" sqref="D109">
      <formula1>0</formula1>
      <formula2>NaN</formula2>
    </dataValidation>
    <dataValidation type="decimal" allowBlank="1" showInputMessage="1" prompt="Dear Sir/ Madam - Score entered is greater than Max. Marks allotted." showErrorMessage="1" sqref="D110">
      <formula1>0</formula1>
      <formula2>NaN</formula2>
    </dataValidation>
    <dataValidation type="decimal" allowBlank="1" showInputMessage="1" prompt="Dear Sir/ Madam - Score entered is greater than Max. Marks allotted." showErrorMessage="1" sqref="D111">
      <formula1>0</formula1>
      <formula2>NaN</formula2>
    </dataValidation>
    <dataValidation type="decimal" allowBlank="1" showInputMessage="1" prompt="Dear Sir/ Madam - Score entered is greater than Max. Marks allotted." showErrorMessage="1" sqref="D112">
      <formula1>0</formula1>
      <formula2>NaN</formula2>
    </dataValidation>
    <dataValidation type="decimal" allowBlank="1" showInputMessage="1" prompt="Dear Sir/ Madam - Score entered is greater than Max. Marks allotted." showErrorMessage="1" sqref="D113">
      <formula1>0</formula1>
      <formula2>NaN</formula2>
    </dataValidation>
    <dataValidation type="decimal" allowBlank="1" showInputMessage="1" prompt="Dear Sir/ Madam - Score entered is greater than Max. Marks allotted." showErrorMessage="1" sqref="D114">
      <formula1>0</formula1>
      <formula2>NaN</formula2>
    </dataValidation>
    <dataValidation type="decimal" allowBlank="1" showInputMessage="1" prompt="Dear Sir/ Madam - Score entered is greater than Max. Marks allotted." showErrorMessage="1" sqref="D115">
      <formula1>0</formula1>
      <formula2>NaN</formula2>
    </dataValidation>
    <dataValidation type="decimal" allowBlank="1" showInputMessage="1" prompt="Dear Sir/ Madam - Score entered is greater than Max. Marks allotted." showErrorMessage="1" sqref="D116">
      <formula1>0</formula1>
      <formula2>NaN</formula2>
    </dataValidation>
    <dataValidation type="decimal" allowBlank="1" showInputMessage="1" prompt="Dear Sir/ Madam - Score entered is greater than Max. Marks allotted." showErrorMessage="1" sqref="D117">
      <formula1>0</formula1>
      <formula2>NaN</formula2>
    </dataValidation>
    <dataValidation type="decimal" allowBlank="1" showInputMessage="1" prompt="Dear Sir/ Madam - Score entered is greater than Max. Marks allotted." showErrorMessage="1" sqref="D118">
      <formula1>0</formula1>
      <formula2>NaN</formula2>
    </dataValidation>
    <dataValidation type="decimal" allowBlank="1" showInputMessage="1" prompt="Dear Sir/ Madam - Score entered is greater than Max. Marks allotted." showErrorMessage="1" sqref="D119">
      <formula1>0</formula1>
      <formula2>NaN</formula2>
    </dataValidation>
    <dataValidation type="decimal" allowBlank="1" showInputMessage="1" prompt="Dear Sir/ Madam - Score entered is greater than Max. Marks allotted." showErrorMessage="1" sqref="D120">
      <formula1>0</formula1>
      <formula2>NaN</formula2>
    </dataValidation>
    <dataValidation type="decimal" allowBlank="1" showInputMessage="1" prompt="Dear Sir/ Madam - Score entered is greater than Max. Marks allotted." showErrorMessage="1" sqref="D121">
      <formula1>0</formula1>
      <formula2>NaN</formula2>
    </dataValidation>
    <dataValidation type="decimal" allowBlank="1" showInputMessage="1" prompt="Dear Sir/ Madam - Score entered is greater than Max. Marks allotted." showErrorMessage="1" sqref="D122">
      <formula1>0</formula1>
      <formula2>NaN</formula2>
    </dataValidation>
    <dataValidation type="decimal" allowBlank="1" showInputMessage="1" prompt="Dear Sir/ Madam - Score entered is greater than Max. Marks allotted." showErrorMessage="1" sqref="D123">
      <formula1>0</formula1>
      <formula2>NaN</formula2>
    </dataValidation>
    <dataValidation type="decimal" allowBlank="1" showInputMessage="1" prompt="Dear Sir/ Madam - Score entered is greater than Max. Marks allotted." showErrorMessage="1" sqref="D124">
      <formula1>0</formula1>
      <formula2>NaN</formula2>
    </dataValidation>
    <dataValidation type="decimal" allowBlank="1" showInputMessage="1" prompt="Dear Sir/ Madam - Score entered is greater than Max. Marks allotted." showErrorMessage="1" sqref="D125">
      <formula1>0</formula1>
      <formula2>NaN</formula2>
    </dataValidation>
    <dataValidation type="decimal" allowBlank="1" showInputMessage="1" prompt="Dear Sir/ Madam - Score entered is greater than Max. Marks allotted." showErrorMessage="1" sqref="D126">
      <formula1>0</formula1>
      <formula2>NaN</formula2>
    </dataValidation>
    <dataValidation type="decimal" allowBlank="1" showInputMessage="1" prompt="Dear Sir/ Madam - Score entered is greater than Max. Marks allotted." showErrorMessage="1" sqref="D127">
      <formula1>0</formula1>
      <formula2>NaN</formula2>
    </dataValidation>
    <dataValidation type="decimal" allowBlank="1" showInputMessage="1" prompt="Dear Sir/ Madam - Score entered is greater than Max. Marks allotted." showErrorMessage="1" sqref="D128">
      <formula1>0</formula1>
      <formula2>NaN</formula2>
    </dataValidation>
    <dataValidation type="decimal" allowBlank="1" showInputMessage="1" prompt="Dear Sir/ Madam - Score entered is greater than Max. Marks allotted." showErrorMessage="1" sqref="D129">
      <formula1>0</formula1>
      <formula2>NaN</formula2>
    </dataValidation>
    <dataValidation type="decimal" allowBlank="1" showInputMessage="1" prompt="Dear Sir/ Madam - Score entered is greater than Max. Marks allotted." showErrorMessage="1" sqref="D130">
      <formula1>0</formula1>
      <formula2>NaN</formula2>
    </dataValidation>
    <dataValidation type="decimal" allowBlank="1" showInputMessage="1" prompt="Dear Sir/ Madam - Score entered is greater than Max. Marks allotted." showErrorMessage="1" sqref="D131">
      <formula1>0</formula1>
      <formula2>NaN</formula2>
    </dataValidation>
    <dataValidation type="decimal" allowBlank="1" showInputMessage="1" prompt="Dear Sir/ Madam - Score entered is greater than Max. Marks allotted." showErrorMessage="1" sqref="D132">
      <formula1>0</formula1>
      <formula2>NaN</formula2>
    </dataValidation>
    <dataValidation type="decimal" allowBlank="1" showInputMessage="1" prompt="Dear Sir/ Madam - Score entered is greater than Max. Marks allotted." showErrorMessage="1" sqref="D133">
      <formula1>0</formula1>
      <formula2>NaN</formula2>
    </dataValidation>
    <dataValidation type="decimal" allowBlank="1" showInputMessage="1" prompt="Dear Sir/ Madam - Score entered is greater than Max. Marks allotted." showErrorMessage="1" sqref="D134">
      <formula1>0</formula1>
      <formula2>NaN</formula2>
    </dataValidation>
    <dataValidation type="decimal" allowBlank="1" showInputMessage="1" prompt="Dear Sir/ Madam - Score entered is greater than Max. Marks allotted." showErrorMessage="1" sqref="D135">
      <formula1>0</formula1>
      <formula2>NaN</formula2>
    </dataValidation>
    <dataValidation type="decimal" allowBlank="1" showInputMessage="1" prompt="Dear Sir/ Madam - Score entered is greater than Max. Marks allotted." showErrorMessage="1" sqref="E108">
      <formula1>0</formula1>
      <formula2>NaN</formula2>
    </dataValidation>
    <dataValidation type="decimal" allowBlank="1" showInputMessage="1" prompt="Dear Sir/ Madam - Score entered is greater than Max. Marks allotted." showErrorMessage="1" sqref="E109">
      <formula1>0</formula1>
      <formula2>NaN</formula2>
    </dataValidation>
    <dataValidation type="decimal" allowBlank="1" showInputMessage="1" prompt="Dear Sir/ Madam - Score entered is greater than Max. Marks allotted." showErrorMessage="1" sqref="E110">
      <formula1>0</formula1>
      <formula2>NaN</formula2>
    </dataValidation>
    <dataValidation type="decimal" allowBlank="1" showInputMessage="1" prompt="Dear Sir/ Madam - Score entered is greater than Max. Marks allotted." showErrorMessage="1" sqref="E111">
      <formula1>0</formula1>
      <formula2>NaN</formula2>
    </dataValidation>
    <dataValidation type="decimal" allowBlank="1" showInputMessage="1" prompt="Dear Sir/ Madam - Score entered is greater than Max. Marks allotted." showErrorMessage="1" sqref="E112">
      <formula1>0</formula1>
      <formula2>NaN</formula2>
    </dataValidation>
    <dataValidation type="decimal" allowBlank="1" showInputMessage="1" prompt="Dear Sir/ Madam - Score entered is greater than Max. Marks allotted." showErrorMessage="1" sqref="E113">
      <formula1>0</formula1>
      <formula2>NaN</formula2>
    </dataValidation>
    <dataValidation type="decimal" allowBlank="1" showInputMessage="1" prompt="Dear Sir/ Madam - Score entered is greater than Max. Marks allotted." showErrorMessage="1" sqref="E114">
      <formula1>0</formula1>
      <formula2>NaN</formula2>
    </dataValidation>
    <dataValidation type="decimal" allowBlank="1" showInputMessage="1" prompt="Dear Sir/ Madam - Score entered is greater than Max. Marks allotted." showErrorMessage="1" sqref="E115">
      <formula1>0</formula1>
      <formula2>NaN</formula2>
    </dataValidation>
    <dataValidation type="decimal" allowBlank="1" showInputMessage="1" prompt="Dear Sir/ Madam - Score entered is greater than Max. Marks allotted." showErrorMessage="1" sqref="E116">
      <formula1>0</formula1>
      <formula2>NaN</formula2>
    </dataValidation>
    <dataValidation type="decimal" allowBlank="1" showInputMessage="1" prompt="Dear Sir/ Madam - Score entered is greater than Max. Marks allotted." showErrorMessage="1" sqref="E117">
      <formula1>0</formula1>
      <formula2>NaN</formula2>
    </dataValidation>
    <dataValidation type="decimal" allowBlank="1" showInputMessage="1" prompt="Dear Sir/ Madam - Score entered is greater than Max. Marks allotted." showErrorMessage="1" sqref="E118">
      <formula1>0</formula1>
      <formula2>NaN</formula2>
    </dataValidation>
    <dataValidation type="decimal" allowBlank="1" showInputMessage="1" prompt="Dear Sir/ Madam - Score entered is greater than Max. Marks allotted." showErrorMessage="1" sqref="E119">
      <formula1>0</formula1>
      <formula2>NaN</formula2>
    </dataValidation>
    <dataValidation type="decimal" allowBlank="1" showInputMessage="1" prompt="Dear Sir/ Madam - Score entered is greater than Max. Marks allotted." showErrorMessage="1" sqref="E120">
      <formula1>0</formula1>
      <formula2>NaN</formula2>
    </dataValidation>
    <dataValidation type="decimal" allowBlank="1" showInputMessage="1" prompt="Dear Sir/ Madam - Score entered is greater than Max. Marks allotted." showErrorMessage="1" sqref="E121">
      <formula1>0</formula1>
      <formula2>NaN</formula2>
    </dataValidation>
    <dataValidation type="decimal" allowBlank="1" showInputMessage="1" prompt="Dear Sir/ Madam - Score entered is greater than Max. Marks allotted." showErrorMessage="1" sqref="E122">
      <formula1>0</formula1>
      <formula2>NaN</formula2>
    </dataValidation>
    <dataValidation type="decimal" allowBlank="1" showInputMessage="1" prompt="Dear Sir/ Madam - Score entered is greater than Max. Marks allotted." showErrorMessage="1" sqref="E123">
      <formula1>0</formula1>
      <formula2>NaN</formula2>
    </dataValidation>
    <dataValidation type="decimal" allowBlank="1" showInputMessage="1" prompt="Dear Sir/ Madam - Score entered is greater than Max. Marks allotted." showErrorMessage="1" sqref="E124">
      <formula1>0</formula1>
      <formula2>NaN</formula2>
    </dataValidation>
    <dataValidation type="decimal" allowBlank="1" showInputMessage="1" prompt="Dear Sir/ Madam - Score entered is greater than Max. Marks allotted." showErrorMessage="1" sqref="E125">
      <formula1>0</formula1>
      <formula2>NaN</formula2>
    </dataValidation>
    <dataValidation type="decimal" allowBlank="1" showInputMessage="1" prompt="Dear Sir/ Madam - Score entered is greater than Max. Marks allotted." showErrorMessage="1" sqref="E126">
      <formula1>0</formula1>
      <formula2>NaN</formula2>
    </dataValidation>
    <dataValidation type="decimal" allowBlank="1" showInputMessage="1" prompt="Dear Sir/ Madam - Score entered is greater than Max. Marks allotted." showErrorMessage="1" sqref="E127">
      <formula1>0</formula1>
      <formula2>NaN</formula2>
    </dataValidation>
    <dataValidation type="decimal" allowBlank="1" showInputMessage="1" prompt="Dear Sir/ Madam - Score entered is greater than Max. Marks allotted." showErrorMessage="1" sqref="E128">
      <formula1>0</formula1>
      <formula2>NaN</formula2>
    </dataValidation>
    <dataValidation type="decimal" allowBlank="1" showInputMessage="1" prompt="Dear Sir/ Madam - Score entered is greater than Max. Marks allotted." showErrorMessage="1" sqref="E129">
      <formula1>0</formula1>
      <formula2>NaN</formula2>
    </dataValidation>
    <dataValidation type="decimal" allowBlank="1" showInputMessage="1" prompt="Dear Sir/ Madam - Score entered is greater than Max. Marks allotted." showErrorMessage="1" sqref="E130">
      <formula1>0</formula1>
      <formula2>NaN</formula2>
    </dataValidation>
    <dataValidation type="decimal" allowBlank="1" showInputMessage="1" prompt="Dear Sir/ Madam - Score entered is greater than Max. Marks allotted." showErrorMessage="1" sqref="E131">
      <formula1>0</formula1>
      <formula2>NaN</formula2>
    </dataValidation>
    <dataValidation type="decimal" allowBlank="1" showInputMessage="1" prompt="Dear Sir/ Madam - Score entered is greater than Max. Marks allotted." showErrorMessage="1" sqref="E132">
      <formula1>0</formula1>
      <formula2>NaN</formula2>
    </dataValidation>
    <dataValidation type="decimal" allowBlank="1" showInputMessage="1" prompt="Dear Sir/ Madam - Score entered is greater than Max. Marks allotted." showErrorMessage="1" sqref="E133">
      <formula1>0</formula1>
      <formula2>NaN</formula2>
    </dataValidation>
    <dataValidation type="decimal" allowBlank="1" showInputMessage="1" prompt="Dear Sir/ Madam - Score entered is greater than Max. Marks allotted." showErrorMessage="1" sqref="E134">
      <formula1>0</formula1>
      <formula2>NaN</formula2>
    </dataValidation>
    <dataValidation type="decimal" allowBlank="1" showInputMessage="1" prompt="Dear Sir/ Madam - Score entered is greater than Max. Marks allotted." showErrorMessage="1" sqref="E135">
      <formula1>0</formula1>
      <formula2>NaN</formula2>
    </dataValidation>
    <dataValidation type="decimal" allowBlank="1" showInputMessage="1" prompt="Dear Sir/ Madam - Score entered is greater than Max. Marks allotted." showErrorMessage="1" sqref="F108">
      <formula1>0</formula1>
      <formula2>NaN</formula2>
    </dataValidation>
    <dataValidation type="decimal" allowBlank="1" showInputMessage="1" prompt="Dear Sir/ Madam - Score entered is greater than Max. Marks allotted." showErrorMessage="1" sqref="F109">
      <formula1>0</formula1>
      <formula2>NaN</formula2>
    </dataValidation>
    <dataValidation type="decimal" allowBlank="1" showInputMessage="1" prompt="Dear Sir/ Madam - Score entered is greater than Max. Marks allotted." showErrorMessage="1" sqref="F110">
      <formula1>0</formula1>
      <formula2>NaN</formula2>
    </dataValidation>
    <dataValidation type="decimal" allowBlank="1" showInputMessage="1" prompt="Dear Sir/ Madam - Score entered is greater than Max. Marks allotted." showErrorMessage="1" sqref="F111">
      <formula1>0</formula1>
      <formula2>NaN</formula2>
    </dataValidation>
    <dataValidation type="decimal" allowBlank="1" showInputMessage="1" prompt="Dear Sir/ Madam - Score entered is greater than Max. Marks allotted." showErrorMessage="1" sqref="F112">
      <formula1>0</formula1>
      <formula2>NaN</formula2>
    </dataValidation>
    <dataValidation type="decimal" allowBlank="1" showInputMessage="1" prompt="Dear Sir/ Madam - Score entered is greater than Max. Marks allotted." showErrorMessage="1" sqref="F113">
      <formula1>0</formula1>
      <formula2>NaN</formula2>
    </dataValidation>
    <dataValidation type="decimal" allowBlank="1" showInputMessage="1" prompt="Dear Sir/ Madam - Score entered is greater than Max. Marks allotted." showErrorMessage="1" sqref="F114">
      <formula1>0</formula1>
      <formula2>NaN</formula2>
    </dataValidation>
    <dataValidation type="decimal" allowBlank="1" showInputMessage="1" prompt="Dear Sir/ Madam - Score entered is greater than Max. Marks allotted." showErrorMessage="1" sqref="F115">
      <formula1>0</formula1>
      <formula2>NaN</formula2>
    </dataValidation>
    <dataValidation type="decimal" allowBlank="1" showInputMessage="1" prompt="Dear Sir/ Madam - Score entered is greater than Max. Marks allotted." showErrorMessage="1" sqref="F116">
      <formula1>0</formula1>
      <formula2>NaN</formula2>
    </dataValidation>
    <dataValidation type="decimal" allowBlank="1" showInputMessage="1" prompt="Dear Sir/ Madam - Score entered is greater than Max. Marks allotted." showErrorMessage="1" sqref="F117">
      <formula1>0</formula1>
      <formula2>NaN</formula2>
    </dataValidation>
    <dataValidation type="decimal" allowBlank="1" showInputMessage="1" prompt="Dear Sir/ Madam - Score entered is greater than Max. Marks allotted." showErrorMessage="1" sqref="F118">
      <formula1>0</formula1>
      <formula2>NaN</formula2>
    </dataValidation>
    <dataValidation type="decimal" allowBlank="1" showInputMessage="1" prompt="Dear Sir/ Madam - Score entered is greater than Max. Marks allotted." showErrorMessage="1" sqref="F119">
      <formula1>0</formula1>
      <formula2>NaN</formula2>
    </dataValidation>
    <dataValidation type="decimal" allowBlank="1" showInputMessage="1" prompt="Dear Sir/ Madam - Score entered is greater than Max. Marks allotted." showErrorMessage="1" sqref="F120">
      <formula1>0</formula1>
      <formula2>NaN</formula2>
    </dataValidation>
    <dataValidation type="decimal" allowBlank="1" showInputMessage="1" prompt="Dear Sir/ Madam - Score entered is greater than Max. Marks allotted." showErrorMessage="1" sqref="F121">
      <formula1>0</formula1>
      <formula2>NaN</formula2>
    </dataValidation>
    <dataValidation type="decimal" allowBlank="1" showInputMessage="1" prompt="Dear Sir/ Madam - Score entered is greater than Max. Marks allotted." showErrorMessage="1" sqref="F122">
      <formula1>0</formula1>
      <formula2>NaN</formula2>
    </dataValidation>
    <dataValidation type="decimal" allowBlank="1" showInputMessage="1" prompt="Dear Sir/ Madam - Score entered is greater than Max. Marks allotted." showErrorMessage="1" sqref="F123">
      <formula1>0</formula1>
      <formula2>NaN</formula2>
    </dataValidation>
    <dataValidation type="decimal" allowBlank="1" showInputMessage="1" prompt="Dear Sir/ Madam - Score entered is greater than Max. Marks allotted." showErrorMessage="1" sqref="F124">
      <formula1>0</formula1>
      <formula2>NaN</formula2>
    </dataValidation>
    <dataValidation type="decimal" allowBlank="1" showInputMessage="1" prompt="Dear Sir/ Madam - Score entered is greater than Max. Marks allotted." showErrorMessage="1" sqref="F125">
      <formula1>0</formula1>
      <formula2>NaN</formula2>
    </dataValidation>
    <dataValidation type="decimal" allowBlank="1" showInputMessage="1" prompt="Dear Sir/ Madam - Score entered is greater than Max. Marks allotted." showErrorMessage="1" sqref="F126">
      <formula1>0</formula1>
      <formula2>NaN</formula2>
    </dataValidation>
    <dataValidation type="decimal" allowBlank="1" showInputMessage="1" prompt="Dear Sir/ Madam - Score entered is greater than Max. Marks allotted." showErrorMessage="1" sqref="F127">
      <formula1>0</formula1>
      <formula2>NaN</formula2>
    </dataValidation>
    <dataValidation type="decimal" allowBlank="1" showInputMessage="1" prompt="Dear Sir/ Madam - Score entered is greater than Max. Marks allotted." showErrorMessage="1" sqref="F128">
      <formula1>0</formula1>
      <formula2>NaN</formula2>
    </dataValidation>
    <dataValidation type="decimal" allowBlank="1" showInputMessage="1" prompt="Dear Sir/ Madam - Score entered is greater than Max. Marks allotted." showErrorMessage="1" sqref="F129">
      <formula1>0</formula1>
      <formula2>NaN</formula2>
    </dataValidation>
    <dataValidation type="decimal" allowBlank="1" showInputMessage="1" prompt="Dear Sir/ Madam - Score entered is greater than Max. Marks allotted." showErrorMessage="1" sqref="F130">
      <formula1>0</formula1>
      <formula2>NaN</formula2>
    </dataValidation>
    <dataValidation type="decimal" allowBlank="1" showInputMessage="1" prompt="Dear Sir/ Madam - Score entered is greater than Max. Marks allotted." showErrorMessage="1" sqref="F131">
      <formula1>0</formula1>
      <formula2>NaN</formula2>
    </dataValidation>
    <dataValidation type="decimal" allowBlank="1" showInputMessage="1" prompt="Dear Sir/ Madam - Score entered is greater than Max. Marks allotted." showErrorMessage="1" sqref="F132">
      <formula1>0</formula1>
      <formula2>NaN</formula2>
    </dataValidation>
    <dataValidation type="decimal" allowBlank="1" showInputMessage="1" prompt="Dear Sir/ Madam - Score entered is greater than Max. Marks allotted." showErrorMessage="1" sqref="F133">
      <formula1>0</formula1>
      <formula2>NaN</formula2>
    </dataValidation>
    <dataValidation type="decimal" allowBlank="1" showInputMessage="1" prompt="Dear Sir/ Madam - Score entered is greater than Max. Marks allotted." showErrorMessage="1" sqref="F134">
      <formula1>0</formula1>
      <formula2>NaN</formula2>
    </dataValidation>
    <dataValidation type="decimal" allowBlank="1" showInputMessage="1" prompt="Dear Sir/ Madam - Score entered is greater than Max. Marks allotted." showErrorMessage="1" sqref="F135">
      <formula1>0</formula1>
      <formula2>NaN</formula2>
    </dataValidation>
    <dataValidation type="decimal" allowBlank="1" showInputMessage="1" prompt="Dear Sir/ Madam - Score entered is greater than Max. Marks allotted." showErrorMessage="1" sqref="G108">
      <formula1>0</formula1>
      <formula2>NaN</formula2>
    </dataValidation>
    <dataValidation type="decimal" allowBlank="1" showInputMessage="1" prompt="Dear Sir/ Madam - Score entered is greater than Max. Marks allotted." showErrorMessage="1" sqref="G109">
      <formula1>0</formula1>
      <formula2>NaN</formula2>
    </dataValidation>
    <dataValidation type="decimal" allowBlank="1" showInputMessage="1" prompt="Dear Sir/ Madam - Score entered is greater than Max. Marks allotted." showErrorMessage="1" sqref="G110">
      <formula1>0</formula1>
      <formula2>NaN</formula2>
    </dataValidation>
    <dataValidation type="decimal" allowBlank="1" showInputMessage="1" prompt="Dear Sir/ Madam - Score entered is greater than Max. Marks allotted." showErrorMessage="1" sqref="G111">
      <formula1>0</formula1>
      <formula2>NaN</formula2>
    </dataValidation>
    <dataValidation type="decimal" allowBlank="1" showInputMessage="1" prompt="Dear Sir/ Madam - Score entered is greater than Max. Marks allotted." showErrorMessage="1" sqref="G112">
      <formula1>0</formula1>
      <formula2>NaN</formula2>
    </dataValidation>
    <dataValidation type="decimal" allowBlank="1" showInputMessage="1" prompt="Dear Sir/ Madam - Score entered is greater than Max. Marks allotted." showErrorMessage="1" sqref="G113">
      <formula1>0</formula1>
      <formula2>NaN</formula2>
    </dataValidation>
    <dataValidation type="decimal" allowBlank="1" showInputMessage="1" prompt="Dear Sir/ Madam - Score entered is greater than Max. Marks allotted." showErrorMessage="1" sqref="G114">
      <formula1>0</formula1>
      <formula2>NaN</formula2>
    </dataValidation>
    <dataValidation type="decimal" allowBlank="1" showInputMessage="1" prompt="Dear Sir/ Madam - Score entered is greater than Max. Marks allotted." showErrorMessage="1" sqref="G115">
      <formula1>0</formula1>
      <formula2>NaN</formula2>
    </dataValidation>
    <dataValidation type="decimal" allowBlank="1" showInputMessage="1" prompt="Dear Sir/ Madam - Score entered is greater than Max. Marks allotted." showErrorMessage="1" sqref="G116">
      <formula1>0</formula1>
      <formula2>NaN</formula2>
    </dataValidation>
    <dataValidation type="decimal" allowBlank="1" showInputMessage="1" prompt="Dear Sir/ Madam - Score entered is greater than Max. Marks allotted." showErrorMessage="1" sqref="G117">
      <formula1>0</formula1>
      <formula2>NaN</formula2>
    </dataValidation>
    <dataValidation type="decimal" allowBlank="1" showInputMessage="1" prompt="Dear Sir/ Madam - Score entered is greater than Max. Marks allotted." showErrorMessage="1" sqref="G118">
      <formula1>0</formula1>
      <formula2>NaN</formula2>
    </dataValidation>
    <dataValidation type="decimal" allowBlank="1" showInputMessage="1" prompt="Dear Sir/ Madam - Score entered is greater than Max. Marks allotted." showErrorMessage="1" sqref="G119">
      <formula1>0</formula1>
      <formula2>NaN</formula2>
    </dataValidation>
    <dataValidation type="decimal" allowBlank="1" showInputMessage="1" prompt="Dear Sir/ Madam - Score entered is greater than Max. Marks allotted." showErrorMessage="1" sqref="G120">
      <formula1>0</formula1>
      <formula2>NaN</formula2>
    </dataValidation>
    <dataValidation type="decimal" allowBlank="1" showInputMessage="1" prompt="Dear Sir/ Madam - Score entered is greater than Max. Marks allotted." showErrorMessage="1" sqref="G121">
      <formula1>0</formula1>
      <formula2>NaN</formula2>
    </dataValidation>
    <dataValidation type="decimal" allowBlank="1" showInputMessage="1" prompt="Dear Sir/ Madam - Score entered is greater than Max. Marks allotted." showErrorMessage="1" sqref="G122">
      <formula1>0</formula1>
      <formula2>NaN</formula2>
    </dataValidation>
    <dataValidation type="decimal" allowBlank="1" showInputMessage="1" prompt="Dear Sir/ Madam - Score entered is greater than Max. Marks allotted." showErrorMessage="1" sqref="G123">
      <formula1>0</formula1>
      <formula2>NaN</formula2>
    </dataValidation>
    <dataValidation type="decimal" allowBlank="1" showInputMessage="1" prompt="Dear Sir/ Madam - Score entered is greater than Max. Marks allotted." showErrorMessage="1" sqref="G124">
      <formula1>0</formula1>
      <formula2>NaN</formula2>
    </dataValidation>
    <dataValidation type="decimal" allowBlank="1" showInputMessage="1" prompt="Dear Sir/ Madam - Score entered is greater than Max. Marks allotted." showErrorMessage="1" sqref="G125">
      <formula1>0</formula1>
      <formula2>NaN</formula2>
    </dataValidation>
    <dataValidation type="decimal" allowBlank="1" showInputMessage="1" prompt="Dear Sir/ Madam - Score entered is greater than Max. Marks allotted." showErrorMessage="1" sqref="G126">
      <formula1>0</formula1>
      <formula2>NaN</formula2>
    </dataValidation>
    <dataValidation type="decimal" allowBlank="1" showInputMessage="1" prompt="Dear Sir/ Madam - Score entered is greater than Max. Marks allotted." showErrorMessage="1" sqref="G127">
      <formula1>0</formula1>
      <formula2>NaN</formula2>
    </dataValidation>
    <dataValidation type="decimal" allowBlank="1" showInputMessage="1" prompt="Dear Sir/ Madam - Score entered is greater than Max. Marks allotted." showErrorMessage="1" sqref="G128">
      <formula1>0</formula1>
      <formula2>NaN</formula2>
    </dataValidation>
    <dataValidation type="decimal" allowBlank="1" showInputMessage="1" prompt="Dear Sir/ Madam - Score entered is greater than Max. Marks allotted." showErrorMessage="1" sqref="G129">
      <formula1>0</formula1>
      <formula2>NaN</formula2>
    </dataValidation>
    <dataValidation type="decimal" allowBlank="1" showInputMessage="1" prompt="Dear Sir/ Madam - Score entered is greater than Max. Marks allotted." showErrorMessage="1" sqref="G130">
      <formula1>0</formula1>
      <formula2>NaN</formula2>
    </dataValidation>
    <dataValidation type="decimal" allowBlank="1" showInputMessage="1" prompt="Dear Sir/ Madam - Score entered is greater than Max. Marks allotted." showErrorMessage="1" sqref="G131">
      <formula1>0</formula1>
      <formula2>NaN</formula2>
    </dataValidation>
    <dataValidation type="decimal" allowBlank="1" showInputMessage="1" prompt="Dear Sir/ Madam - Score entered is greater than Max. Marks allotted." showErrorMessage="1" sqref="G132">
      <formula1>0</formula1>
      <formula2>NaN</formula2>
    </dataValidation>
    <dataValidation type="decimal" allowBlank="1" showInputMessage="1" prompt="Dear Sir/ Madam - Score entered is greater than Max. Marks allotted." showErrorMessage="1" sqref="G133">
      <formula1>0</formula1>
      <formula2>NaN</formula2>
    </dataValidation>
    <dataValidation type="decimal" allowBlank="1" showInputMessage="1" prompt="Dear Sir/ Madam - Score entered is greater than Max. Marks allotted." showErrorMessage="1" sqref="G134">
      <formula1>0</formula1>
      <formula2>NaN</formula2>
    </dataValidation>
    <dataValidation type="decimal" allowBlank="1" showInputMessage="1" prompt="Dear Sir/ Madam - Score entered is greater than Max. Marks allotted." showErrorMessage="1" sqref="G135">
      <formula1>0</formula1>
      <formula2>NaN</formula2>
    </dataValidation>
    <dataValidation type="decimal" allowBlank="1" showInputMessage="1" prompt="Dear Sir/ Madam - Score entered is greater than Max. Marks allotted." showErrorMessage="1" sqref="H108">
      <formula1>0</formula1>
      <formula2>NaN</formula2>
    </dataValidation>
    <dataValidation type="decimal" allowBlank="1" showInputMessage="1" prompt="Dear Sir/ Madam - Score entered is greater than Max. Marks allotted." showErrorMessage="1" sqref="H109">
      <formula1>0</formula1>
      <formula2>NaN</formula2>
    </dataValidation>
    <dataValidation type="decimal" allowBlank="1" showInputMessage="1" prompt="Dear Sir/ Madam - Score entered is greater than Max. Marks allotted." showErrorMessage="1" sqref="H110">
      <formula1>0</formula1>
      <formula2>NaN</formula2>
    </dataValidation>
    <dataValidation type="decimal" allowBlank="1" showInputMessage="1" prompt="Dear Sir/ Madam - Score entered is greater than Max. Marks allotted." showErrorMessage="1" sqref="H111">
      <formula1>0</formula1>
      <formula2>NaN</formula2>
    </dataValidation>
    <dataValidation type="decimal" allowBlank="1" showInputMessage="1" prompt="Dear Sir/ Madam - Score entered is greater than Max. Marks allotted." showErrorMessage="1" sqref="H112">
      <formula1>0</formula1>
      <formula2>NaN</formula2>
    </dataValidation>
    <dataValidation type="decimal" allowBlank="1" showInputMessage="1" prompt="Dear Sir/ Madam - Score entered is greater than Max. Marks allotted." showErrorMessage="1" sqref="H113">
      <formula1>0</formula1>
      <formula2>NaN</formula2>
    </dataValidation>
    <dataValidation type="decimal" allowBlank="1" showInputMessage="1" prompt="Dear Sir/ Madam - Score entered is greater than Max. Marks allotted." showErrorMessage="1" sqref="H114">
      <formula1>0</formula1>
      <formula2>NaN</formula2>
    </dataValidation>
    <dataValidation type="decimal" allowBlank="1" showInputMessage="1" prompt="Dear Sir/ Madam - Score entered is greater than Max. Marks allotted." showErrorMessage="1" sqref="H115">
      <formula1>0</formula1>
      <formula2>NaN</formula2>
    </dataValidation>
    <dataValidation type="decimal" allowBlank="1" showInputMessage="1" prompt="Dear Sir/ Madam - Score entered is greater than Max. Marks allotted." showErrorMessage="1" sqref="H116">
      <formula1>0</formula1>
      <formula2>NaN</formula2>
    </dataValidation>
    <dataValidation type="decimal" allowBlank="1" showInputMessage="1" prompt="Dear Sir/ Madam - Score entered is greater than Max. Marks allotted." showErrorMessage="1" sqref="H117">
      <formula1>0</formula1>
      <formula2>NaN</formula2>
    </dataValidation>
    <dataValidation type="decimal" allowBlank="1" showInputMessage="1" prompt="Dear Sir/ Madam - Score entered is greater than Max. Marks allotted." showErrorMessage="1" sqref="H118">
      <formula1>0</formula1>
      <formula2>NaN</formula2>
    </dataValidation>
    <dataValidation type="decimal" allowBlank="1" showInputMessage="1" prompt="Dear Sir/ Madam - Score entered is greater than Max. Marks allotted." showErrorMessage="1" sqref="H119">
      <formula1>0</formula1>
      <formula2>NaN</formula2>
    </dataValidation>
    <dataValidation type="decimal" allowBlank="1" showInputMessage="1" prompt="Dear Sir/ Madam - Score entered is greater than Max. Marks allotted." showErrorMessage="1" sqref="H120">
      <formula1>0</formula1>
      <formula2>NaN</formula2>
    </dataValidation>
    <dataValidation type="decimal" allowBlank="1" showInputMessage="1" prompt="Dear Sir/ Madam - Score entered is greater than Max. Marks allotted." showErrorMessage="1" sqref="H121">
      <formula1>0</formula1>
      <formula2>NaN</formula2>
    </dataValidation>
    <dataValidation type="decimal" allowBlank="1" showInputMessage="1" prompt="Dear Sir/ Madam - Score entered is greater than Max. Marks allotted." showErrorMessage="1" sqref="H122">
      <formula1>0</formula1>
      <formula2>NaN</formula2>
    </dataValidation>
    <dataValidation type="decimal" allowBlank="1" showInputMessage="1" prompt="Dear Sir/ Madam - Score entered is greater than Max. Marks allotted." showErrorMessage="1" sqref="H123">
      <formula1>0</formula1>
      <formula2>NaN</formula2>
    </dataValidation>
    <dataValidation type="decimal" allowBlank="1" showInputMessage="1" prompt="Dear Sir/ Madam - Score entered is greater than Max. Marks allotted." showErrorMessage="1" sqref="H124">
      <formula1>0</formula1>
      <formula2>NaN</formula2>
    </dataValidation>
    <dataValidation type="decimal" allowBlank="1" showInputMessage="1" prompt="Dear Sir/ Madam - Score entered is greater than Max. Marks allotted." showErrorMessage="1" sqref="H125">
      <formula1>0</formula1>
      <formula2>NaN</formula2>
    </dataValidation>
    <dataValidation type="decimal" allowBlank="1" showInputMessage="1" prompt="Dear Sir/ Madam - Score entered is greater than Max. Marks allotted." showErrorMessage="1" sqref="H126">
      <formula1>0</formula1>
      <formula2>NaN</formula2>
    </dataValidation>
    <dataValidation type="decimal" allowBlank="1" showInputMessage="1" prompt="Dear Sir/ Madam - Score entered is greater than Max. Marks allotted." showErrorMessage="1" sqref="H127">
      <formula1>0</formula1>
      <formula2>NaN</formula2>
    </dataValidation>
    <dataValidation type="decimal" allowBlank="1" showInputMessage="1" prompt="Dear Sir/ Madam - Score entered is greater than Max. Marks allotted." showErrorMessage="1" sqref="H128">
      <formula1>0</formula1>
      <formula2>NaN</formula2>
    </dataValidation>
    <dataValidation type="decimal" allowBlank="1" showInputMessage="1" prompt="Dear Sir/ Madam - Score entered is greater than Max. Marks allotted." showErrorMessage="1" sqref="H129">
      <formula1>0</formula1>
      <formula2>NaN</formula2>
    </dataValidation>
    <dataValidation type="decimal" allowBlank="1" showInputMessage="1" prompt="Dear Sir/ Madam - Score entered is greater than Max. Marks allotted." showErrorMessage="1" sqref="H130">
      <formula1>0</formula1>
      <formula2>NaN</formula2>
    </dataValidation>
    <dataValidation type="decimal" allowBlank="1" showInputMessage="1" prompt="Dear Sir/ Madam - Score entered is greater than Max. Marks allotted." showErrorMessage="1" sqref="H131">
      <formula1>0</formula1>
      <formula2>NaN</formula2>
    </dataValidation>
    <dataValidation type="decimal" allowBlank="1" showInputMessage="1" prompt="Dear Sir/ Madam - Score entered is greater than Max. Marks allotted." showErrorMessage="1" sqref="H132">
      <formula1>0</formula1>
      <formula2>NaN</formula2>
    </dataValidation>
    <dataValidation type="decimal" allowBlank="1" showInputMessage="1" prompt="Dear Sir/ Madam - Score entered is greater than Max. Marks allotted." showErrorMessage="1" sqref="H133">
      <formula1>0</formula1>
      <formula2>NaN</formula2>
    </dataValidation>
    <dataValidation type="decimal" allowBlank="1" showInputMessage="1" prompt="Dear Sir/ Madam - Score entered is greater than Max. Marks allotted." showErrorMessage="1" sqref="H134">
      <formula1>0</formula1>
      <formula2>NaN</formula2>
    </dataValidation>
    <dataValidation type="decimal" allowBlank="1" showInputMessage="1" prompt="Dear Sir/ Madam - Score entered is greater than Max. Marks allotted." showErrorMessage="1" sqref="H135">
      <formula1>0</formula1>
      <formula2>NaN</formula2>
    </dataValidation>
    <dataValidation type="decimal" allowBlank="1" showInputMessage="1" prompt="Dear Sir/ Madam - Score entered is greater than Max. Marks allotted." showErrorMessage="1" sqref="I108">
      <formula1>0</formula1>
      <formula2>NaN</formula2>
    </dataValidation>
    <dataValidation type="decimal" allowBlank="1" showInputMessage="1" prompt="Dear Sir/ Madam - Score entered is greater than Max. Marks allotted." showErrorMessage="1" sqref="I109">
      <formula1>0</formula1>
      <formula2>NaN</formula2>
    </dataValidation>
    <dataValidation type="decimal" allowBlank="1" showInputMessage="1" prompt="Dear Sir/ Madam - Score entered is greater than Max. Marks allotted." showErrorMessage="1" sqref="I110">
      <formula1>0</formula1>
      <formula2>NaN</formula2>
    </dataValidation>
    <dataValidation type="decimal" allowBlank="1" showInputMessage="1" prompt="Dear Sir/ Madam - Score entered is greater than Max. Marks allotted." showErrorMessage="1" sqref="I111">
      <formula1>0</formula1>
      <formula2>NaN</formula2>
    </dataValidation>
    <dataValidation type="decimal" allowBlank="1" showInputMessage="1" prompt="Dear Sir/ Madam - Score entered is greater than Max. Marks allotted." showErrorMessage="1" sqref="I112">
      <formula1>0</formula1>
      <formula2>NaN</formula2>
    </dataValidation>
    <dataValidation type="decimal" allowBlank="1" showInputMessage="1" prompt="Dear Sir/ Madam - Score entered is greater than Max. Marks allotted." showErrorMessage="1" sqref="I113">
      <formula1>0</formula1>
      <formula2>NaN</formula2>
    </dataValidation>
    <dataValidation type="decimal" allowBlank="1" showInputMessage="1" prompt="Dear Sir/ Madam - Score entered is greater than Max. Marks allotted." showErrorMessage="1" sqref="I114">
      <formula1>0</formula1>
      <formula2>NaN</formula2>
    </dataValidation>
    <dataValidation type="decimal" allowBlank="1" showInputMessage="1" prompt="Dear Sir/ Madam - Score entered is greater than Max. Marks allotted." showErrorMessage="1" sqref="I115">
      <formula1>0</formula1>
      <formula2>NaN</formula2>
    </dataValidation>
    <dataValidation type="decimal" allowBlank="1" showInputMessage="1" prompt="Dear Sir/ Madam - Score entered is greater than Max. Marks allotted." showErrorMessage="1" sqref="I116">
      <formula1>0</formula1>
      <formula2>NaN</formula2>
    </dataValidation>
    <dataValidation type="decimal" allowBlank="1" showInputMessage="1" prompt="Dear Sir/ Madam - Score entered is greater than Max. Marks allotted." showErrorMessage="1" sqref="I117">
      <formula1>0</formula1>
      <formula2>NaN</formula2>
    </dataValidation>
    <dataValidation type="decimal" allowBlank="1" showInputMessage="1" prompt="Dear Sir/ Madam - Score entered is greater than Max. Marks allotted." showErrorMessage="1" sqref="I118">
      <formula1>0</formula1>
      <formula2>NaN</formula2>
    </dataValidation>
    <dataValidation type="decimal" allowBlank="1" showInputMessage="1" prompt="Dear Sir/ Madam - Score entered is greater than Max. Marks allotted." showErrorMessage="1" sqref="I119">
      <formula1>0</formula1>
      <formula2>NaN</formula2>
    </dataValidation>
    <dataValidation type="decimal" allowBlank="1" showInputMessage="1" prompt="Dear Sir/ Madam - Score entered is greater than Max. Marks allotted." showErrorMessage="1" sqref="I120">
      <formula1>0</formula1>
      <formula2>NaN</formula2>
    </dataValidation>
    <dataValidation type="decimal" allowBlank="1" showInputMessage="1" prompt="Dear Sir/ Madam - Score entered is greater than Max. Marks allotted." showErrorMessage="1" sqref="I121">
      <formula1>0</formula1>
      <formula2>NaN</formula2>
    </dataValidation>
    <dataValidation type="decimal" allowBlank="1" showInputMessage="1" prompt="Dear Sir/ Madam - Score entered is greater than Max. Marks allotted." showErrorMessage="1" sqref="I122">
      <formula1>0</formula1>
      <formula2>NaN</formula2>
    </dataValidation>
    <dataValidation type="decimal" allowBlank="1" showInputMessage="1" prompt="Dear Sir/ Madam - Score entered is greater than Max. Marks allotted." showErrorMessage="1" sqref="I123">
      <formula1>0</formula1>
      <formula2>NaN</formula2>
    </dataValidation>
    <dataValidation type="decimal" allowBlank="1" showInputMessage="1" prompt="Dear Sir/ Madam - Score entered is greater than Max. Marks allotted." showErrorMessage="1" sqref="I124">
      <formula1>0</formula1>
      <formula2>NaN</formula2>
    </dataValidation>
    <dataValidation type="decimal" allowBlank="1" showInputMessage="1" prompt="Dear Sir/ Madam - Score entered is greater than Max. Marks allotted." showErrorMessage="1" sqref="I125">
      <formula1>0</formula1>
      <formula2>NaN</formula2>
    </dataValidation>
    <dataValidation type="decimal" allowBlank="1" showInputMessage="1" prompt="Dear Sir/ Madam - Score entered is greater than Max. Marks allotted." showErrorMessage="1" sqref="I126">
      <formula1>0</formula1>
      <formula2>NaN</formula2>
    </dataValidation>
    <dataValidation type="decimal" allowBlank="1" showInputMessage="1" prompt="Dear Sir/ Madam - Score entered is greater than Max. Marks allotted." showErrorMessage="1" sqref="I127">
      <formula1>0</formula1>
      <formula2>NaN</formula2>
    </dataValidation>
    <dataValidation type="decimal" allowBlank="1" showInputMessage="1" prompt="Dear Sir/ Madam - Score entered is greater than Max. Marks allotted." showErrorMessage="1" sqref="I128">
      <formula1>0</formula1>
      <formula2>NaN</formula2>
    </dataValidation>
    <dataValidation type="decimal" allowBlank="1" showInputMessage="1" prompt="Dear Sir/ Madam - Score entered is greater than Max. Marks allotted." showErrorMessage="1" sqref="I129">
      <formula1>0</formula1>
      <formula2>NaN</formula2>
    </dataValidation>
    <dataValidation type="decimal" allowBlank="1" showInputMessage="1" prompt="Dear Sir/ Madam - Score entered is greater than Max. Marks allotted." showErrorMessage="1" sqref="I130">
      <formula1>0</formula1>
      <formula2>NaN</formula2>
    </dataValidation>
    <dataValidation type="decimal" allowBlank="1" showInputMessage="1" prompt="Dear Sir/ Madam - Score entered is greater than Max. Marks allotted." showErrorMessage="1" sqref="I131">
      <formula1>0</formula1>
      <formula2>NaN</formula2>
    </dataValidation>
    <dataValidation type="decimal" allowBlank="1" showInputMessage="1" prompt="Dear Sir/ Madam - Score entered is greater than Max. Marks allotted." showErrorMessage="1" sqref="I132">
      <formula1>0</formula1>
      <formula2>NaN</formula2>
    </dataValidation>
    <dataValidation type="decimal" allowBlank="1" showInputMessage="1" prompt="Dear Sir/ Madam - Score entered is greater than Max. Marks allotted." showErrorMessage="1" sqref="I133">
      <formula1>0</formula1>
      <formula2>NaN</formula2>
    </dataValidation>
    <dataValidation type="decimal" allowBlank="1" showInputMessage="1" prompt="Dear Sir/ Madam - Score entered is greater than Max. Marks allotted." showErrorMessage="1" sqref="I134">
      <formula1>0</formula1>
      <formula2>NaN</formula2>
    </dataValidation>
    <dataValidation type="decimal" allowBlank="1" showInputMessage="1" prompt="Dear Sir/ Madam - Score entered is greater than Max. Marks allotted." showErrorMessage="1" sqref="I135">
      <formula1>0</formula1>
      <formula2>NaN</formula2>
    </dataValidation>
    <dataValidation type="decimal" allowBlank="1" showInputMessage="1" prompt="Dear Sir/ Madam - Score entered is greater than Max. Marks allotted." showErrorMessage="1" sqref="J108">
      <formula1>0</formula1>
      <formula2>NaN</formula2>
    </dataValidation>
    <dataValidation type="decimal" allowBlank="1" showInputMessage="1" prompt="Dear Sir/ Madam - Score entered is greater than Max. Marks allotted." showErrorMessage="1" sqref="J109">
      <formula1>0</formula1>
      <formula2>NaN</formula2>
    </dataValidation>
    <dataValidation type="decimal" allowBlank="1" showInputMessage="1" prompt="Dear Sir/ Madam - Score entered is greater than Max. Marks allotted." showErrorMessage="1" sqref="J110">
      <formula1>0</formula1>
      <formula2>NaN</formula2>
    </dataValidation>
    <dataValidation type="decimal" allowBlank="1" showInputMessage="1" prompt="Dear Sir/ Madam - Score entered is greater than Max. Marks allotted." showErrorMessage="1" sqref="J111">
      <formula1>0</formula1>
      <formula2>NaN</formula2>
    </dataValidation>
    <dataValidation type="decimal" allowBlank="1" showInputMessage="1" prompt="Dear Sir/ Madam - Score entered is greater than Max. Marks allotted." showErrorMessage="1" sqref="J112">
      <formula1>0</formula1>
      <formula2>NaN</formula2>
    </dataValidation>
    <dataValidation type="decimal" allowBlank="1" showInputMessage="1" prompt="Dear Sir/ Madam - Score entered is greater than Max. Marks allotted." showErrorMessage="1" sqref="J113">
      <formula1>0</formula1>
      <formula2>NaN</formula2>
    </dataValidation>
    <dataValidation type="decimal" allowBlank="1" showInputMessage="1" prompt="Dear Sir/ Madam - Score entered is greater than Max. Marks allotted." showErrorMessage="1" sqref="J114">
      <formula1>0</formula1>
      <formula2>NaN</formula2>
    </dataValidation>
    <dataValidation type="decimal" allowBlank="1" showInputMessage="1" prompt="Dear Sir/ Madam - Score entered is greater than Max. Marks allotted." showErrorMessage="1" sqref="J115">
      <formula1>0</formula1>
      <formula2>NaN</formula2>
    </dataValidation>
    <dataValidation type="decimal" allowBlank="1" showInputMessage="1" prompt="Dear Sir/ Madam - Score entered is greater than Max. Marks allotted." showErrorMessage="1" sqref="J116">
      <formula1>0</formula1>
      <formula2>NaN</formula2>
    </dataValidation>
    <dataValidation type="decimal" allowBlank="1" showInputMessage="1" prompt="Dear Sir/ Madam - Score entered is greater than Max. Marks allotted." showErrorMessage="1" sqref="J117">
      <formula1>0</formula1>
      <formula2>NaN</formula2>
    </dataValidation>
    <dataValidation type="decimal" allowBlank="1" showInputMessage="1" prompt="Dear Sir/ Madam - Score entered is greater than Max. Marks allotted." showErrorMessage="1" sqref="J118">
      <formula1>0</formula1>
      <formula2>NaN</formula2>
    </dataValidation>
    <dataValidation type="decimal" allowBlank="1" showInputMessage="1" prompt="Dear Sir/ Madam - Score entered is greater than Max. Marks allotted." showErrorMessage="1" sqref="J119">
      <formula1>0</formula1>
      <formula2>NaN</formula2>
    </dataValidation>
    <dataValidation type="decimal" allowBlank="1" showInputMessage="1" prompt="Dear Sir/ Madam - Score entered is greater than Max. Marks allotted." showErrorMessage="1" sqref="J120">
      <formula1>0</formula1>
      <formula2>NaN</formula2>
    </dataValidation>
    <dataValidation type="decimal" allowBlank="1" showInputMessage="1" prompt="Dear Sir/ Madam - Score entered is greater than Max. Marks allotted." showErrorMessage="1" sqref="J121">
      <formula1>0</formula1>
      <formula2>NaN</formula2>
    </dataValidation>
    <dataValidation type="decimal" allowBlank="1" showInputMessage="1" prompt="Dear Sir/ Madam - Score entered is greater than Max. Marks allotted." showErrorMessage="1" sqref="J122">
      <formula1>0</formula1>
      <formula2>NaN</formula2>
    </dataValidation>
    <dataValidation type="decimal" allowBlank="1" showInputMessage="1" prompt="Dear Sir/ Madam - Score entered is greater than Max. Marks allotted." showErrorMessage="1" sqref="J123">
      <formula1>0</formula1>
      <formula2>NaN</formula2>
    </dataValidation>
    <dataValidation type="decimal" allowBlank="1" showInputMessage="1" prompt="Dear Sir/ Madam - Score entered is greater than Max. Marks allotted." showErrorMessage="1" sqref="J124">
      <formula1>0</formula1>
      <formula2>NaN</formula2>
    </dataValidation>
    <dataValidation type="decimal" allowBlank="1" showInputMessage="1" prompt="Dear Sir/ Madam - Score entered is greater than Max. Marks allotted." showErrorMessage="1" sqref="J125">
      <formula1>0</formula1>
      <formula2>NaN</formula2>
    </dataValidation>
    <dataValidation type="decimal" allowBlank="1" showInputMessage="1" prompt="Dear Sir/ Madam - Score entered is greater than Max. Marks allotted." showErrorMessage="1" sqref="J126">
      <formula1>0</formula1>
      <formula2>NaN</formula2>
    </dataValidation>
    <dataValidation type="decimal" allowBlank="1" showInputMessage="1" prompt="Dear Sir/ Madam - Score entered is greater than Max. Marks allotted." showErrorMessage="1" sqref="J127">
      <formula1>0</formula1>
      <formula2>NaN</formula2>
    </dataValidation>
    <dataValidation type="decimal" allowBlank="1" showInputMessage="1" prompt="Dear Sir/ Madam - Score entered is greater than Max. Marks allotted." showErrorMessage="1" sqref="J128">
      <formula1>0</formula1>
      <formula2>NaN</formula2>
    </dataValidation>
    <dataValidation type="decimal" allowBlank="1" showInputMessage="1" prompt="Dear Sir/ Madam - Score entered is greater than Max. Marks allotted." showErrorMessage="1" sqref="J129">
      <formula1>0</formula1>
      <formula2>NaN</formula2>
    </dataValidation>
    <dataValidation type="decimal" allowBlank="1" showInputMessage="1" prompt="Dear Sir/ Madam - Score entered is greater than Max. Marks allotted." showErrorMessage="1" sqref="J130">
      <formula1>0</formula1>
      <formula2>NaN</formula2>
    </dataValidation>
    <dataValidation type="decimal" allowBlank="1" showInputMessage="1" prompt="Dear Sir/ Madam - Score entered is greater than Max. Marks allotted." showErrorMessage="1" sqref="J131">
      <formula1>0</formula1>
      <formula2>NaN</formula2>
    </dataValidation>
    <dataValidation type="decimal" allowBlank="1" showInputMessage="1" prompt="Dear Sir/ Madam - Score entered is greater than Max. Marks allotted." showErrorMessage="1" sqref="J132">
      <formula1>0</formula1>
      <formula2>NaN</formula2>
    </dataValidation>
    <dataValidation type="decimal" allowBlank="1" showInputMessage="1" prompt="Dear Sir/ Madam - Score entered is greater than Max. Marks allotted." showErrorMessage="1" sqref="J133">
      <formula1>0</formula1>
      <formula2>NaN</formula2>
    </dataValidation>
    <dataValidation type="decimal" allowBlank="1" showInputMessage="1" prompt="Dear Sir/ Madam - Score entered is greater than Max. Marks allotted." showErrorMessage="1" sqref="J134">
      <formula1>0</formula1>
      <formula2>NaN</formula2>
    </dataValidation>
    <dataValidation type="decimal" allowBlank="1" showInputMessage="1" prompt="Dear Sir/ Madam - Score entered is greater than Max. Marks allotted." showErrorMessage="1" sqref="J135">
      <formula1>0</formula1>
      <formula2>NaN</formula2>
    </dataValidation>
    <dataValidation type="decimal" allowBlank="1" showInputMessage="1" prompt="Dear Sir/ Madam - Score entered is greater than Max. Marks allotted." showErrorMessage="1" sqref="K100">
      <formula1>0</formula1>
      <formula2>NaN</formula2>
    </dataValidation>
    <dataValidation type="decimal" allowBlank="1" showInputMessage="1" prompt="Dear Sir/ Madam - Score entered is greater than Max. Marks allotted." showErrorMessage="1" sqref="K101">
      <formula1>0</formula1>
      <formula2>NaN</formula2>
    </dataValidation>
    <dataValidation type="decimal" allowBlank="1" showInputMessage="1" prompt="Dear Sir/ Madam - Score entered is greater than Max. Marks allotted." showErrorMessage="1" sqref="K102">
      <formula1>0</formula1>
      <formula2>NaN</formula2>
    </dataValidation>
    <dataValidation type="decimal" allowBlank="1" showInputMessage="1" prompt="Dear Sir/ Madam - Score entered is greater than Max. Marks allotted." showErrorMessage="1" sqref="K103">
      <formula1>0</formula1>
      <formula2>NaN</formula2>
    </dataValidation>
    <dataValidation type="decimal" allowBlank="1" showInputMessage="1" prompt="Dear Sir/ Madam - Score entered is greater than Max. Marks allotted." showErrorMessage="1" sqref="K104">
      <formula1>0</formula1>
      <formula2>NaN</formula2>
    </dataValidation>
    <dataValidation type="decimal" allowBlank="1" showInputMessage="1" prompt="Dear Sir/ Madam - Score entered is greater than Max. Marks allotted." showErrorMessage="1" sqref="K105">
      <formula1>0</formula1>
      <formula2>NaN</formula2>
    </dataValidation>
    <dataValidation type="decimal" allowBlank="1" showInputMessage="1" prompt="Dear Sir/ Madam - Score entered is greater than Max. Marks allotted." showErrorMessage="1" sqref="K106">
      <formula1>0</formula1>
      <formula2>NaN</formula2>
    </dataValidation>
    <dataValidation type="decimal" allowBlank="1" showInputMessage="1" prompt="Dear Sir/ Madam - Score entered is greater than Max. Marks allotted." showErrorMessage="1" sqref="K107">
      <formula1>0</formula1>
      <formula2>NaN</formula2>
    </dataValidation>
    <dataValidation type="decimal" allowBlank="1" showInputMessage="1" prompt="Dear Sir/ Madam - Score entered is greater than Max. Marks allotted." showErrorMessage="1" sqref="K108">
      <formula1>0</formula1>
      <formula2>NaN</formula2>
    </dataValidation>
    <dataValidation type="decimal" allowBlank="1" showInputMessage="1" prompt="Dear Sir/ Madam - Score entered is greater than Max. Marks allotted." showErrorMessage="1" sqref="K109">
      <formula1>0</formula1>
      <formula2>NaN</formula2>
    </dataValidation>
    <dataValidation type="decimal" allowBlank="1" showInputMessage="1" prompt="Dear Sir/ Madam - Score entered is greater than Max. Marks allotted." showErrorMessage="1" sqref="K110">
      <formula1>0</formula1>
      <formula2>NaN</formula2>
    </dataValidation>
    <dataValidation type="decimal" allowBlank="1" showInputMessage="1" prompt="Dear Sir/ Madam - Score entered is greater than Max. Marks allotted." showErrorMessage="1" sqref="K111">
      <formula1>0</formula1>
      <formula2>NaN</formula2>
    </dataValidation>
    <dataValidation type="decimal" allowBlank="1" showInputMessage="1" prompt="Dear Sir/ Madam - Score entered is greater than Max. Marks allotted." showErrorMessage="1" sqref="K112">
      <formula1>0</formula1>
      <formula2>NaN</formula2>
    </dataValidation>
    <dataValidation type="decimal" allowBlank="1" showInputMessage="1" prompt="Dear Sir/ Madam - Score entered is greater than Max. Marks allotted." showErrorMessage="1" sqref="K113">
      <formula1>0</formula1>
      <formula2>NaN</formula2>
    </dataValidation>
    <dataValidation type="decimal" allowBlank="1" showInputMessage="1" prompt="Dear Sir/ Madam - Score entered is greater than Max. Marks allotted." showErrorMessage="1" sqref="K114">
      <formula1>0</formula1>
      <formula2>NaN</formula2>
    </dataValidation>
    <dataValidation type="decimal" allowBlank="1" showInputMessage="1" prompt="Dear Sir/ Madam - Score entered is greater than Max. Marks allotted." showErrorMessage="1" sqref="K115">
      <formula1>0</formula1>
      <formula2>NaN</formula2>
    </dataValidation>
    <dataValidation type="decimal" allowBlank="1" showInputMessage="1" prompt="Dear Sir/ Madam - Score entered is greater than Max. Marks allotted." showErrorMessage="1" sqref="K116">
      <formula1>0</formula1>
      <formula2>NaN</formula2>
    </dataValidation>
    <dataValidation type="decimal" allowBlank="1" showInputMessage="1" prompt="Dear Sir/ Madam - Score entered is greater than Max. Marks allotted." showErrorMessage="1" sqref="K117">
      <formula1>0</formula1>
      <formula2>NaN</formula2>
    </dataValidation>
    <dataValidation type="decimal" allowBlank="1" showInputMessage="1" prompt="Dear Sir/ Madam - Score entered is greater than Max. Marks allotted." showErrorMessage="1" sqref="K118">
      <formula1>0</formula1>
      <formula2>NaN</formula2>
    </dataValidation>
    <dataValidation type="decimal" allowBlank="1" showInputMessage="1" prompt="Dear Sir/ Madam - Score entered is greater than Max. Marks allotted." showErrorMessage="1" sqref="K119">
      <formula1>0</formula1>
      <formula2>NaN</formula2>
    </dataValidation>
    <dataValidation type="decimal" allowBlank="1" showInputMessage="1" prompt="Dear Sir/ Madam - Score entered is greater than Max. Marks allotted." showErrorMessage="1" sqref="K120">
      <formula1>0</formula1>
      <formula2>NaN</formula2>
    </dataValidation>
    <dataValidation type="decimal" allowBlank="1" showInputMessage="1" prompt="Dear Sir/ Madam - Score entered is greater than Max. Marks allotted." showErrorMessage="1" sqref="K121">
      <formula1>0</formula1>
      <formula2>NaN</formula2>
    </dataValidation>
    <dataValidation type="decimal" allowBlank="1" showInputMessage="1" prompt="Dear Sir/ Madam - Score entered is greater than Max. Marks allotted." showErrorMessage="1" sqref="K122">
      <formula1>0</formula1>
      <formula2>NaN</formula2>
    </dataValidation>
    <dataValidation type="decimal" allowBlank="1" showInputMessage="1" prompt="Dear Sir/ Madam - Score entered is greater than Max. Marks allotted." showErrorMessage="1" sqref="K123">
      <formula1>0</formula1>
      <formula2>NaN</formula2>
    </dataValidation>
    <dataValidation type="decimal" allowBlank="1" showInputMessage="1" prompt="Dear Sir/ Madam - Score entered is greater than Max. Marks allotted." showErrorMessage="1" sqref="K124">
      <formula1>0</formula1>
      <formula2>NaN</formula2>
    </dataValidation>
    <dataValidation type="decimal" allowBlank="1" showInputMessage="1" prompt="Dear Sir/ Madam - Score entered is greater than Max. Marks allotted." showErrorMessage="1" sqref="K125">
      <formula1>0</formula1>
      <formula2>NaN</formula2>
    </dataValidation>
    <dataValidation type="decimal" allowBlank="1" showInputMessage="1" prompt="Dear Sir/ Madam - Score entered is greater than Max. Marks allotted." showErrorMessage="1" sqref="K126">
      <formula1>0</formula1>
      <formula2>NaN</formula2>
    </dataValidation>
    <dataValidation type="decimal" allowBlank="1" showInputMessage="1" prompt="Dear Sir/ Madam - Score entered is greater than Max. Marks allotted." showErrorMessage="1" sqref="K127">
      <formula1>0</formula1>
      <formula2>NaN</formula2>
    </dataValidation>
    <dataValidation type="decimal" allowBlank="1" showInputMessage="1" prompt="Dear Sir/ Madam - Score entered is greater than Max. Marks allotted." showErrorMessage="1" sqref="K128">
      <formula1>0</formula1>
      <formula2>NaN</formula2>
    </dataValidation>
    <dataValidation type="decimal" allowBlank="1" showInputMessage="1" prompt="Dear Sir/ Madam - Score entered is greater than Max. Marks allotted." showErrorMessage="1" sqref="K129">
      <formula1>0</formula1>
      <formula2>NaN</formula2>
    </dataValidation>
    <dataValidation type="decimal" allowBlank="1" showInputMessage="1" prompt="Dear Sir/ Madam - Score entered is greater than Max. Marks allotted." showErrorMessage="1" sqref="K130">
      <formula1>0</formula1>
      <formula2>NaN</formula2>
    </dataValidation>
    <dataValidation type="decimal" allowBlank="1" showInputMessage="1" prompt="Dear Sir/ Madam - Score entered is greater than Max. Marks allotted." showErrorMessage="1" sqref="K131">
      <formula1>0</formula1>
      <formula2>NaN</formula2>
    </dataValidation>
    <dataValidation type="decimal" allowBlank="1" showInputMessage="1" prompt="Dear Sir/ Madam - Score entered is greater than Max. Marks allotted." showErrorMessage="1" sqref="K132">
      <formula1>0</formula1>
      <formula2>NaN</formula2>
    </dataValidation>
    <dataValidation type="decimal" allowBlank="1" showInputMessage="1" prompt="Dear Sir/ Madam - Score entered is greater than Max. Marks allotted." showErrorMessage="1" sqref="K133">
      <formula1>0</formula1>
      <formula2>NaN</formula2>
    </dataValidation>
    <dataValidation type="decimal" allowBlank="1" showInputMessage="1" prompt="Dear Sir/ Madam - Score entered is greater than Max. Marks allotted." showErrorMessage="1" sqref="K134">
      <formula1>0</formula1>
      <formula2>NaN</formula2>
    </dataValidation>
    <dataValidation type="decimal" allowBlank="1" showInputMessage="1" prompt="Dear Sir/ Madam - Score entered is greater than Max. Marks allotted." showErrorMessage="1" sqref="K135">
      <formula1>0</formula1>
      <formula2>NaN</formula2>
    </dataValidation>
    <dataValidation type="decimal" allowBlank="1" showInputMessage="1" prompt="Dear Sir/ Madam - Score entered is greater than Max. Marks allotted." showErrorMessage="1" sqref="K24">
      <formula1>0</formula1>
      <formula2>NaN</formula2>
    </dataValidation>
    <dataValidation type="decimal" allowBlank="1" showInputMessage="1" prompt="Dear Sir/ Madam - Score entered is greater than Max. Marks allotted." showErrorMessage="1" sqref="K25">
      <formula1>0</formula1>
      <formula2>NaN</formula2>
    </dataValidation>
    <dataValidation type="decimal" allowBlank="1" showInputMessage="1" prompt="Dear Sir/ Madam - Score entered is greater than Max. Marks allotted." showErrorMessage="1" sqref="K26">
      <formula1>0</formula1>
      <formula2>NaN</formula2>
    </dataValidation>
    <dataValidation type="decimal" allowBlank="1" showInputMessage="1" prompt="Dear Sir/ Madam - Score entered is greater than Max. Marks allotted." showErrorMessage="1" sqref="K27">
      <formula1>0</formula1>
      <formula2>NaN</formula2>
    </dataValidation>
    <dataValidation type="decimal" allowBlank="1" showInputMessage="1" prompt="Dear Sir/ Madam - Score entered is greater than Max. Marks allotted." showErrorMessage="1" sqref="K28">
      <formula1>0</formula1>
      <formula2>NaN</formula2>
    </dataValidation>
    <dataValidation type="decimal" allowBlank="1" showInputMessage="1" prompt="Dear Sir/ Madam - Score entered is greater than Max. Marks allotted." showErrorMessage="1" sqref="K29">
      <formula1>0</formula1>
      <formula2>NaN</formula2>
    </dataValidation>
    <dataValidation type="decimal" allowBlank="1" showInputMessage="1" prompt="Dear Sir/ Madam - Score entered is greater than Max. Marks allotted." showErrorMessage="1" sqref="K30">
      <formula1>0</formula1>
      <formula2>NaN</formula2>
    </dataValidation>
    <dataValidation type="decimal" allowBlank="1" showInputMessage="1" prompt="Dear Sir/ Madam - Score entered is greater than Max. Marks allotted." showErrorMessage="1" sqref="K31">
      <formula1>0</formula1>
      <formula2>NaN</formula2>
    </dataValidation>
    <dataValidation type="decimal" allowBlank="1" showInputMessage="1" prompt="Dear Sir/ Madam - Score entered is greater than Max. Marks allotted." showErrorMessage="1" sqref="K32">
      <formula1>0</formula1>
      <formula2>NaN</formula2>
    </dataValidation>
    <dataValidation type="decimal" allowBlank="1" showInputMessage="1" prompt="Dear Sir/ Madam - Score entered is greater than Max. Marks allotted." showErrorMessage="1" sqref="K33">
      <formula1>0</formula1>
      <formula2>NaN</formula2>
    </dataValidation>
    <dataValidation type="decimal" allowBlank="1" showInputMessage="1" prompt="Dear Sir/ Madam - Score entered is greater than Max. Marks allotted." showErrorMessage="1" sqref="K34">
      <formula1>0</formula1>
      <formula2>NaN</formula2>
    </dataValidation>
    <dataValidation type="decimal" allowBlank="1" showInputMessage="1" prompt="Dear Sir/ Madam - Score entered is greater than Max. Marks allotted." showErrorMessage="1" sqref="K35">
      <formula1>0</formula1>
      <formula2>NaN</formula2>
    </dataValidation>
    <dataValidation type="decimal" allowBlank="1" showInputMessage="1" prompt="Dear Sir/ Madam - Score entered is greater than Max. Marks allotted." showErrorMessage="1" sqref="K36">
      <formula1>0</formula1>
      <formula2>NaN</formula2>
    </dataValidation>
    <dataValidation type="decimal" allowBlank="1" showInputMessage="1" prompt="Dear Sir/ Madam - Score entered is greater than Max. Marks allotted." showErrorMessage="1" sqref="K37">
      <formula1>0</formula1>
      <formula2>NaN</formula2>
    </dataValidation>
    <dataValidation type="decimal" allowBlank="1" showInputMessage="1" prompt="Dear Sir/ Madam - Score entered is greater than Max. Marks allotted." showErrorMessage="1" sqref="K38">
      <formula1>0</formula1>
      <formula2>NaN</formula2>
    </dataValidation>
    <dataValidation type="decimal" allowBlank="1" showInputMessage="1" prompt="Dear Sir/ Madam - Score entered is greater than Max. Marks allotted." showErrorMessage="1" sqref="K39">
      <formula1>0</formula1>
      <formula2>NaN</formula2>
    </dataValidation>
    <dataValidation type="decimal" allowBlank="1" showInputMessage="1" prompt="Dear Sir/ Madam - Score entered is greater than Max. Marks allotted." showErrorMessage="1" sqref="K40">
      <formula1>0</formula1>
      <formula2>NaN</formula2>
    </dataValidation>
    <dataValidation type="decimal" allowBlank="1" showInputMessage="1" prompt="Dear Sir/ Madam - Score entered is greater than Max. Marks allotted." showErrorMessage="1" sqref="K41">
      <formula1>0</formula1>
      <formula2>NaN</formula2>
    </dataValidation>
    <dataValidation type="decimal" allowBlank="1" showInputMessage="1" prompt="Dear Sir/ Madam - Score entered is greater than Max. Marks allotted." showErrorMessage="1" sqref="K42">
      <formula1>0</formula1>
      <formula2>NaN</formula2>
    </dataValidation>
    <dataValidation type="decimal" allowBlank="1" showInputMessage="1" prompt="Dear Sir/ Madam - Score entered is greater than Max. Marks allotted." showErrorMessage="1" sqref="K43">
      <formula1>0</formula1>
      <formula2>NaN</formula2>
    </dataValidation>
    <dataValidation type="decimal" allowBlank="1" showInputMessage="1" prompt="Dear Sir/ Madam - Score entered is greater than Max. Marks allotted." showErrorMessage="1" sqref="K44">
      <formula1>0</formula1>
      <formula2>NaN</formula2>
    </dataValidation>
    <dataValidation type="decimal" allowBlank="1" showInputMessage="1" prompt="Dear Sir/ Madam - Score entered is greater than Max. Marks allotted." showErrorMessage="1" sqref="K45">
      <formula1>0</formula1>
      <formula2>NaN</formula2>
    </dataValidation>
    <dataValidation type="decimal" allowBlank="1" showInputMessage="1" prompt="Dear Sir/ Madam - Score entered is greater than Max. Marks allotted." showErrorMessage="1" sqref="K46">
      <formula1>0</formula1>
      <formula2>NaN</formula2>
    </dataValidation>
    <dataValidation type="decimal" allowBlank="1" showInputMessage="1" prompt="Dear Sir/ Madam - Score entered is greater than Max. Marks allotted." showErrorMessage="1" sqref="K47">
      <formula1>0</formula1>
      <formula2>NaN</formula2>
    </dataValidation>
    <dataValidation type="decimal" allowBlank="1" showInputMessage="1" prompt="Dear Sir/ Madam - Score entered is greater than Max. Marks allotted." showErrorMessage="1" sqref="K48">
      <formula1>0</formula1>
      <formula2>NaN</formula2>
    </dataValidation>
    <dataValidation type="decimal" allowBlank="1" showInputMessage="1" prompt="Dear Sir/ Madam - Score entered is greater than Max. Marks allotted." showErrorMessage="1" sqref="K49">
      <formula1>0</formula1>
      <formula2>NaN</formula2>
    </dataValidation>
    <dataValidation type="decimal" allowBlank="1" showInputMessage="1" prompt="Dear Sir/ Madam - Score entered is greater than Max. Marks allotted." showErrorMessage="1" sqref="K50">
      <formula1>0</formula1>
      <formula2>NaN</formula2>
    </dataValidation>
    <dataValidation type="decimal" allowBlank="1" showInputMessage="1" prompt="Dear Sir/ Madam - Score entered is greater than Max. Marks allotted." showErrorMessage="1" sqref="K51">
      <formula1>0</formula1>
      <formula2>NaN</formula2>
    </dataValidation>
    <dataValidation type="decimal" allowBlank="1" showInputMessage="1" prompt="Dear Sir/ Madam - Score entered is greater than Max. Marks allotted." showErrorMessage="1" sqref="K52">
      <formula1>0</formula1>
      <formula2>NaN</formula2>
    </dataValidation>
    <dataValidation type="decimal" allowBlank="1" showInputMessage="1" prompt="Dear Sir/ Madam - Score entered is greater than Max. Marks allotted." showErrorMessage="1" sqref="K53">
      <formula1>0</formula1>
      <formula2>NaN</formula2>
    </dataValidation>
    <dataValidation type="decimal" allowBlank="1" showInputMessage="1" prompt="Dear Sir/ Madam - Score entered is greater than Max. Marks allotted." showErrorMessage="1" sqref="K54">
      <formula1>0</formula1>
      <formula2>NaN</formula2>
    </dataValidation>
    <dataValidation type="decimal" allowBlank="1" showInputMessage="1" prompt="Dear Sir/ Madam - Score entered is greater than Max. Marks allotted." showErrorMessage="1" sqref="K55">
      <formula1>0</formula1>
      <formula2>NaN</formula2>
    </dataValidation>
    <dataValidation type="decimal" allowBlank="1" showInputMessage="1" prompt="Dear Sir/ Madam - Score entered is greater than Max. Marks allotted." showErrorMessage="1" sqref="K56">
      <formula1>0</formula1>
      <formula2>NaN</formula2>
    </dataValidation>
    <dataValidation type="decimal" allowBlank="1" showInputMessage="1" prompt="Dear Sir/ Madam - Score entered is greater than Max. Marks allotted." showErrorMessage="1" sqref="K57">
      <formula1>0</formula1>
      <formula2>NaN</formula2>
    </dataValidation>
    <dataValidation type="decimal" allowBlank="1" showInputMessage="1" prompt="Dear Sir/ Madam - Score entered is greater than Max. Marks allotted." showErrorMessage="1" sqref="K58">
      <formula1>0</formula1>
      <formula2>NaN</formula2>
    </dataValidation>
    <dataValidation type="decimal" allowBlank="1" showInputMessage="1" prompt="Dear Sir/ Madam - Score entered is greater than Max. Marks allotted." showErrorMessage="1" sqref="K59">
      <formula1>0</formula1>
      <formula2>NaN</formula2>
    </dataValidation>
    <dataValidation type="decimal" allowBlank="1" showInputMessage="1" prompt="Dear Sir/ Madam - Score entered is greater than Max. Marks allotted." showErrorMessage="1" sqref="K60">
      <formula1>0</formula1>
      <formula2>NaN</formula2>
    </dataValidation>
    <dataValidation type="decimal" allowBlank="1" showInputMessage="1" prompt="Dear Sir/ Madam - Score entered is greater than Max. Marks allotted." showErrorMessage="1" sqref="K61">
      <formula1>0</formula1>
      <formula2>NaN</formula2>
    </dataValidation>
    <dataValidation type="decimal" allowBlank="1" showInputMessage="1" prompt="Dear Sir/ Madam - Score entered is greater than Max. Marks allotted." showErrorMessage="1" sqref="K62">
      <formula1>0</formula1>
      <formula2>NaN</formula2>
    </dataValidation>
    <dataValidation type="decimal" allowBlank="1" showInputMessage="1" prompt="Dear Sir/ Madam - Score entered is greater than Max. Marks allotted." showErrorMessage="1" sqref="K63">
      <formula1>0</formula1>
      <formula2>NaN</formula2>
    </dataValidation>
    <dataValidation type="decimal" allowBlank="1" showInputMessage="1" prompt="Dear Sir/ Madam - Score entered is greater than Max. Marks allotted." showErrorMessage="1" sqref="K64">
      <formula1>0</formula1>
      <formula2>NaN</formula2>
    </dataValidation>
    <dataValidation type="decimal" allowBlank="1" showInputMessage="1" prompt="Dear Sir/ Madam - Score entered is greater than Max. Marks allotted." showErrorMessage="1" sqref="K65">
      <formula1>0</formula1>
      <formula2>NaN</formula2>
    </dataValidation>
    <dataValidation type="decimal" allowBlank="1" showInputMessage="1" prompt="Dear Sir/ Madam - Score entered is greater than Max. Marks allotted." showErrorMessage="1" sqref="K66">
      <formula1>0</formula1>
      <formula2>NaN</formula2>
    </dataValidation>
    <dataValidation type="decimal" allowBlank="1" showInputMessage="1" prompt="Dear Sir/ Madam - Score entered is greater than Max. Marks allotted." showErrorMessage="1" sqref="K67">
      <formula1>0</formula1>
      <formula2>NaN</formula2>
    </dataValidation>
    <dataValidation type="decimal" allowBlank="1" showInputMessage="1" prompt="Dear Sir/ Madam - Score entered is greater than Max. Marks allotted." showErrorMessage="1" sqref="K68">
      <formula1>0</formula1>
      <formula2>NaN</formula2>
    </dataValidation>
    <dataValidation type="decimal" allowBlank="1" showInputMessage="1" prompt="Dear Sir/ Madam - Score entered is greater than Max. Marks allotted." showErrorMessage="1" sqref="K69">
      <formula1>0</formula1>
      <formula2>NaN</formula2>
    </dataValidation>
    <dataValidation type="decimal" allowBlank="1" showInputMessage="1" prompt="Dear Sir/ Madam - Score entered is greater than Max. Marks allotted." showErrorMessage="1" sqref="K74">
      <formula1>0</formula1>
      <formula2>NaN</formula2>
    </dataValidation>
    <dataValidation type="decimal" allowBlank="1" showInputMessage="1" prompt="Dear Sir/ Madam - Score entered is greater than Max. Marks allotted." showErrorMessage="1" sqref="K75">
      <formula1>0</formula1>
      <formula2>NaN</formula2>
    </dataValidation>
    <dataValidation type="decimal" allowBlank="1" showInputMessage="1" prompt="Dear Sir/ Madam - Score entered is greater than Max. Marks allotted." showErrorMessage="1" sqref="K76">
      <formula1>0</formula1>
      <formula2>NaN</formula2>
    </dataValidation>
    <dataValidation type="decimal" allowBlank="1" showInputMessage="1" prompt="Dear Sir/ Madam - Score entered is greater than Max. Marks allotted." showErrorMessage="1" sqref="K77">
      <formula1>0</formula1>
      <formula2>NaN</formula2>
    </dataValidation>
    <dataValidation type="decimal" allowBlank="1" showInputMessage="1" prompt="Dear Sir/ Madam - Score entered is greater than Max. Marks allotted." showErrorMessage="1" sqref="K78">
      <formula1>0</formula1>
      <formula2>NaN</formula2>
    </dataValidation>
    <dataValidation type="decimal" allowBlank="1" showInputMessage="1" prompt="Dear Sir/ Madam - Score entered is greater than Max. Marks allotted." showErrorMessage="1" sqref="K79">
      <formula1>0</formula1>
      <formula2>NaN</formula2>
    </dataValidation>
    <dataValidation type="decimal" allowBlank="1" showInputMessage="1" prompt="Dear Sir/ Madam - Score entered is greater than Max. Marks allotted." showErrorMessage="1" sqref="K80">
      <formula1>0</formula1>
      <formula2>NaN</formula2>
    </dataValidation>
    <dataValidation type="decimal" allowBlank="1" showInputMessage="1" prompt="Dear Sir/ Madam - Score entered is greater than Max. Marks allotted." showErrorMessage="1" sqref="K81">
      <formula1>0</formula1>
      <formula2>NaN</formula2>
    </dataValidation>
    <dataValidation type="decimal" allowBlank="1" showInputMessage="1" prompt="Dear Sir/ Madam - Score entered is greater than Max. Marks allotted." showErrorMessage="1" sqref="K82">
      <formula1>0</formula1>
      <formula2>NaN</formula2>
    </dataValidation>
    <dataValidation type="decimal" allowBlank="1" showInputMessage="1" prompt="Dear Sir/ Madam - Score entered is greater than Max. Marks allotted." showErrorMessage="1" sqref="K83">
      <formula1>0</formula1>
      <formula2>NaN</formula2>
    </dataValidation>
    <dataValidation type="decimal" allowBlank="1" showInputMessage="1" prompt="Dear Sir/ Madam - Score entered is greater than Max. Marks allotted." showErrorMessage="1" sqref="K84">
      <formula1>0</formula1>
      <formula2>NaN</formula2>
    </dataValidation>
    <dataValidation type="decimal" allowBlank="1" showInputMessage="1" prompt="Dear Sir/ Madam - Score entered is greater than Max. Marks allotted." showErrorMessage="1" sqref="K85">
      <formula1>0</formula1>
      <formula2>NaN</formula2>
    </dataValidation>
    <dataValidation type="decimal" allowBlank="1" showInputMessage="1" prompt="Dear Sir/ Madam - Score entered is greater than Max. Marks allotted." showErrorMessage="1" sqref="K86">
      <formula1>0</formula1>
      <formula2>NaN</formula2>
    </dataValidation>
    <dataValidation type="decimal" allowBlank="1" showInputMessage="1" prompt="Dear Sir/ Madam - Score entered is greater than Max. Marks allotted." showErrorMessage="1" sqref="K87">
      <formula1>0</formula1>
      <formula2>NaN</formula2>
    </dataValidation>
    <dataValidation type="decimal" allowBlank="1" showInputMessage="1" prompt="Dear Sir/ Madam - Score entered is greater than Max. Marks allotted." showErrorMessage="1" sqref="K88">
      <formula1>0</formula1>
      <formula2>NaN</formula2>
    </dataValidation>
    <dataValidation type="decimal" allowBlank="1" showInputMessage="1" prompt="Dear Sir/ Madam - Score entered is greater than Max. Marks allotted." showErrorMessage="1" sqref="K89">
      <formula1>0</formula1>
      <formula2>NaN</formula2>
    </dataValidation>
    <dataValidation type="decimal" allowBlank="1" showInputMessage="1" prompt="Dear Sir/ Madam - Score entered is greater than Max. Marks allotted." showErrorMessage="1" sqref="K90">
      <formula1>0</formula1>
      <formula2>NaN</formula2>
    </dataValidation>
    <dataValidation type="decimal" allowBlank="1" showInputMessage="1" prompt="Dear Sir/ Madam - Score entered is greater than Max. Marks allotted." showErrorMessage="1" sqref="K91">
      <formula1>0</formula1>
      <formula2>NaN</formula2>
    </dataValidation>
    <dataValidation type="decimal" allowBlank="1" showInputMessage="1" prompt="Dear Sir/ Madam - Score entered is greater than Max. Marks allotted." showErrorMessage="1" sqref="K92">
      <formula1>0</formula1>
      <formula2>NaN</formula2>
    </dataValidation>
    <dataValidation type="decimal" allowBlank="1" showInputMessage="1" prompt="Dear Sir/ Madam - Score entered is greater than Max. Marks allotted." showErrorMessage="1" sqref="K93">
      <formula1>0</formula1>
      <formula2>NaN</formula2>
    </dataValidation>
    <dataValidation type="decimal" allowBlank="1" showInputMessage="1" prompt="Dear Sir/ Madam - Score entered is greater than Max. Marks allotted." showErrorMessage="1" sqref="K94">
      <formula1>0</formula1>
      <formula2>NaN</formula2>
    </dataValidation>
    <dataValidation type="decimal" allowBlank="1" showInputMessage="1" prompt="Dear Sir/ Madam - Score entered is greater than Max. Marks allotted." showErrorMessage="1" sqref="K95">
      <formula1>0</formula1>
      <formula2>NaN</formula2>
    </dataValidation>
    <dataValidation type="decimal" allowBlank="1" showInputMessage="1" prompt="Dear Sir/ Madam - Score entered is greater than Max. Marks allotted." showErrorMessage="1" sqref="K96">
      <formula1>0</formula1>
      <formula2>NaN</formula2>
    </dataValidation>
    <dataValidation type="decimal" allowBlank="1" showInputMessage="1" prompt="Dear Sir/ Madam - Score entered is greater than Max. Marks allotted." showErrorMessage="1" sqref="K97">
      <formula1>0</formula1>
      <formula2>NaN</formula2>
    </dataValidation>
    <dataValidation type="decimal" allowBlank="1" showInputMessage="1" prompt="Dear Sir/ Madam - Score entered is greater than Max. Marks allotted." showErrorMessage="1" sqref="K98">
      <formula1>0</formula1>
      <formula2>NaN</formula2>
    </dataValidation>
    <dataValidation type="decimal" allowBlank="1" showInputMessage="1" prompt="Dear Sir/ Madam - Score entered is greater than Max. Marks allotted." showErrorMessage="1" sqref="K99">
      <formula1>0</formula1>
      <formula2>NaN</formula2>
    </dataValidation>
    <dataValidation type="decimal" allowBlank="1" showInputMessage="1" prompt="Dear Sir/ Madam - Score entered is greater than Max. Marks allotted." showErrorMessage="1" sqref="L108">
      <formula1>0</formula1>
      <formula2>NaN</formula2>
    </dataValidation>
    <dataValidation type="decimal" allowBlank="1" showInputMessage="1" prompt="Dear Sir/ Madam - Score entered is greater than Max. Marks allotted." showErrorMessage="1" sqref="L109">
      <formula1>0</formula1>
      <formula2>NaN</formula2>
    </dataValidation>
    <dataValidation type="decimal" allowBlank="1" showInputMessage="1" prompt="Dear Sir/ Madam - Score entered is greater than Max. Marks allotted." showErrorMessage="1" sqref="L110">
      <formula1>0</formula1>
      <formula2>NaN</formula2>
    </dataValidation>
    <dataValidation type="decimal" allowBlank="1" showInputMessage="1" prompt="Dear Sir/ Madam - Score entered is greater than Max. Marks allotted." showErrorMessage="1" sqref="L111">
      <formula1>0</formula1>
      <formula2>NaN</formula2>
    </dataValidation>
    <dataValidation type="decimal" allowBlank="1" showInputMessage="1" prompt="Dear Sir/ Madam - Score entered is greater than Max. Marks allotted." showErrorMessage="1" sqref="L112">
      <formula1>0</formula1>
      <formula2>NaN</formula2>
    </dataValidation>
    <dataValidation type="decimal" allowBlank="1" showInputMessage="1" prompt="Dear Sir/ Madam - Score entered is greater than Max. Marks allotted." showErrorMessage="1" sqref="L113">
      <formula1>0</formula1>
      <formula2>NaN</formula2>
    </dataValidation>
    <dataValidation type="decimal" allowBlank="1" showInputMessage="1" prompt="Dear Sir/ Madam - Score entered is greater than Max. Marks allotted." showErrorMessage="1" sqref="L114">
      <formula1>0</formula1>
      <formula2>NaN</formula2>
    </dataValidation>
    <dataValidation type="decimal" allowBlank="1" showInputMessage="1" prompt="Dear Sir/ Madam - Score entered is greater than Max. Marks allotted." showErrorMessage="1" sqref="L115">
      <formula1>0</formula1>
      <formula2>NaN</formula2>
    </dataValidation>
    <dataValidation type="decimal" allowBlank="1" showInputMessage="1" prompt="Dear Sir/ Madam - Score entered is greater than Max. Marks allotted." showErrorMessage="1" sqref="L116">
      <formula1>0</formula1>
      <formula2>NaN</formula2>
    </dataValidation>
    <dataValidation type="decimal" allowBlank="1" showInputMessage="1" prompt="Dear Sir/ Madam - Score entered is greater than Max. Marks allotted." showErrorMessage="1" sqref="L117">
      <formula1>0</formula1>
      <formula2>NaN</formula2>
    </dataValidation>
    <dataValidation type="decimal" allowBlank="1" showInputMessage="1" prompt="Dear Sir/ Madam - Score entered is greater than Max. Marks allotted." showErrorMessage="1" sqref="L118">
      <formula1>0</formula1>
      <formula2>NaN</formula2>
    </dataValidation>
    <dataValidation type="decimal" allowBlank="1" showInputMessage="1" prompt="Dear Sir/ Madam - Score entered is greater than Max. Marks allotted." showErrorMessage="1" sqref="L119">
      <formula1>0</formula1>
      <formula2>NaN</formula2>
    </dataValidation>
    <dataValidation type="decimal" allowBlank="1" showInputMessage="1" prompt="Dear Sir/ Madam - Score entered is greater than Max. Marks allotted." showErrorMessage="1" sqref="L120">
      <formula1>0</formula1>
      <formula2>NaN</formula2>
    </dataValidation>
    <dataValidation type="decimal" allowBlank="1" showInputMessage="1" prompt="Dear Sir/ Madam - Score entered is greater than Max. Marks allotted." showErrorMessage="1" sqref="L121">
      <formula1>0</formula1>
      <formula2>NaN</formula2>
    </dataValidation>
    <dataValidation type="decimal" allowBlank="1" showInputMessage="1" prompt="Dear Sir/ Madam - Score entered is greater than Max. Marks allotted." showErrorMessage="1" sqref="L122">
      <formula1>0</formula1>
      <formula2>NaN</formula2>
    </dataValidation>
    <dataValidation type="decimal" allowBlank="1" showInputMessage="1" prompt="Dear Sir/ Madam - Score entered is greater than Max. Marks allotted." showErrorMessage="1" sqref="L123">
      <formula1>0</formula1>
      <formula2>NaN</formula2>
    </dataValidation>
    <dataValidation type="decimal" allowBlank="1" showInputMessage="1" prompt="Dear Sir/ Madam - Score entered is greater than Max. Marks allotted." showErrorMessage="1" sqref="L124">
      <formula1>0</formula1>
      <formula2>NaN</formula2>
    </dataValidation>
    <dataValidation type="decimal" allowBlank="1" showInputMessage="1" prompt="Dear Sir/ Madam - Score entered is greater than Max. Marks allotted." showErrorMessage="1" sqref="L125">
      <formula1>0</formula1>
      <formula2>NaN</formula2>
    </dataValidation>
    <dataValidation type="decimal" allowBlank="1" showInputMessage="1" prompt="Dear Sir/ Madam - Score entered is greater than Max. Marks allotted." showErrorMessage="1" sqref="L126">
      <formula1>0</formula1>
      <formula2>NaN</formula2>
    </dataValidation>
    <dataValidation type="decimal" allowBlank="1" showInputMessage="1" prompt="Dear Sir/ Madam - Score entered is greater than Max. Marks allotted." showErrorMessage="1" sqref="L127">
      <formula1>0</formula1>
      <formula2>NaN</formula2>
    </dataValidation>
    <dataValidation type="decimal" allowBlank="1" showInputMessage="1" prompt="Dear Sir/ Madam - Score entered is greater than Max. Marks allotted." showErrorMessage="1" sqref="L128">
      <formula1>0</formula1>
      <formula2>NaN</formula2>
    </dataValidation>
    <dataValidation type="decimal" allowBlank="1" showInputMessage="1" prompt="Dear Sir/ Madam - Score entered is greater than Max. Marks allotted." showErrorMessage="1" sqref="L129">
      <formula1>0</formula1>
      <formula2>NaN</formula2>
    </dataValidation>
    <dataValidation type="decimal" allowBlank="1" showInputMessage="1" prompt="Dear Sir/ Madam - Score entered is greater than Max. Marks allotted." showErrorMessage="1" sqref="L130">
      <formula1>0</formula1>
      <formula2>NaN</formula2>
    </dataValidation>
    <dataValidation type="decimal" allowBlank="1" showInputMessage="1" prompt="Dear Sir/ Madam - Score entered is greater than Max. Marks allotted." showErrorMessage="1" sqref="L131">
      <formula1>0</formula1>
      <formula2>NaN</formula2>
    </dataValidation>
    <dataValidation type="decimal" allowBlank="1" showInputMessage="1" prompt="Dear Sir/ Madam - Score entered is greater than Max. Marks allotted." showErrorMessage="1" sqref="L132">
      <formula1>0</formula1>
      <formula2>NaN</formula2>
    </dataValidation>
    <dataValidation type="decimal" allowBlank="1" showInputMessage="1" prompt="Dear Sir/ Madam - Score entered is greater than Max. Marks allotted." showErrorMessage="1" sqref="L133">
      <formula1>0</formula1>
      <formula2>NaN</formula2>
    </dataValidation>
    <dataValidation type="decimal" allowBlank="1" showInputMessage="1" prompt="Dear Sir/ Madam - Score entered is greater than Max. Marks allotted." showErrorMessage="1" sqref="L134">
      <formula1>0</formula1>
      <formula2>NaN</formula2>
    </dataValidation>
    <dataValidation type="decimal" allowBlank="1" showInputMessage="1" prompt="Dear Sir/ Madam - Score entered is greater than Max. Marks allotted." showErrorMessage="1" sqref="L135">
      <formula1>0</formula1>
      <formula2>NaN</formula2>
    </dataValidation>
    <dataValidation type="decimal" allowBlank="1" showInputMessage="1" prompt="Dear Sir/ Madam - Score entered is greater than Max. Marks allotted." showErrorMessage="1" sqref="M108">
      <formula1>0</formula1>
      <formula2>NaN</formula2>
    </dataValidation>
    <dataValidation type="decimal" allowBlank="1" showInputMessage="1" prompt="Dear Sir/ Madam - Score entered is greater than Max. Marks allotted." showErrorMessage="1" sqref="M109">
      <formula1>0</formula1>
      <formula2>NaN</formula2>
    </dataValidation>
    <dataValidation type="decimal" allowBlank="1" showInputMessage="1" prompt="Dear Sir/ Madam - Score entered is greater than Max. Marks allotted." showErrorMessage="1" sqref="M110">
      <formula1>0</formula1>
      <formula2>NaN</formula2>
    </dataValidation>
    <dataValidation type="decimal" allowBlank="1" showInputMessage="1" prompt="Dear Sir/ Madam - Score entered is greater than Max. Marks allotted." showErrorMessage="1" sqref="M111">
      <formula1>0</formula1>
      <formula2>NaN</formula2>
    </dataValidation>
    <dataValidation type="decimal" allowBlank="1" showInputMessage="1" prompt="Dear Sir/ Madam - Score entered is greater than Max. Marks allotted." showErrorMessage="1" sqref="M112">
      <formula1>0</formula1>
      <formula2>NaN</formula2>
    </dataValidation>
    <dataValidation type="decimal" allowBlank="1" showInputMessage="1" prompt="Dear Sir/ Madam - Score entered is greater than Max. Marks allotted." showErrorMessage="1" sqref="M113">
      <formula1>0</formula1>
      <formula2>NaN</formula2>
    </dataValidation>
    <dataValidation type="decimal" allowBlank="1" showInputMessage="1" prompt="Dear Sir/ Madam - Score entered is greater than Max. Marks allotted." showErrorMessage="1" sqref="M114">
      <formula1>0</formula1>
      <formula2>NaN</formula2>
    </dataValidation>
    <dataValidation type="decimal" allowBlank="1" showInputMessage="1" prompt="Dear Sir/ Madam - Score entered is greater than Max. Marks allotted." showErrorMessage="1" sqref="M115">
      <formula1>0</formula1>
      <formula2>NaN</formula2>
    </dataValidation>
    <dataValidation type="decimal" allowBlank="1" showInputMessage="1" prompt="Dear Sir/ Madam - Score entered is greater than Max. Marks allotted." showErrorMessage="1" sqref="M116">
      <formula1>0</formula1>
      <formula2>NaN</formula2>
    </dataValidation>
    <dataValidation type="decimal" allowBlank="1" showInputMessage="1" prompt="Dear Sir/ Madam - Score entered is greater than Max. Marks allotted." showErrorMessage="1" sqref="M117">
      <formula1>0</formula1>
      <formula2>NaN</formula2>
    </dataValidation>
    <dataValidation type="decimal" allowBlank="1" showInputMessage="1" prompt="Dear Sir/ Madam - Score entered is greater than Max. Marks allotted." showErrorMessage="1" sqref="M118">
      <formula1>0</formula1>
      <formula2>NaN</formula2>
    </dataValidation>
    <dataValidation type="decimal" allowBlank="1" showInputMessage="1" prompt="Dear Sir/ Madam - Score entered is greater than Max. Marks allotted." showErrorMessage="1" sqref="M119">
      <formula1>0</formula1>
      <formula2>NaN</formula2>
    </dataValidation>
    <dataValidation type="decimal" allowBlank="1" showInputMessage="1" prompt="Dear Sir/ Madam - Score entered is greater than Max. Marks allotted." showErrorMessage="1" sqref="M120">
      <formula1>0</formula1>
      <formula2>NaN</formula2>
    </dataValidation>
    <dataValidation type="decimal" allowBlank="1" showInputMessage="1" prompt="Dear Sir/ Madam - Score entered is greater than Max. Marks allotted." showErrorMessage="1" sqref="M121">
      <formula1>0</formula1>
      <formula2>NaN</formula2>
    </dataValidation>
    <dataValidation type="decimal" allowBlank="1" showInputMessage="1" prompt="Dear Sir/ Madam - Score entered is greater than Max. Marks allotted." showErrorMessage="1" sqref="M122">
      <formula1>0</formula1>
      <formula2>NaN</formula2>
    </dataValidation>
    <dataValidation type="decimal" allowBlank="1" showInputMessage="1" prompt="Dear Sir/ Madam - Score entered is greater than Max. Marks allotted." showErrorMessage="1" sqref="M123">
      <formula1>0</formula1>
      <formula2>NaN</formula2>
    </dataValidation>
    <dataValidation type="decimal" allowBlank="1" showInputMessage="1" prompt="Dear Sir/ Madam - Score entered is greater than Max. Marks allotted." showErrorMessage="1" sqref="M124">
      <formula1>0</formula1>
      <formula2>NaN</formula2>
    </dataValidation>
    <dataValidation type="decimal" allowBlank="1" showInputMessage="1" prompt="Dear Sir/ Madam - Score entered is greater than Max. Marks allotted." showErrorMessage="1" sqref="M125">
      <formula1>0</formula1>
      <formula2>NaN</formula2>
    </dataValidation>
    <dataValidation type="decimal" allowBlank="1" showInputMessage="1" prompt="Dear Sir/ Madam - Score entered is greater than Max. Marks allotted." showErrorMessage="1" sqref="M126">
      <formula1>0</formula1>
      <formula2>NaN</formula2>
    </dataValidation>
    <dataValidation type="decimal" allowBlank="1" showInputMessage="1" prompt="Dear Sir/ Madam - Score entered is greater than Max. Marks allotted." showErrorMessage="1" sqref="M127">
      <formula1>0</formula1>
      <formula2>NaN</formula2>
    </dataValidation>
    <dataValidation type="decimal" allowBlank="1" showInputMessage="1" prompt="Dear Sir/ Madam - Score entered is greater than Max. Marks allotted." showErrorMessage="1" sqref="M128">
      <formula1>0</formula1>
      <formula2>NaN</formula2>
    </dataValidation>
    <dataValidation type="decimal" allowBlank="1" showInputMessage="1" prompt="Dear Sir/ Madam - Score entered is greater than Max. Marks allotted." showErrorMessage="1" sqref="M129">
      <formula1>0</formula1>
      <formula2>NaN</formula2>
    </dataValidation>
    <dataValidation type="decimal" allowBlank="1" showInputMessage="1" prompt="Dear Sir/ Madam - Score entered is greater than Max. Marks allotted." showErrorMessage="1" sqref="M130">
      <formula1>0</formula1>
      <formula2>NaN</formula2>
    </dataValidation>
    <dataValidation type="decimal" allowBlank="1" showInputMessage="1" prompt="Dear Sir/ Madam - Score entered is greater than Max. Marks allotted." showErrorMessage="1" sqref="M131">
      <formula1>0</formula1>
      <formula2>NaN</formula2>
    </dataValidation>
    <dataValidation type="decimal" allowBlank="1" showInputMessage="1" prompt="Dear Sir/ Madam - Score entered is greater than Max. Marks allotted." showErrorMessage="1" sqref="M132">
      <formula1>0</formula1>
      <formula2>NaN</formula2>
    </dataValidation>
    <dataValidation type="decimal" allowBlank="1" showInputMessage="1" prompt="Dear Sir/ Madam - Score entered is greater than Max. Marks allotted." showErrorMessage="1" sqref="M133">
      <formula1>0</formula1>
      <formula2>NaN</formula2>
    </dataValidation>
    <dataValidation type="decimal" allowBlank="1" showInputMessage="1" prompt="Dear Sir/ Madam - Score entered is greater than Max. Marks allotted." showErrorMessage="1" sqref="M134">
      <formula1>0</formula1>
      <formula2>NaN</formula2>
    </dataValidation>
    <dataValidation type="decimal" allowBlank="1" showInputMessage="1" prompt="Dear Sir/ Madam - Score entered is greater than Max. Marks allotted." showErrorMessage="1" sqref="M135">
      <formula1>0</formula1>
      <formula2>NaN</formula2>
    </dataValidation>
    <dataValidation type="decimal" allowBlank="1" showInputMessage="1" prompt="Dear Sir/ Madam - Score entered is greater than Max. Marks allotted." showErrorMessage="1" sqref="N108">
      <formula1>0</formula1>
      <formula2>NaN</formula2>
    </dataValidation>
    <dataValidation type="decimal" allowBlank="1" showInputMessage="1" prompt="Dear Sir/ Madam - Score entered is greater than Max. Marks allotted." showErrorMessage="1" sqref="N109">
      <formula1>0</formula1>
      <formula2>NaN</formula2>
    </dataValidation>
    <dataValidation type="decimal" allowBlank="1" showInputMessage="1" prompt="Dear Sir/ Madam - Score entered is greater than Max. Marks allotted." showErrorMessage="1" sqref="N110">
      <formula1>0</formula1>
      <formula2>NaN</formula2>
    </dataValidation>
    <dataValidation type="decimal" allowBlank="1" showInputMessage="1" prompt="Dear Sir/ Madam - Score entered is greater than Max. Marks allotted." showErrorMessage="1" sqref="N111">
      <formula1>0</formula1>
      <formula2>NaN</formula2>
    </dataValidation>
    <dataValidation type="decimal" allowBlank="1" showInputMessage="1" prompt="Dear Sir/ Madam - Score entered is greater than Max. Marks allotted." showErrorMessage="1" sqref="N112">
      <formula1>0</formula1>
      <formula2>NaN</formula2>
    </dataValidation>
    <dataValidation type="decimal" allowBlank="1" showInputMessage="1" prompt="Dear Sir/ Madam - Score entered is greater than Max. Marks allotted." showErrorMessage="1" sqref="N113">
      <formula1>0</formula1>
      <formula2>NaN</formula2>
    </dataValidation>
    <dataValidation type="decimal" allowBlank="1" showInputMessage="1" prompt="Dear Sir/ Madam - Score entered is greater than Max. Marks allotted." showErrorMessage="1" sqref="N114">
      <formula1>0</formula1>
      <formula2>NaN</formula2>
    </dataValidation>
    <dataValidation type="decimal" allowBlank="1" showInputMessage="1" prompt="Dear Sir/ Madam - Score entered is greater than Max. Marks allotted." showErrorMessage="1" sqref="N115">
      <formula1>0</formula1>
      <formula2>NaN</formula2>
    </dataValidation>
    <dataValidation type="decimal" allowBlank="1" showInputMessage="1" prompt="Dear Sir/ Madam - Score entered is greater than Max. Marks allotted." showErrorMessage="1" sqref="N116">
      <formula1>0</formula1>
      <formula2>NaN</formula2>
    </dataValidation>
    <dataValidation type="decimal" allowBlank="1" showInputMessage="1" prompt="Dear Sir/ Madam - Score entered is greater than Max. Marks allotted." showErrorMessage="1" sqref="N117">
      <formula1>0</formula1>
      <formula2>NaN</formula2>
    </dataValidation>
    <dataValidation type="decimal" allowBlank="1" showInputMessage="1" prompt="Dear Sir/ Madam - Score entered is greater than Max. Marks allotted." showErrorMessage="1" sqref="N118">
      <formula1>0</formula1>
      <formula2>NaN</formula2>
    </dataValidation>
    <dataValidation type="decimal" allowBlank="1" showInputMessage="1" prompt="Dear Sir/ Madam - Score entered is greater than Max. Marks allotted." showErrorMessage="1" sqref="N119">
      <formula1>0</formula1>
      <formula2>NaN</formula2>
    </dataValidation>
    <dataValidation type="decimal" allowBlank="1" showInputMessage="1" prompt="Dear Sir/ Madam - Score entered is greater than Max. Marks allotted." showErrorMessage="1" sqref="N120">
      <formula1>0</formula1>
      <formula2>NaN</formula2>
    </dataValidation>
    <dataValidation type="decimal" allowBlank="1" showInputMessage="1" prompt="Dear Sir/ Madam - Score entered is greater than Max. Marks allotted." showErrorMessage="1" sqref="N121">
      <formula1>0</formula1>
      <formula2>NaN</formula2>
    </dataValidation>
    <dataValidation type="decimal" allowBlank="1" showInputMessage="1" prompt="Dear Sir/ Madam - Score entered is greater than Max. Marks allotted." showErrorMessage="1" sqref="N122">
      <formula1>0</formula1>
      <formula2>NaN</formula2>
    </dataValidation>
    <dataValidation type="decimal" allowBlank="1" showInputMessage="1" prompt="Dear Sir/ Madam - Score entered is greater than Max. Marks allotted." showErrorMessage="1" sqref="N123">
      <formula1>0</formula1>
      <formula2>NaN</formula2>
    </dataValidation>
    <dataValidation type="decimal" allowBlank="1" showInputMessage="1" prompt="Dear Sir/ Madam - Score entered is greater than Max. Marks allotted." showErrorMessage="1" sqref="N124">
      <formula1>0</formula1>
      <formula2>NaN</formula2>
    </dataValidation>
    <dataValidation type="decimal" allowBlank="1" showInputMessage="1" prompt="Dear Sir/ Madam - Score entered is greater than Max. Marks allotted." showErrorMessage="1" sqref="N125">
      <formula1>0</formula1>
      <formula2>NaN</formula2>
    </dataValidation>
    <dataValidation type="decimal" allowBlank="1" showInputMessage="1" prompt="Dear Sir/ Madam - Score entered is greater than Max. Marks allotted." showErrorMessage="1" sqref="N126">
      <formula1>0</formula1>
      <formula2>NaN</formula2>
    </dataValidation>
    <dataValidation type="decimal" allowBlank="1" showInputMessage="1" prompt="Dear Sir/ Madam - Score entered is greater than Max. Marks allotted." showErrorMessage="1" sqref="N127">
      <formula1>0</formula1>
      <formula2>NaN</formula2>
    </dataValidation>
    <dataValidation type="decimal" allowBlank="1" showInputMessage="1" prompt="Dear Sir/ Madam - Score entered is greater than Max. Marks allotted." showErrorMessage="1" sqref="N128">
      <formula1>0</formula1>
      <formula2>NaN</formula2>
    </dataValidation>
    <dataValidation type="decimal" allowBlank="1" showInputMessage="1" prompt="Dear Sir/ Madam - Score entered is greater than Max. Marks allotted." showErrorMessage="1" sqref="N129">
      <formula1>0</formula1>
      <formula2>NaN</formula2>
    </dataValidation>
    <dataValidation type="decimal" allowBlank="1" showInputMessage="1" prompt="Dear Sir/ Madam - Score entered is greater than Max. Marks allotted." showErrorMessage="1" sqref="N130">
      <formula1>0</formula1>
      <formula2>NaN</formula2>
    </dataValidation>
    <dataValidation type="decimal" allowBlank="1" showInputMessage="1" prompt="Dear Sir/ Madam - Score entered is greater than Max. Marks allotted." showErrorMessage="1" sqref="N131">
      <formula1>0</formula1>
      <formula2>NaN</formula2>
    </dataValidation>
    <dataValidation type="decimal" allowBlank="1" showInputMessage="1" prompt="Dear Sir/ Madam - Score entered is greater than Max. Marks allotted." showErrorMessage="1" sqref="N132">
      <formula1>0</formula1>
      <formula2>NaN</formula2>
    </dataValidation>
    <dataValidation type="decimal" allowBlank="1" showInputMessage="1" prompt="Dear Sir/ Madam - Score entered is greater than Max. Marks allotted." showErrorMessage="1" sqref="N133">
      <formula1>0</formula1>
      <formula2>NaN</formula2>
    </dataValidation>
    <dataValidation type="decimal" allowBlank="1" showInputMessage="1" prompt="Dear Sir/ Madam - Score entered is greater than Max. Marks allotted." showErrorMessage="1" sqref="N134">
      <formula1>0</formula1>
      <formula2>NaN</formula2>
    </dataValidation>
    <dataValidation type="decimal" allowBlank="1" showInputMessage="1" prompt="Dear Sir/ Madam - Score entered is greater than Max. Marks allotted." showErrorMessage="1" sqref="N135">
      <formula1>0</formula1>
      <formula2>NaN</formula2>
    </dataValidation>
    <dataValidation type="decimal" allowBlank="1" showInputMessage="1" prompt="Dear Sir/ Madam - Score entered is greater than Max. Marks allotted." showErrorMessage="1" sqref="O108">
      <formula1>0</formula1>
      <formula2>NaN</formula2>
    </dataValidation>
    <dataValidation type="decimal" allowBlank="1" showInputMessage="1" prompt="Dear Sir/ Madam - Score entered is greater than Max. Marks allotted." showErrorMessage="1" sqref="O109">
      <formula1>0</formula1>
      <formula2>NaN</formula2>
    </dataValidation>
    <dataValidation type="decimal" allowBlank="1" showInputMessage="1" prompt="Dear Sir/ Madam - Score entered is greater than Max. Marks allotted." showErrorMessage="1" sqref="O110">
      <formula1>0</formula1>
      <formula2>NaN</formula2>
    </dataValidation>
    <dataValidation type="decimal" allowBlank="1" showInputMessage="1" prompt="Dear Sir/ Madam - Score entered is greater than Max. Marks allotted." showErrorMessage="1" sqref="O111">
      <formula1>0</formula1>
      <formula2>NaN</formula2>
    </dataValidation>
    <dataValidation type="decimal" allowBlank="1" showInputMessage="1" prompt="Dear Sir/ Madam - Score entered is greater than Max. Marks allotted." showErrorMessage="1" sqref="O112">
      <formula1>0</formula1>
      <formula2>NaN</formula2>
    </dataValidation>
    <dataValidation type="decimal" allowBlank="1" showInputMessage="1" prompt="Dear Sir/ Madam - Score entered is greater than Max. Marks allotted." showErrorMessage="1" sqref="O113">
      <formula1>0</formula1>
      <formula2>NaN</formula2>
    </dataValidation>
    <dataValidation type="decimal" allowBlank="1" showInputMessage="1" prompt="Dear Sir/ Madam - Score entered is greater than Max. Marks allotted." showErrorMessage="1" sqref="O114">
      <formula1>0</formula1>
      <formula2>NaN</formula2>
    </dataValidation>
    <dataValidation type="decimal" allowBlank="1" showInputMessage="1" prompt="Dear Sir/ Madam - Score entered is greater than Max. Marks allotted." showErrorMessage="1" sqref="O115">
      <formula1>0</formula1>
      <formula2>NaN</formula2>
    </dataValidation>
    <dataValidation type="decimal" allowBlank="1" showInputMessage="1" prompt="Dear Sir/ Madam - Score entered is greater than Max. Marks allotted." showErrorMessage="1" sqref="O116">
      <formula1>0</formula1>
      <formula2>NaN</formula2>
    </dataValidation>
    <dataValidation type="decimal" allowBlank="1" showInputMessage="1" prompt="Dear Sir/ Madam - Score entered is greater than Max. Marks allotted." showErrorMessage="1" sqref="O117">
      <formula1>0</formula1>
      <formula2>NaN</formula2>
    </dataValidation>
    <dataValidation type="decimal" allowBlank="1" showInputMessage="1" prompt="Dear Sir/ Madam - Score entered is greater than Max. Marks allotted." showErrorMessage="1" sqref="O118">
      <formula1>0</formula1>
      <formula2>NaN</formula2>
    </dataValidation>
    <dataValidation type="decimal" allowBlank="1" showInputMessage="1" prompt="Dear Sir/ Madam - Score entered is greater than Max. Marks allotted." showErrorMessage="1" sqref="O119">
      <formula1>0</formula1>
      <formula2>NaN</formula2>
    </dataValidation>
    <dataValidation type="decimal" allowBlank="1" showInputMessage="1" prompt="Dear Sir/ Madam - Score entered is greater than Max. Marks allotted." showErrorMessage="1" sqref="O120">
      <formula1>0</formula1>
      <formula2>NaN</formula2>
    </dataValidation>
    <dataValidation type="decimal" allowBlank="1" showInputMessage="1" prompt="Dear Sir/ Madam - Score entered is greater than Max. Marks allotted." showErrorMessage="1" sqref="O121">
      <formula1>0</formula1>
      <formula2>NaN</formula2>
    </dataValidation>
    <dataValidation type="decimal" allowBlank="1" showInputMessage="1" prompt="Dear Sir/ Madam - Score entered is greater than Max. Marks allotted." showErrorMessage="1" sqref="O122">
      <formula1>0</formula1>
      <formula2>NaN</formula2>
    </dataValidation>
    <dataValidation type="decimal" allowBlank="1" showInputMessage="1" prompt="Dear Sir/ Madam - Score entered is greater than Max. Marks allotted." showErrorMessage="1" sqref="O123">
      <formula1>0</formula1>
      <formula2>NaN</formula2>
    </dataValidation>
    <dataValidation type="decimal" allowBlank="1" showInputMessage="1" prompt="Dear Sir/ Madam - Score entered is greater than Max. Marks allotted." showErrorMessage="1" sqref="O124">
      <formula1>0</formula1>
      <formula2>NaN</formula2>
    </dataValidation>
    <dataValidation type="decimal" allowBlank="1" showInputMessage="1" prompt="Dear Sir/ Madam - Score entered is greater than Max. Marks allotted." showErrorMessage="1" sqref="O125">
      <formula1>0</formula1>
      <formula2>NaN</formula2>
    </dataValidation>
    <dataValidation type="decimal" allowBlank="1" showInputMessage="1" prompt="Dear Sir/ Madam - Score entered is greater than Max. Marks allotted." showErrorMessage="1" sqref="O126">
      <formula1>0</formula1>
      <formula2>NaN</formula2>
    </dataValidation>
    <dataValidation type="decimal" allowBlank="1" showInputMessage="1" prompt="Dear Sir/ Madam - Score entered is greater than Max. Marks allotted." showErrorMessage="1" sqref="O127">
      <formula1>0</formula1>
      <formula2>NaN</formula2>
    </dataValidation>
    <dataValidation type="decimal" allowBlank="1" showInputMessage="1" prompt="Dear Sir/ Madam - Score entered is greater than Max. Marks allotted." showErrorMessage="1" sqref="O128">
      <formula1>0</formula1>
      <formula2>NaN</formula2>
    </dataValidation>
    <dataValidation type="decimal" allowBlank="1" showInputMessage="1" prompt="Dear Sir/ Madam - Score entered is greater than Max. Marks allotted." showErrorMessage="1" sqref="O129">
      <formula1>0</formula1>
      <formula2>NaN</formula2>
    </dataValidation>
    <dataValidation type="decimal" allowBlank="1" showInputMessage="1" prompt="Dear Sir/ Madam - Score entered is greater than Max. Marks allotted." showErrorMessage="1" sqref="O130">
      <formula1>0</formula1>
      <formula2>NaN</formula2>
    </dataValidation>
    <dataValidation type="decimal" allowBlank="1" showInputMessage="1" prompt="Dear Sir/ Madam - Score entered is greater than Max. Marks allotted." showErrorMessage="1" sqref="O131">
      <formula1>0</formula1>
      <formula2>NaN</formula2>
    </dataValidation>
    <dataValidation type="decimal" allowBlank="1" showInputMessage="1" prompt="Dear Sir/ Madam - Score entered is greater than Max. Marks allotted." showErrorMessage="1" sqref="O132">
      <formula1>0</formula1>
      <formula2>NaN</formula2>
    </dataValidation>
    <dataValidation type="decimal" allowBlank="1" showInputMessage="1" prompt="Dear Sir/ Madam - Score entered is greater than Max. Marks allotted." showErrorMessage="1" sqref="O133">
      <formula1>0</formula1>
      <formula2>NaN</formula2>
    </dataValidation>
    <dataValidation type="decimal" allowBlank="1" showInputMessage="1" prompt="Dear Sir/ Madam - Score entered is greater than Max. Marks allotted." showErrorMessage="1" sqref="O134">
      <formula1>0</formula1>
      <formula2>NaN</formula2>
    </dataValidation>
    <dataValidation type="decimal" allowBlank="1" showInputMessage="1" prompt="Dear Sir/ Madam - Score entered is greater than Max. Marks allotted." showErrorMessage="1" sqref="O135">
      <formula1>0</formula1>
      <formula2>NaN</formula2>
    </dataValidation>
    <dataValidation type="decimal" allowBlank="1" showInputMessage="1" prompt="Dear Sir/ Madam - Score entered is greater than Max. Marks allotted." showErrorMessage="1" sqref="P108">
      <formula1>0</formula1>
      <formula2>NaN</formula2>
    </dataValidation>
    <dataValidation type="decimal" allowBlank="1" showInputMessage="1" prompt="Dear Sir/ Madam - Score entered is greater than Max. Marks allotted." showErrorMessage="1" sqref="P109">
      <formula1>0</formula1>
      <formula2>NaN</formula2>
    </dataValidation>
    <dataValidation type="decimal" allowBlank="1" showInputMessage="1" prompt="Dear Sir/ Madam - Score entered is greater than Max. Marks allotted." showErrorMessage="1" sqref="P110">
      <formula1>0</formula1>
      <formula2>NaN</formula2>
    </dataValidation>
    <dataValidation type="decimal" allowBlank="1" showInputMessage="1" prompt="Dear Sir/ Madam - Score entered is greater than Max. Marks allotted." showErrorMessage="1" sqref="P111">
      <formula1>0</formula1>
      <formula2>NaN</formula2>
    </dataValidation>
    <dataValidation type="decimal" allowBlank="1" showInputMessage="1" prompt="Dear Sir/ Madam - Score entered is greater than Max. Marks allotted." showErrorMessage="1" sqref="P112">
      <formula1>0</formula1>
      <formula2>NaN</formula2>
    </dataValidation>
    <dataValidation type="decimal" allowBlank="1" showInputMessage="1" prompt="Dear Sir/ Madam - Score entered is greater than Max. Marks allotted." showErrorMessage="1" sqref="P113">
      <formula1>0</formula1>
      <formula2>NaN</formula2>
    </dataValidation>
    <dataValidation type="decimal" allowBlank="1" showInputMessage="1" prompt="Dear Sir/ Madam - Score entered is greater than Max. Marks allotted." showErrorMessage="1" sqref="P114">
      <formula1>0</formula1>
      <formula2>NaN</formula2>
    </dataValidation>
    <dataValidation type="decimal" allowBlank="1" showInputMessage="1" prompt="Dear Sir/ Madam - Score entered is greater than Max. Marks allotted." showErrorMessage="1" sqref="P115">
      <formula1>0</formula1>
      <formula2>NaN</formula2>
    </dataValidation>
    <dataValidation type="decimal" allowBlank="1" showInputMessage="1" prompt="Dear Sir/ Madam - Score entered is greater than Max. Marks allotted." showErrorMessage="1" sqref="P116">
      <formula1>0</formula1>
      <formula2>NaN</formula2>
    </dataValidation>
    <dataValidation type="decimal" allowBlank="1" showInputMessage="1" prompt="Dear Sir/ Madam - Score entered is greater than Max. Marks allotted." showErrorMessage="1" sqref="P117">
      <formula1>0</formula1>
      <formula2>NaN</formula2>
    </dataValidation>
    <dataValidation type="decimal" allowBlank="1" showInputMessage="1" prompt="Dear Sir/ Madam - Score entered is greater than Max. Marks allotted." showErrorMessage="1" sqref="P118">
      <formula1>0</formula1>
      <formula2>NaN</formula2>
    </dataValidation>
    <dataValidation type="decimal" allowBlank="1" showInputMessage="1" prompt="Dear Sir/ Madam - Score entered is greater than Max. Marks allotted." showErrorMessage="1" sqref="P119">
      <formula1>0</formula1>
      <formula2>NaN</formula2>
    </dataValidation>
    <dataValidation type="decimal" allowBlank="1" showInputMessage="1" prompt="Dear Sir/ Madam - Score entered is greater than Max. Marks allotted." showErrorMessage="1" sqref="P120">
      <formula1>0</formula1>
      <formula2>NaN</formula2>
    </dataValidation>
    <dataValidation type="decimal" allowBlank="1" showInputMessage="1" prompt="Dear Sir/ Madam - Score entered is greater than Max. Marks allotted." showErrorMessage="1" sqref="P121">
      <formula1>0</formula1>
      <formula2>NaN</formula2>
    </dataValidation>
    <dataValidation type="decimal" allowBlank="1" showInputMessage="1" prompt="Dear Sir/ Madam - Score entered is greater than Max. Marks allotted." showErrorMessage="1" sqref="P122">
      <formula1>0</formula1>
      <formula2>NaN</formula2>
    </dataValidation>
    <dataValidation type="decimal" allowBlank="1" showInputMessage="1" prompt="Dear Sir/ Madam - Score entered is greater than Max. Marks allotted." showErrorMessage="1" sqref="P123">
      <formula1>0</formula1>
      <formula2>NaN</formula2>
    </dataValidation>
    <dataValidation type="decimal" allowBlank="1" showInputMessage="1" prompt="Dear Sir/ Madam - Score entered is greater than Max. Marks allotted." showErrorMessage="1" sqref="P124">
      <formula1>0</formula1>
      <formula2>NaN</formula2>
    </dataValidation>
    <dataValidation type="decimal" allowBlank="1" showInputMessage="1" prompt="Dear Sir/ Madam - Score entered is greater than Max. Marks allotted." showErrorMessage="1" sqref="P125">
      <formula1>0</formula1>
      <formula2>NaN</formula2>
    </dataValidation>
    <dataValidation type="decimal" allowBlank="1" showInputMessage="1" prompt="Dear Sir/ Madam - Score entered is greater than Max. Marks allotted." showErrorMessage="1" sqref="P126">
      <formula1>0</formula1>
      <formula2>NaN</formula2>
    </dataValidation>
    <dataValidation type="decimal" allowBlank="1" showInputMessage="1" prompt="Dear Sir/ Madam - Score entered is greater than Max. Marks allotted." showErrorMessage="1" sqref="P127">
      <formula1>0</formula1>
      <formula2>NaN</formula2>
    </dataValidation>
    <dataValidation type="decimal" allowBlank="1" showInputMessage="1" prompt="Dear Sir/ Madam - Score entered is greater than Max. Marks allotted." showErrorMessage="1" sqref="P128">
      <formula1>0</formula1>
      <formula2>NaN</formula2>
    </dataValidation>
    <dataValidation type="decimal" allowBlank="1" showInputMessage="1" prompt="Dear Sir/ Madam - Score entered is greater than Max. Marks allotted." showErrorMessage="1" sqref="P129">
      <formula1>0</formula1>
      <formula2>NaN</formula2>
    </dataValidation>
    <dataValidation type="decimal" allowBlank="1" showInputMessage="1" prompt="Dear Sir/ Madam - Score entered is greater than Max. Marks allotted." showErrorMessage="1" sqref="P130">
      <formula1>0</formula1>
      <formula2>NaN</formula2>
    </dataValidation>
    <dataValidation type="decimal" allowBlank="1" showInputMessage="1" prompt="Dear Sir/ Madam - Score entered is greater than Max. Marks allotted." showErrorMessage="1" sqref="P131">
      <formula1>0</formula1>
      <formula2>NaN</formula2>
    </dataValidation>
    <dataValidation type="decimal" allowBlank="1" showInputMessage="1" prompt="Dear Sir/ Madam - Score entered is greater than Max. Marks allotted." showErrorMessage="1" sqref="P132">
      <formula1>0</formula1>
      <formula2>NaN</formula2>
    </dataValidation>
    <dataValidation type="decimal" allowBlank="1" showInputMessage="1" prompt="Dear Sir/ Madam - Score entered is greater than Max. Marks allotted." showErrorMessage="1" sqref="P133">
      <formula1>0</formula1>
      <formula2>NaN</formula2>
    </dataValidation>
    <dataValidation type="decimal" allowBlank="1" showInputMessage="1" prompt="Dear Sir/ Madam - Score entered is greater than Max. Marks allotted." showErrorMessage="1" sqref="P134">
      <formula1>0</formula1>
      <formula2>NaN</formula2>
    </dataValidation>
    <dataValidation type="decimal" allowBlank="1" showInputMessage="1" prompt="Dear Sir/ Madam - Score entered is greater than Max. Marks allotted." showErrorMessage="1" sqref="P135">
      <formula1>0</formula1>
      <formula2>NaN</formula2>
    </dataValidation>
    <dataValidation type="decimal" allowBlank="1" showInputMessage="1" prompt="Dear Sir/ Madam - Score entered is greater than Max. Marks allotted." showErrorMessage="1" sqref="Q108">
      <formula1>0</formula1>
      <formula2>NaN</formula2>
    </dataValidation>
    <dataValidation type="decimal" allowBlank="1" showInputMessage="1" prompt="Dear Sir/ Madam - Score entered is greater than Max. Marks allotted." showErrorMessage="1" sqref="Q109">
      <formula1>0</formula1>
      <formula2>NaN</formula2>
    </dataValidation>
    <dataValidation type="decimal" allowBlank="1" showInputMessage="1" prompt="Dear Sir/ Madam - Score entered is greater than Max. Marks allotted." showErrorMessage="1" sqref="Q110">
      <formula1>0</formula1>
      <formula2>NaN</formula2>
    </dataValidation>
    <dataValidation type="decimal" allowBlank="1" showInputMessage="1" prompt="Dear Sir/ Madam - Score entered is greater than Max. Marks allotted." showErrorMessage="1" sqref="Q111">
      <formula1>0</formula1>
      <formula2>NaN</formula2>
    </dataValidation>
    <dataValidation type="decimal" allowBlank="1" showInputMessage="1" prompt="Dear Sir/ Madam - Score entered is greater than Max. Marks allotted." showErrorMessage="1" sqref="Q112">
      <formula1>0</formula1>
      <formula2>NaN</formula2>
    </dataValidation>
    <dataValidation type="decimal" allowBlank="1" showInputMessage="1" prompt="Dear Sir/ Madam - Score entered is greater than Max. Marks allotted." showErrorMessage="1" sqref="Q113">
      <formula1>0</formula1>
      <formula2>NaN</formula2>
    </dataValidation>
    <dataValidation type="decimal" allowBlank="1" showInputMessage="1" prompt="Dear Sir/ Madam - Score entered is greater than Max. Marks allotted." showErrorMessage="1" sqref="Q114">
      <formula1>0</formula1>
      <formula2>NaN</formula2>
    </dataValidation>
    <dataValidation type="decimal" allowBlank="1" showInputMessage="1" prompt="Dear Sir/ Madam - Score entered is greater than Max. Marks allotted." showErrorMessage="1" sqref="Q115">
      <formula1>0</formula1>
      <formula2>NaN</formula2>
    </dataValidation>
    <dataValidation type="decimal" allowBlank="1" showInputMessage="1" prompt="Dear Sir/ Madam - Score entered is greater than Max. Marks allotted." showErrorMessage="1" sqref="Q116">
      <formula1>0</formula1>
      <formula2>NaN</formula2>
    </dataValidation>
    <dataValidation type="decimal" allowBlank="1" showInputMessage="1" prompt="Dear Sir/ Madam - Score entered is greater than Max. Marks allotted." showErrorMessage="1" sqref="Q117">
      <formula1>0</formula1>
      <formula2>NaN</formula2>
    </dataValidation>
    <dataValidation type="decimal" allowBlank="1" showInputMessage="1" prompt="Dear Sir/ Madam - Score entered is greater than Max. Marks allotted." showErrorMessage="1" sqref="Q118">
      <formula1>0</formula1>
      <formula2>NaN</formula2>
    </dataValidation>
    <dataValidation type="decimal" allowBlank="1" showInputMessage="1" prompt="Dear Sir/ Madam - Score entered is greater than Max. Marks allotted." showErrorMessage="1" sqref="Q119">
      <formula1>0</formula1>
      <formula2>NaN</formula2>
    </dataValidation>
    <dataValidation type="decimal" allowBlank="1" showInputMessage="1" prompt="Dear Sir/ Madam - Score entered is greater than Max. Marks allotted." showErrorMessage="1" sqref="Q120">
      <formula1>0</formula1>
      <formula2>NaN</formula2>
    </dataValidation>
    <dataValidation type="decimal" allowBlank="1" showInputMessage="1" prompt="Dear Sir/ Madam - Score entered is greater than Max. Marks allotted." showErrorMessage="1" sqref="Q121">
      <formula1>0</formula1>
      <formula2>NaN</formula2>
    </dataValidation>
    <dataValidation type="decimal" allowBlank="1" showInputMessage="1" prompt="Dear Sir/ Madam - Score entered is greater than Max. Marks allotted." showErrorMessage="1" sqref="Q122">
      <formula1>0</formula1>
      <formula2>NaN</formula2>
    </dataValidation>
    <dataValidation type="decimal" allowBlank="1" showInputMessage="1" prompt="Dear Sir/ Madam - Score entered is greater than Max. Marks allotted." showErrorMessage="1" sqref="Q123">
      <formula1>0</formula1>
      <formula2>NaN</formula2>
    </dataValidation>
    <dataValidation type="decimal" allowBlank="1" showInputMessage="1" prompt="Dear Sir/ Madam - Score entered is greater than Max. Marks allotted." showErrorMessage="1" sqref="Q124">
      <formula1>0</formula1>
      <formula2>NaN</formula2>
    </dataValidation>
    <dataValidation type="decimal" allowBlank="1" showInputMessage="1" prompt="Dear Sir/ Madam - Score entered is greater than Max. Marks allotted." showErrorMessage="1" sqref="Q125">
      <formula1>0</formula1>
      <formula2>NaN</formula2>
    </dataValidation>
    <dataValidation type="decimal" allowBlank="1" showInputMessage="1" prompt="Dear Sir/ Madam - Score entered is greater than Max. Marks allotted." showErrorMessage="1" sqref="Q126">
      <formula1>0</formula1>
      <formula2>NaN</formula2>
    </dataValidation>
    <dataValidation type="decimal" allowBlank="1" showInputMessage="1" prompt="Dear Sir/ Madam - Score entered is greater than Max. Marks allotted." showErrorMessage="1" sqref="Q127">
      <formula1>0</formula1>
      <formula2>NaN</formula2>
    </dataValidation>
    <dataValidation type="decimal" allowBlank="1" showInputMessage="1" prompt="Dear Sir/ Madam - Score entered is greater than Max. Marks allotted." showErrorMessage="1" sqref="Q128">
      <formula1>0</formula1>
      <formula2>NaN</formula2>
    </dataValidation>
    <dataValidation type="decimal" allowBlank="1" showInputMessage="1" prompt="Dear Sir/ Madam - Score entered is greater than Max. Marks allotted." showErrorMessage="1" sqref="Q129">
      <formula1>0</formula1>
      <formula2>NaN</formula2>
    </dataValidation>
    <dataValidation type="decimal" allowBlank="1" showInputMessage="1" prompt="Dear Sir/ Madam - Score entered is greater than Max. Marks allotted." showErrorMessage="1" sqref="Q130">
      <formula1>0</formula1>
      <formula2>NaN</formula2>
    </dataValidation>
    <dataValidation type="decimal" allowBlank="1" showInputMessage="1" prompt="Dear Sir/ Madam - Score entered is greater than Max. Marks allotted." showErrorMessage="1" sqref="Q131">
      <formula1>0</formula1>
      <formula2>NaN</formula2>
    </dataValidation>
    <dataValidation type="decimal" allowBlank="1" showInputMessage="1" prompt="Dear Sir/ Madam - Score entered is greater than Max. Marks allotted." showErrorMessage="1" sqref="Q132">
      <formula1>0</formula1>
      <formula2>NaN</formula2>
    </dataValidation>
    <dataValidation type="decimal" allowBlank="1" showInputMessage="1" prompt="Dear Sir/ Madam - Score entered is greater than Max. Marks allotted." showErrorMessage="1" sqref="Q133">
      <formula1>0</formula1>
      <formula2>NaN</formula2>
    </dataValidation>
    <dataValidation type="decimal" allowBlank="1" showInputMessage="1" prompt="Dear Sir/ Madam - Score entered is greater than Max. Marks allotted." showErrorMessage="1" sqref="Q134">
      <formula1>0</formula1>
      <formula2>NaN</formula2>
    </dataValidation>
    <dataValidation type="decimal" allowBlank="1" showInputMessage="1" prompt="Dear Sir/ Madam - Score entered is greater than Max. Marks allotted." showErrorMessage="1" sqref="Q135">
      <formula1>0</formula1>
      <formula2>NaN</formula2>
    </dataValidation>
    <dataValidation type="decimal" allowBlank="1" showInputMessage="1" prompt="Dear Sir/ Madam - Score entered is greater than Max. Marks allotted." showErrorMessage="1" sqref="R108">
      <formula1>0</formula1>
      <formula2>NaN</formula2>
    </dataValidation>
    <dataValidation type="decimal" allowBlank="1" showInputMessage="1" prompt="Dear Sir/ Madam - Score entered is greater than Max. Marks allotted." showErrorMessage="1" sqref="R109">
      <formula1>0</formula1>
      <formula2>NaN</formula2>
    </dataValidation>
    <dataValidation type="decimal" allowBlank="1" showInputMessage="1" prompt="Dear Sir/ Madam - Score entered is greater than Max. Marks allotted." showErrorMessage="1" sqref="R110">
      <formula1>0</formula1>
      <formula2>NaN</formula2>
    </dataValidation>
    <dataValidation type="decimal" allowBlank="1" showInputMessage="1" prompt="Dear Sir/ Madam - Score entered is greater than Max. Marks allotted." showErrorMessage="1" sqref="R111">
      <formula1>0</formula1>
      <formula2>NaN</formula2>
    </dataValidation>
    <dataValidation type="decimal" allowBlank="1" showInputMessage="1" prompt="Dear Sir/ Madam - Score entered is greater than Max. Marks allotted." showErrorMessage="1" sqref="R112">
      <formula1>0</formula1>
      <formula2>NaN</formula2>
    </dataValidation>
    <dataValidation type="decimal" allowBlank="1" showInputMessage="1" prompt="Dear Sir/ Madam - Score entered is greater than Max. Marks allotted." showErrorMessage="1" sqref="R113">
      <formula1>0</formula1>
      <formula2>NaN</formula2>
    </dataValidation>
    <dataValidation type="decimal" allowBlank="1" showInputMessage="1" prompt="Dear Sir/ Madam - Score entered is greater than Max. Marks allotted." showErrorMessage="1" sqref="R114">
      <formula1>0</formula1>
      <formula2>NaN</formula2>
    </dataValidation>
    <dataValidation type="decimal" allowBlank="1" showInputMessage="1" prompt="Dear Sir/ Madam - Score entered is greater than Max. Marks allotted." showErrorMessage="1" sqref="R115">
      <formula1>0</formula1>
      <formula2>NaN</formula2>
    </dataValidation>
    <dataValidation type="decimal" allowBlank="1" showInputMessage="1" prompt="Dear Sir/ Madam - Score entered is greater than Max. Marks allotted." showErrorMessage="1" sqref="R116">
      <formula1>0</formula1>
      <formula2>NaN</formula2>
    </dataValidation>
    <dataValidation type="decimal" allowBlank="1" showInputMessage="1" prompt="Dear Sir/ Madam - Score entered is greater than Max. Marks allotted." showErrorMessage="1" sqref="R117">
      <formula1>0</formula1>
      <formula2>NaN</formula2>
    </dataValidation>
    <dataValidation type="decimal" allowBlank="1" showInputMessage="1" prompt="Dear Sir/ Madam - Score entered is greater than Max. Marks allotted." showErrorMessage="1" sqref="R118">
      <formula1>0</formula1>
      <formula2>NaN</formula2>
    </dataValidation>
    <dataValidation type="decimal" allowBlank="1" showInputMessage="1" prompt="Dear Sir/ Madam - Score entered is greater than Max. Marks allotted." showErrorMessage="1" sqref="R119">
      <formula1>0</formula1>
      <formula2>NaN</formula2>
    </dataValidation>
    <dataValidation type="decimal" allowBlank="1" showInputMessage="1" prompt="Dear Sir/ Madam - Score entered is greater than Max. Marks allotted." showErrorMessage="1" sqref="R120">
      <formula1>0</formula1>
      <formula2>NaN</formula2>
    </dataValidation>
    <dataValidation type="decimal" allowBlank="1" showInputMessage="1" prompt="Dear Sir/ Madam - Score entered is greater than Max. Marks allotted." showErrorMessage="1" sqref="R121">
      <formula1>0</formula1>
      <formula2>NaN</formula2>
    </dataValidation>
    <dataValidation type="decimal" allowBlank="1" showInputMessage="1" prompt="Dear Sir/ Madam - Score entered is greater than Max. Marks allotted." showErrorMessage="1" sqref="R122">
      <formula1>0</formula1>
      <formula2>NaN</formula2>
    </dataValidation>
    <dataValidation type="decimal" allowBlank="1" showInputMessage="1" prompt="Dear Sir/ Madam - Score entered is greater than Max. Marks allotted." showErrorMessage="1" sqref="R123">
      <formula1>0</formula1>
      <formula2>NaN</formula2>
    </dataValidation>
    <dataValidation type="decimal" allowBlank="1" showInputMessage="1" prompt="Dear Sir/ Madam - Score entered is greater than Max. Marks allotted." showErrorMessage="1" sqref="R124">
      <formula1>0</formula1>
      <formula2>NaN</formula2>
    </dataValidation>
    <dataValidation type="decimal" allowBlank="1" showInputMessage="1" prompt="Dear Sir/ Madam - Score entered is greater than Max. Marks allotted." showErrorMessage="1" sqref="R125">
      <formula1>0</formula1>
      <formula2>NaN</formula2>
    </dataValidation>
    <dataValidation type="decimal" allowBlank="1" showInputMessage="1" prompt="Dear Sir/ Madam - Score entered is greater than Max. Marks allotted." showErrorMessage="1" sqref="R126">
      <formula1>0</formula1>
      <formula2>NaN</formula2>
    </dataValidation>
    <dataValidation type="decimal" allowBlank="1" showInputMessage="1" prompt="Dear Sir/ Madam - Score entered is greater than Max. Marks allotted." showErrorMessage="1" sqref="R127">
      <formula1>0</formula1>
      <formula2>NaN</formula2>
    </dataValidation>
    <dataValidation type="decimal" allowBlank="1" showInputMessage="1" prompt="Dear Sir/ Madam - Score entered is greater than Max. Marks allotted." showErrorMessage="1" sqref="R128">
      <formula1>0</formula1>
      <formula2>NaN</formula2>
    </dataValidation>
    <dataValidation type="decimal" allowBlank="1" showInputMessage="1" prompt="Dear Sir/ Madam - Score entered is greater than Max. Marks allotted." showErrorMessage="1" sqref="R129">
      <formula1>0</formula1>
      <formula2>NaN</formula2>
    </dataValidation>
    <dataValidation type="decimal" allowBlank="1" showInputMessage="1" prompt="Dear Sir/ Madam - Score entered is greater than Max. Marks allotted." showErrorMessage="1" sqref="R130">
      <formula1>0</formula1>
      <formula2>NaN</formula2>
    </dataValidation>
    <dataValidation type="decimal" allowBlank="1" showInputMessage="1" prompt="Dear Sir/ Madam - Score entered is greater than Max. Marks allotted." showErrorMessage="1" sqref="R131">
      <formula1>0</formula1>
      <formula2>NaN</formula2>
    </dataValidation>
    <dataValidation type="decimal" allowBlank="1" showInputMessage="1" prompt="Dear Sir/ Madam - Score entered is greater than Max. Marks allotted." showErrorMessage="1" sqref="R132">
      <formula1>0</formula1>
      <formula2>NaN</formula2>
    </dataValidation>
    <dataValidation type="decimal" allowBlank="1" showInputMessage="1" prompt="Dear Sir/ Madam - Score entered is greater than Max. Marks allotted." showErrorMessage="1" sqref="R133">
      <formula1>0</formula1>
      <formula2>NaN</formula2>
    </dataValidation>
    <dataValidation type="decimal" allowBlank="1" showInputMessage="1" prompt="Dear Sir/ Madam - Score entered is greater than Max. Marks allotted." showErrorMessage="1" sqref="R134">
      <formula1>0</formula1>
      <formula2>NaN</formula2>
    </dataValidation>
    <dataValidation type="decimal" allowBlank="1" showInputMessage="1" prompt="Dear Sir/ Madam - Score entered is greater than Max. Marks allotted." showErrorMessage="1" sqref="R135">
      <formula1>0</formula1>
      <formula2>NaN</formula2>
    </dataValidation>
    <dataValidation type="decimal" allowBlank="1" showInputMessage="1" prompt="Dear Sir/ Madam - Score entered is greater than Max. Marks allotted." showErrorMessage="1" sqref="S108">
      <formula1>0</formula1>
      <formula2>NaN</formula2>
    </dataValidation>
    <dataValidation type="decimal" allowBlank="1" showInputMessage="1" prompt="Dear Sir/ Madam - Score entered is greater than Max. Marks allotted." showErrorMessage="1" sqref="S109">
      <formula1>0</formula1>
      <formula2>NaN</formula2>
    </dataValidation>
    <dataValidation type="decimal" allowBlank="1" showInputMessage="1" prompt="Dear Sir/ Madam - Score entered is greater than Max. Marks allotted." showErrorMessage="1" sqref="S110">
      <formula1>0</formula1>
      <formula2>NaN</formula2>
    </dataValidation>
    <dataValidation type="decimal" allowBlank="1" showInputMessage="1" prompt="Dear Sir/ Madam - Score entered is greater than Max. Marks allotted." showErrorMessage="1" sqref="S111">
      <formula1>0</formula1>
      <formula2>NaN</formula2>
    </dataValidation>
    <dataValidation type="decimal" allowBlank="1" showInputMessage="1" prompt="Dear Sir/ Madam - Score entered is greater than Max. Marks allotted." showErrorMessage="1" sqref="S112">
      <formula1>0</formula1>
      <formula2>NaN</formula2>
    </dataValidation>
    <dataValidation type="decimal" allowBlank="1" showInputMessage="1" prompt="Dear Sir/ Madam - Score entered is greater than Max. Marks allotted." showErrorMessage="1" sqref="S113">
      <formula1>0</formula1>
      <formula2>NaN</formula2>
    </dataValidation>
    <dataValidation type="decimal" allowBlank="1" showInputMessage="1" prompt="Dear Sir/ Madam - Score entered is greater than Max. Marks allotted." showErrorMessage="1" sqref="S114">
      <formula1>0</formula1>
      <formula2>NaN</formula2>
    </dataValidation>
    <dataValidation type="decimal" allowBlank="1" showInputMessage="1" prompt="Dear Sir/ Madam - Score entered is greater than Max. Marks allotted." showErrorMessage="1" sqref="S115">
      <formula1>0</formula1>
      <formula2>NaN</formula2>
    </dataValidation>
    <dataValidation type="decimal" allowBlank="1" showInputMessage="1" prompt="Dear Sir/ Madam - Score entered is greater than Max. Marks allotted." showErrorMessage="1" sqref="S116">
      <formula1>0</formula1>
      <formula2>NaN</formula2>
    </dataValidation>
    <dataValidation type="decimal" allowBlank="1" showInputMessage="1" prompt="Dear Sir/ Madam - Score entered is greater than Max. Marks allotted." showErrorMessage="1" sqref="S117">
      <formula1>0</formula1>
      <formula2>NaN</formula2>
    </dataValidation>
    <dataValidation type="decimal" allowBlank="1" showInputMessage="1" prompt="Dear Sir/ Madam - Score entered is greater than Max. Marks allotted." showErrorMessage="1" sqref="S118">
      <formula1>0</formula1>
      <formula2>NaN</formula2>
    </dataValidation>
    <dataValidation type="decimal" allowBlank="1" showInputMessage="1" prompt="Dear Sir/ Madam - Score entered is greater than Max. Marks allotted." showErrorMessage="1" sqref="S119">
      <formula1>0</formula1>
      <formula2>NaN</formula2>
    </dataValidation>
    <dataValidation type="decimal" allowBlank="1" showInputMessage="1" prompt="Dear Sir/ Madam - Score entered is greater than Max. Marks allotted." showErrorMessage="1" sqref="S120">
      <formula1>0</formula1>
      <formula2>NaN</formula2>
    </dataValidation>
    <dataValidation type="decimal" allowBlank="1" showInputMessage="1" prompt="Dear Sir/ Madam - Score entered is greater than Max. Marks allotted." showErrorMessage="1" sqref="S121">
      <formula1>0</formula1>
      <formula2>NaN</formula2>
    </dataValidation>
    <dataValidation type="decimal" allowBlank="1" showInputMessage="1" prompt="Dear Sir/ Madam - Score entered is greater than Max. Marks allotted." showErrorMessage="1" sqref="S122">
      <formula1>0</formula1>
      <formula2>NaN</formula2>
    </dataValidation>
    <dataValidation type="decimal" allowBlank="1" showInputMessage="1" prompt="Dear Sir/ Madam - Score entered is greater than Max. Marks allotted." showErrorMessage="1" sqref="S123">
      <formula1>0</formula1>
      <formula2>NaN</formula2>
    </dataValidation>
    <dataValidation type="decimal" allowBlank="1" showInputMessage="1" prompt="Dear Sir/ Madam - Score entered is greater than Max. Marks allotted." showErrorMessage="1" sqref="S124">
      <formula1>0</formula1>
      <formula2>NaN</formula2>
    </dataValidation>
    <dataValidation type="decimal" allowBlank="1" showInputMessage="1" prompt="Dear Sir/ Madam - Score entered is greater than Max. Marks allotted." showErrorMessage="1" sqref="S125">
      <formula1>0</formula1>
      <formula2>NaN</formula2>
    </dataValidation>
    <dataValidation type="decimal" allowBlank="1" showInputMessage="1" prompt="Dear Sir/ Madam - Score entered is greater than Max. Marks allotted." showErrorMessage="1" sqref="S126">
      <formula1>0</formula1>
      <formula2>NaN</formula2>
    </dataValidation>
    <dataValidation type="decimal" allowBlank="1" showInputMessage="1" prompt="Dear Sir/ Madam - Score entered is greater than Max. Marks allotted." showErrorMessage="1" sqref="S127">
      <formula1>0</formula1>
      <formula2>NaN</formula2>
    </dataValidation>
    <dataValidation type="decimal" allowBlank="1" showInputMessage="1" prompt="Dear Sir/ Madam - Score entered is greater than Max. Marks allotted." showErrorMessage="1" sqref="S128">
      <formula1>0</formula1>
      <formula2>NaN</formula2>
    </dataValidation>
    <dataValidation type="decimal" allowBlank="1" showInputMessage="1" prompt="Dear Sir/ Madam - Score entered is greater than Max. Marks allotted." showErrorMessage="1" sqref="S129">
      <formula1>0</formula1>
      <formula2>NaN</formula2>
    </dataValidation>
    <dataValidation type="decimal" allowBlank="1" showInputMessage="1" prompt="Dear Sir/ Madam - Score entered is greater than Max. Marks allotted." showErrorMessage="1" sqref="S130">
      <formula1>0</formula1>
      <formula2>NaN</formula2>
    </dataValidation>
    <dataValidation type="decimal" allowBlank="1" showInputMessage="1" prompt="Dear Sir/ Madam - Score entered is greater than Max. Marks allotted." showErrorMessage="1" sqref="S131">
      <formula1>0</formula1>
      <formula2>NaN</formula2>
    </dataValidation>
    <dataValidation type="decimal" allowBlank="1" showInputMessage="1" prompt="Dear Sir/ Madam - Score entered is greater than Max. Marks allotted." showErrorMessage="1" sqref="S132">
      <formula1>0</formula1>
      <formula2>NaN</formula2>
    </dataValidation>
    <dataValidation type="decimal" allowBlank="1" showInputMessage="1" prompt="Dear Sir/ Madam - Score entered is greater than Max. Marks allotted." showErrorMessage="1" sqref="S133">
      <formula1>0</formula1>
      <formula2>NaN</formula2>
    </dataValidation>
    <dataValidation type="decimal" allowBlank="1" showInputMessage="1" prompt="Dear Sir/ Madam - Score entered is greater than Max. Marks allotted." showErrorMessage="1" sqref="S134">
      <formula1>0</formula1>
      <formula2>NaN</formula2>
    </dataValidation>
    <dataValidation type="decimal" allowBlank="1" showInputMessage="1" prompt="Dear Sir/ Madam - Score entered is greater than Max. Marks allotted." showErrorMessage="1" sqref="S135">
      <formula1>0</formula1>
      <formula2>NaN</formula2>
    </dataValidation>
    <dataValidation type="decimal" allowBlank="1" showInputMessage="1" prompt="Dear Sir/ Madam - Score entered is greater than Max. Marks allotted." showErrorMessage="1" sqref="T100">
      <formula1>0</formula1>
      <formula2>NaN</formula2>
    </dataValidation>
    <dataValidation type="decimal" allowBlank="1" showInputMessage="1" prompt="Dear Sir/ Madam - Score entered is greater than Max. Marks allotted." showErrorMessage="1" sqref="T101">
      <formula1>0</formula1>
      <formula2>NaN</formula2>
    </dataValidation>
    <dataValidation type="decimal" allowBlank="1" showInputMessage="1" prompt="Dear Sir/ Madam - Score entered is greater than Max. Marks allotted." showErrorMessage="1" sqref="T102">
      <formula1>0</formula1>
      <formula2>NaN</formula2>
    </dataValidation>
    <dataValidation type="decimal" allowBlank="1" showInputMessage="1" prompt="Dear Sir/ Madam - Score entered is greater than Max. Marks allotted." showErrorMessage="1" sqref="T103">
      <formula1>0</formula1>
      <formula2>NaN</formula2>
    </dataValidation>
    <dataValidation type="decimal" allowBlank="1" showInputMessage="1" prompt="Dear Sir/ Madam - Score entered is greater than Max. Marks allotted." showErrorMessage="1" sqref="T104">
      <formula1>0</formula1>
      <formula2>NaN</formula2>
    </dataValidation>
    <dataValidation type="decimal" allowBlank="1" showInputMessage="1" prompt="Dear Sir/ Madam - Score entered is greater than Max. Marks allotted." showErrorMessage="1" sqref="T105">
      <formula1>0</formula1>
      <formula2>NaN</formula2>
    </dataValidation>
    <dataValidation type="decimal" allowBlank="1" showInputMessage="1" prompt="Dear Sir/ Madam - Score entered is greater than Max. Marks allotted." showErrorMessage="1" sqref="T106">
      <formula1>0</formula1>
      <formula2>NaN</formula2>
    </dataValidation>
    <dataValidation type="decimal" allowBlank="1" showInputMessage="1" prompt="Dear Sir/ Madam - Score entered is greater than Max. Marks allotted." showErrorMessage="1" sqref="T107">
      <formula1>0</formula1>
      <formula2>NaN</formula2>
    </dataValidation>
    <dataValidation type="decimal" allowBlank="1" showInputMessage="1" prompt="Dear Sir/ Madam - Score entered is greater than Max. Marks allotted." showErrorMessage="1" sqref="T108">
      <formula1>0</formula1>
      <formula2>NaN</formula2>
    </dataValidation>
    <dataValidation type="decimal" allowBlank="1" showInputMessage="1" prompt="Dear Sir/ Madam - Score entered is greater than Max. Marks allotted." showErrorMessage="1" sqref="T109">
      <formula1>0</formula1>
      <formula2>NaN</formula2>
    </dataValidation>
    <dataValidation type="decimal" allowBlank="1" showInputMessage="1" prompt="Dear Sir/ Madam - Score entered is greater than Max. Marks allotted." showErrorMessage="1" sqref="T110">
      <formula1>0</formula1>
      <formula2>NaN</formula2>
    </dataValidation>
    <dataValidation type="decimal" allowBlank="1" showInputMessage="1" prompt="Dear Sir/ Madam - Score entered is greater than Max. Marks allotted." showErrorMessage="1" sqref="T111">
      <formula1>0</formula1>
      <formula2>NaN</formula2>
    </dataValidation>
    <dataValidation type="decimal" allowBlank="1" showInputMessage="1" prompt="Dear Sir/ Madam - Score entered is greater than Max. Marks allotted." showErrorMessage="1" sqref="T112">
      <formula1>0</formula1>
      <formula2>NaN</formula2>
    </dataValidation>
    <dataValidation type="decimal" allowBlank="1" showInputMessage="1" prompt="Dear Sir/ Madam - Score entered is greater than Max. Marks allotted." showErrorMessage="1" sqref="T113">
      <formula1>0</formula1>
      <formula2>NaN</formula2>
    </dataValidation>
    <dataValidation type="decimal" allowBlank="1" showInputMessage="1" prompt="Dear Sir/ Madam - Score entered is greater than Max. Marks allotted." showErrorMessage="1" sqref="T114">
      <formula1>0</formula1>
      <formula2>NaN</formula2>
    </dataValidation>
    <dataValidation type="decimal" allowBlank="1" showInputMessage="1" prompt="Dear Sir/ Madam - Score entered is greater than Max. Marks allotted." showErrorMessage="1" sqref="T115">
      <formula1>0</formula1>
      <formula2>NaN</formula2>
    </dataValidation>
    <dataValidation type="decimal" allowBlank="1" showInputMessage="1" prompt="Dear Sir/ Madam - Score entered is greater than Max. Marks allotted." showErrorMessage="1" sqref="T116">
      <formula1>0</formula1>
      <formula2>NaN</formula2>
    </dataValidation>
    <dataValidation type="decimal" allowBlank="1" showInputMessage="1" prompt="Dear Sir/ Madam - Score entered is greater than Max. Marks allotted." showErrorMessage="1" sqref="T117">
      <formula1>0</formula1>
      <formula2>NaN</formula2>
    </dataValidation>
    <dataValidation type="decimal" allowBlank="1" showInputMessage="1" prompt="Dear Sir/ Madam - Score entered is greater than Max. Marks allotted." showErrorMessage="1" sqref="T118">
      <formula1>0</formula1>
      <formula2>NaN</formula2>
    </dataValidation>
    <dataValidation type="decimal" allowBlank="1" showInputMessage="1" prompt="Dear Sir/ Madam - Score entered is greater than Max. Marks allotted." showErrorMessage="1" sqref="T119">
      <formula1>0</formula1>
      <formula2>NaN</formula2>
    </dataValidation>
    <dataValidation type="decimal" allowBlank="1" showInputMessage="1" prompt="Dear Sir/ Madam - Score entered is greater than Max. Marks allotted." showErrorMessage="1" sqref="T120">
      <formula1>0</formula1>
      <formula2>NaN</formula2>
    </dataValidation>
    <dataValidation type="decimal" allowBlank="1" showInputMessage="1" prompt="Dear Sir/ Madam - Score entered is greater than Max. Marks allotted." showErrorMessage="1" sqref="T121">
      <formula1>0</formula1>
      <formula2>NaN</formula2>
    </dataValidation>
    <dataValidation type="decimal" allowBlank="1" showInputMessage="1" prompt="Dear Sir/ Madam - Score entered is greater than Max. Marks allotted." showErrorMessage="1" sqref="T122">
      <formula1>0</formula1>
      <formula2>NaN</formula2>
    </dataValidation>
    <dataValidation type="decimal" allowBlank="1" showInputMessage="1" prompt="Dear Sir/ Madam - Score entered is greater than Max. Marks allotted." showErrorMessage="1" sqref="T123">
      <formula1>0</formula1>
      <formula2>NaN</formula2>
    </dataValidation>
    <dataValidation type="decimal" allowBlank="1" showInputMessage="1" prompt="Dear Sir/ Madam - Score entered is greater than Max. Marks allotted." showErrorMessage="1" sqref="T124">
      <formula1>0</formula1>
      <formula2>NaN</formula2>
    </dataValidation>
    <dataValidation type="decimal" allowBlank="1" showInputMessage="1" prompt="Dear Sir/ Madam - Score entered is greater than Max. Marks allotted." showErrorMessage="1" sqref="T125">
      <formula1>0</formula1>
      <formula2>NaN</formula2>
    </dataValidation>
    <dataValidation type="decimal" allowBlank="1" showInputMessage="1" prompt="Dear Sir/ Madam - Score entered is greater than Max. Marks allotted." showErrorMessage="1" sqref="T126">
      <formula1>0</formula1>
      <formula2>NaN</formula2>
    </dataValidation>
    <dataValidation type="decimal" allowBlank="1" showInputMessage="1" prompt="Dear Sir/ Madam - Score entered is greater than Max. Marks allotted." showErrorMessage="1" sqref="T127">
      <formula1>0</formula1>
      <formula2>NaN</formula2>
    </dataValidation>
    <dataValidation type="decimal" allowBlank="1" showInputMessage="1" prompt="Dear Sir/ Madam - Score entered is greater than Max. Marks allotted." showErrorMessage="1" sqref="T128">
      <formula1>0</formula1>
      <formula2>NaN</formula2>
    </dataValidation>
    <dataValidation type="decimal" allowBlank="1" showInputMessage="1" prompt="Dear Sir/ Madam - Score entered is greater than Max. Marks allotted." showErrorMessage="1" sqref="T129">
      <formula1>0</formula1>
      <formula2>NaN</formula2>
    </dataValidation>
    <dataValidation type="decimal" allowBlank="1" showInputMessage="1" prompt="Dear Sir/ Madam - Score entered is greater than Max. Marks allotted." showErrorMessage="1" sqref="T130">
      <formula1>0</formula1>
      <formula2>NaN</formula2>
    </dataValidation>
    <dataValidation type="decimal" allowBlank="1" showInputMessage="1" prompt="Dear Sir/ Madam - Score entered is greater than Max. Marks allotted." showErrorMessage="1" sqref="T131">
      <formula1>0</formula1>
      <formula2>NaN</formula2>
    </dataValidation>
    <dataValidation type="decimal" allowBlank="1" showInputMessage="1" prompt="Dear Sir/ Madam - Score entered is greater than Max. Marks allotted." showErrorMessage="1" sqref="T132">
      <formula1>0</formula1>
      <formula2>NaN</formula2>
    </dataValidation>
    <dataValidation type="decimal" allowBlank="1" showInputMessage="1" prompt="Dear Sir/ Madam - Score entered is greater than Max. Marks allotted." showErrorMessage="1" sqref="T133">
      <formula1>0</formula1>
      <formula2>NaN</formula2>
    </dataValidation>
    <dataValidation type="decimal" allowBlank="1" showInputMessage="1" prompt="Dear Sir/ Madam - Score entered is greater than Max. Marks allotted." showErrorMessage="1" sqref="T134">
      <formula1>0</formula1>
      <formula2>NaN</formula2>
    </dataValidation>
    <dataValidation type="decimal" allowBlank="1" showInputMessage="1" prompt="Dear Sir/ Madam - Score entered is greater than Max. Marks allotted." showErrorMessage="1" sqref="T135">
      <formula1>0</formula1>
      <formula2>NaN</formula2>
    </dataValidation>
    <dataValidation type="decimal" allowBlank="1" showInputMessage="1" prompt="Dear Sir/ Madam - Score entered is greater than Max. Marks allotted." showErrorMessage="1" sqref="T24">
      <formula1>0</formula1>
      <formula2>NaN</formula2>
    </dataValidation>
    <dataValidation type="decimal" allowBlank="1" showInputMessage="1" prompt="Dear Sir/ Madam - Score entered is greater than Max. Marks allotted." showErrorMessage="1" sqref="T25">
      <formula1>0</formula1>
      <formula2>NaN</formula2>
    </dataValidation>
    <dataValidation type="decimal" allowBlank="1" showInputMessage="1" prompt="Dear Sir/ Madam - Score entered is greater than Max. Marks allotted." showErrorMessage="1" sqref="T26">
      <formula1>0</formula1>
      <formula2>NaN</formula2>
    </dataValidation>
    <dataValidation type="decimal" allowBlank="1" showInputMessage="1" prompt="Dear Sir/ Madam - Score entered is greater than Max. Marks allotted." showErrorMessage="1" sqref="T27">
      <formula1>0</formula1>
      <formula2>NaN</formula2>
    </dataValidation>
    <dataValidation type="decimal" allowBlank="1" showInputMessage="1" prompt="Dear Sir/ Madam - Score entered is greater than Max. Marks allotted." showErrorMessage="1" sqref="T28">
      <formula1>0</formula1>
      <formula2>NaN</formula2>
    </dataValidation>
    <dataValidation type="decimal" allowBlank="1" showInputMessage="1" prompt="Dear Sir/ Madam - Score entered is greater than Max. Marks allotted." showErrorMessage="1" sqref="T29">
      <formula1>0</formula1>
      <formula2>NaN</formula2>
    </dataValidation>
    <dataValidation type="decimal" allowBlank="1" showInputMessage="1" prompt="Dear Sir/ Madam - Score entered is greater than Max. Marks allotted." showErrorMessage="1" sqref="T30">
      <formula1>0</formula1>
      <formula2>NaN</formula2>
    </dataValidation>
    <dataValidation type="decimal" allowBlank="1" showInputMessage="1" prompt="Dear Sir/ Madam - Score entered is greater than Max. Marks allotted." showErrorMessage="1" sqref="T31">
      <formula1>0</formula1>
      <formula2>NaN</formula2>
    </dataValidation>
    <dataValidation type="decimal" allowBlank="1" showInputMessage="1" prompt="Dear Sir/ Madam - Score entered is greater than Max. Marks allotted." showErrorMessage="1" sqref="T32">
      <formula1>0</formula1>
      <formula2>NaN</formula2>
    </dataValidation>
    <dataValidation type="decimal" allowBlank="1" showInputMessage="1" prompt="Dear Sir/ Madam - Score entered is greater than Max. Marks allotted." showErrorMessage="1" sqref="T33">
      <formula1>0</formula1>
      <formula2>NaN</formula2>
    </dataValidation>
    <dataValidation type="decimal" allowBlank="1" showInputMessage="1" prompt="Dear Sir/ Madam - Score entered is greater than Max. Marks allotted." showErrorMessage="1" sqref="T34">
      <formula1>0</formula1>
      <formula2>NaN</formula2>
    </dataValidation>
    <dataValidation type="decimal" allowBlank="1" showInputMessage="1" prompt="Dear Sir/ Madam - Score entered is greater than Max. Marks allotted." showErrorMessage="1" sqref="T35">
      <formula1>0</formula1>
      <formula2>NaN</formula2>
    </dataValidation>
    <dataValidation type="decimal" allowBlank="1" showInputMessage="1" prompt="Dear Sir/ Madam - Score entered is greater than Max. Marks allotted." showErrorMessage="1" sqref="T36">
      <formula1>0</formula1>
      <formula2>NaN</formula2>
    </dataValidation>
    <dataValidation type="decimal" allowBlank="1" showInputMessage="1" prompt="Dear Sir/ Madam - Score entered is greater than Max. Marks allotted." showErrorMessage="1" sqref="T37">
      <formula1>0</formula1>
      <formula2>NaN</formula2>
    </dataValidation>
    <dataValidation type="decimal" allowBlank="1" showInputMessage="1" prompt="Dear Sir/ Madam - Score entered is greater than Max. Marks allotted." showErrorMessage="1" sqref="T38">
      <formula1>0</formula1>
      <formula2>NaN</formula2>
    </dataValidation>
    <dataValidation type="decimal" allowBlank="1" showInputMessage="1" prompt="Dear Sir/ Madam - Score entered is greater than Max. Marks allotted." showErrorMessage="1" sqref="T39">
      <formula1>0</formula1>
      <formula2>NaN</formula2>
    </dataValidation>
    <dataValidation type="decimal" allowBlank="1" showInputMessage="1" prompt="Dear Sir/ Madam - Score entered is greater than Max. Marks allotted." showErrorMessage="1" sqref="T40">
      <formula1>0</formula1>
      <formula2>NaN</formula2>
    </dataValidation>
    <dataValidation type="decimal" allowBlank="1" showInputMessage="1" prompt="Dear Sir/ Madam - Score entered is greater than Max. Marks allotted." showErrorMessage="1" sqref="T41">
      <formula1>0</formula1>
      <formula2>NaN</formula2>
    </dataValidation>
    <dataValidation type="decimal" allowBlank="1" showInputMessage="1" prompt="Dear Sir/ Madam - Score entered is greater than Max. Marks allotted." showErrorMessage="1" sqref="T42">
      <formula1>0</formula1>
      <formula2>NaN</formula2>
    </dataValidation>
    <dataValidation type="decimal" allowBlank="1" showInputMessage="1" prompt="Dear Sir/ Madam - Score entered is greater than Max. Marks allotted." showErrorMessage="1" sqref="T43">
      <formula1>0</formula1>
      <formula2>NaN</formula2>
    </dataValidation>
    <dataValidation type="decimal" allowBlank="1" showInputMessage="1" prompt="Dear Sir/ Madam - Score entered is greater than Max. Marks allotted." showErrorMessage="1" sqref="T44">
      <formula1>0</formula1>
      <formula2>NaN</formula2>
    </dataValidation>
    <dataValidation type="decimal" allowBlank="1" showInputMessage="1" prompt="Dear Sir/ Madam - Score entered is greater than Max. Marks allotted." showErrorMessage="1" sqref="T45">
      <formula1>0</formula1>
      <formula2>NaN</formula2>
    </dataValidation>
    <dataValidation type="decimal" allowBlank="1" showInputMessage="1" prompt="Dear Sir/ Madam - Score entered is greater than Max. Marks allotted." showErrorMessage="1" sqref="T46">
      <formula1>0</formula1>
      <formula2>NaN</formula2>
    </dataValidation>
    <dataValidation type="decimal" allowBlank="1" showInputMessage="1" prompt="Dear Sir/ Madam - Score entered is greater than Max. Marks allotted." showErrorMessage="1" sqref="T47">
      <formula1>0</formula1>
      <formula2>NaN</formula2>
    </dataValidation>
    <dataValidation type="decimal" allowBlank="1" showInputMessage="1" prompt="Dear Sir/ Madam - Score entered is greater than Max. Marks allotted." showErrorMessage="1" sqref="T48">
      <formula1>0</formula1>
      <formula2>NaN</formula2>
    </dataValidation>
    <dataValidation type="decimal" allowBlank="1" showInputMessage="1" prompt="Dear Sir/ Madam - Score entered is greater than Max. Marks allotted." showErrorMessage="1" sqref="T49">
      <formula1>0</formula1>
      <formula2>NaN</formula2>
    </dataValidation>
    <dataValidation type="decimal" allowBlank="1" showInputMessage="1" prompt="Dear Sir/ Madam - Score entered is greater than Max. Marks allotted." showErrorMessage="1" sqref="T50">
      <formula1>0</formula1>
      <formula2>NaN</formula2>
    </dataValidation>
    <dataValidation type="decimal" allowBlank="1" showInputMessage="1" prompt="Dear Sir/ Madam - Score entered is greater than Max. Marks allotted." showErrorMessage="1" sqref="T51">
      <formula1>0</formula1>
      <formula2>NaN</formula2>
    </dataValidation>
    <dataValidation type="decimal" allowBlank="1" showInputMessage="1" prompt="Dear Sir/ Madam - Score entered is greater than Max. Marks allotted." showErrorMessage="1" sqref="T52">
      <formula1>0</formula1>
      <formula2>NaN</formula2>
    </dataValidation>
    <dataValidation type="decimal" allowBlank="1" showInputMessage="1" prompt="Dear Sir/ Madam - Score entered is greater than Max. Marks allotted." showErrorMessage="1" sqref="T53">
      <formula1>0</formula1>
      <formula2>NaN</formula2>
    </dataValidation>
    <dataValidation type="decimal" allowBlank="1" showInputMessage="1" prompt="Dear Sir/ Madam - Score entered is greater than Max. Marks allotted." showErrorMessage="1" sqref="T54">
      <formula1>0</formula1>
      <formula2>NaN</formula2>
    </dataValidation>
    <dataValidation type="decimal" allowBlank="1" showInputMessage="1" prompt="Dear Sir/ Madam - Score entered is greater than Max. Marks allotted." showErrorMessage="1" sqref="T55">
      <formula1>0</formula1>
      <formula2>NaN</formula2>
    </dataValidation>
    <dataValidation type="decimal" allowBlank="1" showInputMessage="1" prompt="Dear Sir/ Madam - Score entered is greater than Max. Marks allotted." showErrorMessage="1" sqref="T56">
      <formula1>0</formula1>
      <formula2>NaN</formula2>
    </dataValidation>
    <dataValidation type="decimal" allowBlank="1" showInputMessage="1" prompt="Dear Sir/ Madam - Score entered is greater than Max. Marks allotted." showErrorMessage="1" sqref="T57">
      <formula1>0</formula1>
      <formula2>NaN</formula2>
    </dataValidation>
    <dataValidation type="decimal" allowBlank="1" showInputMessage="1" prompt="Dear Sir/ Madam - Score entered is greater than Max. Marks allotted." showErrorMessage="1" sqref="T58">
      <formula1>0</formula1>
      <formula2>NaN</formula2>
    </dataValidation>
    <dataValidation type="decimal" allowBlank="1" showInputMessage="1" prompt="Dear Sir/ Madam - Score entered is greater than Max. Marks allotted." showErrorMessage="1" sqref="T59">
      <formula1>0</formula1>
      <formula2>NaN</formula2>
    </dataValidation>
    <dataValidation type="decimal" allowBlank="1" showInputMessage="1" prompt="Dear Sir/ Madam - Score entered is greater than Max. Marks allotted." showErrorMessage="1" sqref="T60">
      <formula1>0</formula1>
      <formula2>NaN</formula2>
    </dataValidation>
    <dataValidation type="decimal" allowBlank="1" showInputMessage="1" prompt="Dear Sir/ Madam - Score entered is greater than Max. Marks allotted." showErrorMessage="1" sqref="T61">
      <formula1>0</formula1>
      <formula2>NaN</formula2>
    </dataValidation>
    <dataValidation type="decimal" allowBlank="1" showInputMessage="1" prompt="Dear Sir/ Madam - Score entered is greater than Max. Marks allotted." showErrorMessage="1" sqref="T62">
      <formula1>0</formula1>
      <formula2>NaN</formula2>
    </dataValidation>
    <dataValidation type="decimal" allowBlank="1" showInputMessage="1" prompt="Dear Sir/ Madam - Score entered is greater than Max. Marks allotted." showErrorMessage="1" sqref="T63">
      <formula1>0</formula1>
      <formula2>NaN</formula2>
    </dataValidation>
    <dataValidation type="decimal" allowBlank="1" showInputMessage="1" prompt="Dear Sir/ Madam - Score entered is greater than Max. Marks allotted." showErrorMessage="1" sqref="T64">
      <formula1>0</formula1>
      <formula2>NaN</formula2>
    </dataValidation>
    <dataValidation type="decimal" allowBlank="1" showInputMessage="1" prompt="Dear Sir/ Madam - Score entered is greater than Max. Marks allotted." showErrorMessage="1" sqref="T65">
      <formula1>0</formula1>
      <formula2>NaN</formula2>
    </dataValidation>
    <dataValidation type="decimal" allowBlank="1" showInputMessage="1" prompt="Dear Sir/ Madam - Score entered is greater than Max. Marks allotted." showErrorMessage="1" sqref="T66">
      <formula1>0</formula1>
      <formula2>NaN</formula2>
    </dataValidation>
    <dataValidation type="decimal" allowBlank="1" showInputMessage="1" prompt="Dear Sir/ Madam - Score entered is greater than Max. Marks allotted." showErrorMessage="1" sqref="T67">
      <formula1>0</formula1>
      <formula2>NaN</formula2>
    </dataValidation>
    <dataValidation type="decimal" allowBlank="1" showInputMessage="1" prompt="Dear Sir/ Madam - Score entered is greater than Max. Marks allotted." showErrorMessage="1" sqref="T68">
      <formula1>0</formula1>
      <formula2>NaN</formula2>
    </dataValidation>
    <dataValidation type="decimal" allowBlank="1" showInputMessage="1" prompt="Dear Sir/ Madam - Score entered is greater than Max. Marks allotted." showErrorMessage="1" sqref="T69">
      <formula1>0</formula1>
      <formula2>NaN</formula2>
    </dataValidation>
    <dataValidation type="decimal" allowBlank="1" showInputMessage="1" prompt="Dear Sir/ Madam - Score entered is greater than Max. Marks allotted." showErrorMessage="1" sqref="T74">
      <formula1>0</formula1>
      <formula2>NaN</formula2>
    </dataValidation>
    <dataValidation type="decimal" allowBlank="1" showInputMessage="1" prompt="Dear Sir/ Madam - Score entered is greater than Max. Marks allotted." showErrorMessage="1" sqref="T75">
      <formula1>0</formula1>
      <formula2>NaN</formula2>
    </dataValidation>
    <dataValidation type="decimal" allowBlank="1" showInputMessage="1" prompt="Dear Sir/ Madam - Score entered is greater than Max. Marks allotted." showErrorMessage="1" sqref="T76">
      <formula1>0</formula1>
      <formula2>NaN</formula2>
    </dataValidation>
    <dataValidation type="decimal" allowBlank="1" showInputMessage="1" prompt="Dear Sir/ Madam - Score entered is greater than Max. Marks allotted." showErrorMessage="1" sqref="T77">
      <formula1>0</formula1>
      <formula2>NaN</formula2>
    </dataValidation>
    <dataValidation type="decimal" allowBlank="1" showInputMessage="1" prompt="Dear Sir/ Madam - Score entered is greater than Max. Marks allotted." showErrorMessage="1" sqref="T78">
      <formula1>0</formula1>
      <formula2>NaN</formula2>
    </dataValidation>
    <dataValidation type="decimal" allowBlank="1" showInputMessage="1" prompt="Dear Sir/ Madam - Score entered is greater than Max. Marks allotted." showErrorMessage="1" sqref="T79">
      <formula1>0</formula1>
      <formula2>NaN</formula2>
    </dataValidation>
    <dataValidation type="decimal" allowBlank="1" showInputMessage="1" prompt="Dear Sir/ Madam - Score entered is greater than Max. Marks allotted." showErrorMessage="1" sqref="T80">
      <formula1>0</formula1>
      <formula2>NaN</formula2>
    </dataValidation>
    <dataValidation type="decimal" allowBlank="1" showInputMessage="1" prompt="Dear Sir/ Madam - Score entered is greater than Max. Marks allotted." showErrorMessage="1" sqref="T81">
      <formula1>0</formula1>
      <formula2>NaN</formula2>
    </dataValidation>
    <dataValidation type="decimal" allowBlank="1" showInputMessage="1" prompt="Dear Sir/ Madam - Score entered is greater than Max. Marks allotted." showErrorMessage="1" sqref="T82">
      <formula1>0</formula1>
      <formula2>NaN</formula2>
    </dataValidation>
    <dataValidation type="decimal" allowBlank="1" showInputMessage="1" prompt="Dear Sir/ Madam - Score entered is greater than Max. Marks allotted." showErrorMessage="1" sqref="T83">
      <formula1>0</formula1>
      <formula2>NaN</formula2>
    </dataValidation>
    <dataValidation type="decimal" allowBlank="1" showInputMessage="1" prompt="Dear Sir/ Madam - Score entered is greater than Max. Marks allotted." showErrorMessage="1" sqref="T84">
      <formula1>0</formula1>
      <formula2>NaN</formula2>
    </dataValidation>
    <dataValidation type="decimal" allowBlank="1" showInputMessage="1" prompt="Dear Sir/ Madam - Score entered is greater than Max. Marks allotted." showErrorMessage="1" sqref="T85">
      <formula1>0</formula1>
      <formula2>NaN</formula2>
    </dataValidation>
    <dataValidation type="decimal" allowBlank="1" showInputMessage="1" prompt="Dear Sir/ Madam - Score entered is greater than Max. Marks allotted." showErrorMessage="1" sqref="T86">
      <formula1>0</formula1>
      <formula2>NaN</formula2>
    </dataValidation>
    <dataValidation type="decimal" allowBlank="1" showInputMessage="1" prompt="Dear Sir/ Madam - Score entered is greater than Max. Marks allotted." showErrorMessage="1" sqref="T87">
      <formula1>0</formula1>
      <formula2>NaN</formula2>
    </dataValidation>
    <dataValidation type="decimal" allowBlank="1" showInputMessage="1" prompt="Dear Sir/ Madam - Score entered is greater than Max. Marks allotted." showErrorMessage="1" sqref="T88">
      <formula1>0</formula1>
      <formula2>NaN</formula2>
    </dataValidation>
    <dataValidation type="decimal" allowBlank="1" showInputMessage="1" prompt="Dear Sir/ Madam - Score entered is greater than Max. Marks allotted." showErrorMessage="1" sqref="T89">
      <formula1>0</formula1>
      <formula2>NaN</formula2>
    </dataValidation>
    <dataValidation type="decimal" allowBlank="1" showInputMessage="1" prompt="Dear Sir/ Madam - Score entered is greater than Max. Marks allotted." showErrorMessage="1" sqref="T90">
      <formula1>0</formula1>
      <formula2>NaN</formula2>
    </dataValidation>
    <dataValidation type="decimal" allowBlank="1" showInputMessage="1" prompt="Dear Sir/ Madam - Score entered is greater than Max. Marks allotted." showErrorMessage="1" sqref="T91">
      <formula1>0</formula1>
      <formula2>NaN</formula2>
    </dataValidation>
    <dataValidation type="decimal" allowBlank="1" showInputMessage="1" prompt="Dear Sir/ Madam - Score entered is greater than Max. Marks allotted." showErrorMessage="1" sqref="T92">
      <formula1>0</formula1>
      <formula2>NaN</formula2>
    </dataValidation>
    <dataValidation type="decimal" allowBlank="1" showInputMessage="1" prompt="Dear Sir/ Madam - Score entered is greater than Max. Marks allotted." showErrorMessage="1" sqref="T93">
      <formula1>0</formula1>
      <formula2>NaN</formula2>
    </dataValidation>
    <dataValidation type="decimal" allowBlank="1" showInputMessage="1" prompt="Dear Sir/ Madam - Score entered is greater than Max. Marks allotted." showErrorMessage="1" sqref="T94">
      <formula1>0</formula1>
      <formula2>NaN</formula2>
    </dataValidation>
    <dataValidation type="decimal" allowBlank="1" showInputMessage="1" prompt="Dear Sir/ Madam - Score entered is greater than Max. Marks allotted." showErrorMessage="1" sqref="T95">
      <formula1>0</formula1>
      <formula2>NaN</formula2>
    </dataValidation>
    <dataValidation type="decimal" allowBlank="1" showInputMessage="1" prompt="Dear Sir/ Madam - Score entered is greater than Max. Marks allotted." showErrorMessage="1" sqref="T96">
      <formula1>0</formula1>
      <formula2>NaN</formula2>
    </dataValidation>
    <dataValidation type="decimal" allowBlank="1" showInputMessage="1" prompt="Dear Sir/ Madam - Score entered is greater than Max. Marks allotted." showErrorMessage="1" sqref="T97">
      <formula1>0</formula1>
      <formula2>NaN</formula2>
    </dataValidation>
    <dataValidation type="decimal" allowBlank="1" showInputMessage="1" prompt="Dear Sir/ Madam - Score entered is greater than Max. Marks allotted." showErrorMessage="1" sqref="T98">
      <formula1>0</formula1>
      <formula2>NaN</formula2>
    </dataValidation>
    <dataValidation type="decimal" allowBlank="1" showInputMessage="1" prompt="Dear Sir/ Madam - Score entered is greater than Max. Marks allotted." showErrorMessage="1" sqref="T99">
      <formula1>0</formula1>
      <formula2>NaN</formula2>
    </dataValidation>
    <dataValidation type="decimal" allowBlank="1" showInputMessage="1" prompt="Dear Sir/ Madam - Score entered is greater than Max. Marks allotted." showErrorMessage="1" sqref="U108">
      <formula1>0</formula1>
      <formula2>NaN</formula2>
    </dataValidation>
    <dataValidation type="decimal" allowBlank="1" showInputMessage="1" prompt="Dear Sir/ Madam - Score entered is greater than Max. Marks allotted." showErrorMessage="1" sqref="U109">
      <formula1>0</formula1>
      <formula2>NaN</formula2>
    </dataValidation>
    <dataValidation type="decimal" allowBlank="1" showInputMessage="1" prompt="Dear Sir/ Madam - Score entered is greater than Max. Marks allotted." showErrorMessage="1" sqref="U110">
      <formula1>0</formula1>
      <formula2>NaN</formula2>
    </dataValidation>
    <dataValidation type="decimal" allowBlank="1" showInputMessage="1" prompt="Dear Sir/ Madam - Score entered is greater than Max. Marks allotted." showErrorMessage="1" sqref="U111">
      <formula1>0</formula1>
      <formula2>NaN</formula2>
    </dataValidation>
    <dataValidation type="decimal" allowBlank="1" showInputMessage="1" prompt="Dear Sir/ Madam - Score entered is greater than Max. Marks allotted." showErrorMessage="1" sqref="U112">
      <formula1>0</formula1>
      <formula2>NaN</formula2>
    </dataValidation>
    <dataValidation type="decimal" allowBlank="1" showInputMessage="1" prompt="Dear Sir/ Madam - Score entered is greater than Max. Marks allotted." showErrorMessage="1" sqref="U113">
      <formula1>0</formula1>
      <formula2>NaN</formula2>
    </dataValidation>
    <dataValidation type="decimal" allowBlank="1" showInputMessage="1" prompt="Dear Sir/ Madam - Score entered is greater than Max. Marks allotted." showErrorMessage="1" sqref="U114">
      <formula1>0</formula1>
      <formula2>NaN</formula2>
    </dataValidation>
    <dataValidation type="decimal" allowBlank="1" showInputMessage="1" prompt="Dear Sir/ Madam - Score entered is greater than Max. Marks allotted." showErrorMessage="1" sqref="U115">
      <formula1>0</formula1>
      <formula2>NaN</formula2>
    </dataValidation>
    <dataValidation type="decimal" allowBlank="1" showInputMessage="1" prompt="Dear Sir/ Madam - Score entered is greater than Max. Marks allotted." showErrorMessage="1" sqref="U116">
      <formula1>0</formula1>
      <formula2>NaN</formula2>
    </dataValidation>
    <dataValidation type="decimal" allowBlank="1" showInputMessage="1" prompt="Dear Sir/ Madam - Score entered is greater than Max. Marks allotted." showErrorMessage="1" sqref="U117">
      <formula1>0</formula1>
      <formula2>NaN</formula2>
    </dataValidation>
    <dataValidation type="decimal" allowBlank="1" showInputMessage="1" prompt="Dear Sir/ Madam - Score entered is greater than Max. Marks allotted." showErrorMessage="1" sqref="U118">
      <formula1>0</formula1>
      <formula2>NaN</formula2>
    </dataValidation>
    <dataValidation type="decimal" allowBlank="1" showInputMessage="1" prompt="Dear Sir/ Madam - Score entered is greater than Max. Marks allotted." showErrorMessage="1" sqref="U119">
      <formula1>0</formula1>
      <formula2>NaN</formula2>
    </dataValidation>
    <dataValidation type="decimal" allowBlank="1" showInputMessage="1" prompt="Dear Sir/ Madam - Score entered is greater than Max. Marks allotted." showErrorMessage="1" sqref="U120">
      <formula1>0</formula1>
      <formula2>NaN</formula2>
    </dataValidation>
    <dataValidation type="decimal" allowBlank="1" showInputMessage="1" prompt="Dear Sir/ Madam - Score entered is greater than Max. Marks allotted." showErrorMessage="1" sqref="U121">
      <formula1>0</formula1>
      <formula2>NaN</formula2>
    </dataValidation>
    <dataValidation type="decimal" allowBlank="1" showInputMessage="1" prompt="Dear Sir/ Madam - Score entered is greater than Max. Marks allotted." showErrorMessage="1" sqref="U122">
      <formula1>0</formula1>
      <formula2>NaN</formula2>
    </dataValidation>
    <dataValidation type="decimal" allowBlank="1" showInputMessage="1" prompt="Dear Sir/ Madam - Score entered is greater than Max. Marks allotted." showErrorMessage="1" sqref="U123">
      <formula1>0</formula1>
      <formula2>NaN</formula2>
    </dataValidation>
    <dataValidation type="decimal" allowBlank="1" showInputMessage="1" prompt="Dear Sir/ Madam - Score entered is greater than Max. Marks allotted." showErrorMessage="1" sqref="U124">
      <formula1>0</formula1>
      <formula2>NaN</formula2>
    </dataValidation>
    <dataValidation type="decimal" allowBlank="1" showInputMessage="1" prompt="Dear Sir/ Madam - Score entered is greater than Max. Marks allotted." showErrorMessage="1" sqref="U125">
      <formula1>0</formula1>
      <formula2>NaN</formula2>
    </dataValidation>
    <dataValidation type="decimal" allowBlank="1" showInputMessage="1" prompt="Dear Sir/ Madam - Score entered is greater than Max. Marks allotted." showErrorMessage="1" sqref="U126">
      <formula1>0</formula1>
      <formula2>NaN</formula2>
    </dataValidation>
    <dataValidation type="decimal" allowBlank="1" showInputMessage="1" prompt="Dear Sir/ Madam - Score entered is greater than Max. Marks allotted." showErrorMessage="1" sqref="U127">
      <formula1>0</formula1>
      <formula2>NaN</formula2>
    </dataValidation>
    <dataValidation type="decimal" allowBlank="1" showInputMessage="1" prompt="Dear Sir/ Madam - Score entered is greater than Max. Marks allotted." showErrorMessage="1" sqref="U128">
      <formula1>0</formula1>
      <formula2>NaN</formula2>
    </dataValidation>
    <dataValidation type="decimal" allowBlank="1" showInputMessage="1" prompt="Dear Sir/ Madam - Score entered is greater than Max. Marks allotted." showErrorMessage="1" sqref="U129">
      <formula1>0</formula1>
      <formula2>NaN</formula2>
    </dataValidation>
    <dataValidation type="decimal" allowBlank="1" showInputMessage="1" prompt="Dear Sir/ Madam - Score entered is greater than Max. Marks allotted." showErrorMessage="1" sqref="U130">
      <formula1>0</formula1>
      <formula2>NaN</formula2>
    </dataValidation>
    <dataValidation type="decimal" allowBlank="1" showInputMessage="1" prompt="Dear Sir/ Madam - Score entered is greater than Max. Marks allotted." showErrorMessage="1" sqref="U131">
      <formula1>0</formula1>
      <formula2>NaN</formula2>
    </dataValidation>
    <dataValidation type="decimal" allowBlank="1" showInputMessage="1" prompt="Dear Sir/ Madam - Score entered is greater than Max. Marks allotted." showErrorMessage="1" sqref="U132">
      <formula1>0</formula1>
      <formula2>NaN</formula2>
    </dataValidation>
    <dataValidation type="decimal" allowBlank="1" showInputMessage="1" prompt="Dear Sir/ Madam - Score entered is greater than Max. Marks allotted." showErrorMessage="1" sqref="U133">
      <formula1>0</formula1>
      <formula2>NaN</formula2>
    </dataValidation>
    <dataValidation type="decimal" allowBlank="1" showInputMessage="1" prompt="Dear Sir/ Madam - Score entered is greater than Max. Marks allotted." showErrorMessage="1" sqref="U134">
      <formula1>0</formula1>
      <formula2>NaN</formula2>
    </dataValidation>
    <dataValidation type="decimal" allowBlank="1" showInputMessage="1" prompt="Dear Sir/ Madam - Score entered is greater than Max. Marks allotted." showErrorMessage="1" sqref="U135">
      <formula1>0</formula1>
      <formula2>NaN</formula2>
    </dataValidation>
    <dataValidation type="decimal" allowBlank="1" showInputMessage="1" prompt="Dear Sir/ Madam - Score entered is greater than Max. Marks allotted." showErrorMessage="1" sqref="V108">
      <formula1>0</formula1>
      <formula2>NaN</formula2>
    </dataValidation>
    <dataValidation type="decimal" allowBlank="1" showInputMessage="1" prompt="Dear Sir/ Madam - Score entered is greater than Max. Marks allotted." showErrorMessage="1" sqref="V109">
      <formula1>0</formula1>
      <formula2>NaN</formula2>
    </dataValidation>
    <dataValidation type="decimal" allowBlank="1" showInputMessage="1" prompt="Dear Sir/ Madam - Score entered is greater than Max. Marks allotted." showErrorMessage="1" sqref="V110">
      <formula1>0</formula1>
      <formula2>NaN</formula2>
    </dataValidation>
    <dataValidation type="decimal" allowBlank="1" showInputMessage="1" prompt="Dear Sir/ Madam - Score entered is greater than Max. Marks allotted." showErrorMessage="1" sqref="V111">
      <formula1>0</formula1>
      <formula2>NaN</formula2>
    </dataValidation>
    <dataValidation type="decimal" allowBlank="1" showInputMessage="1" prompt="Dear Sir/ Madam - Score entered is greater than Max. Marks allotted." showErrorMessage="1" sqref="V112">
      <formula1>0</formula1>
      <formula2>NaN</formula2>
    </dataValidation>
    <dataValidation type="decimal" allowBlank="1" showInputMessage="1" prompt="Dear Sir/ Madam - Score entered is greater than Max. Marks allotted." showErrorMessage="1" sqref="V113">
      <formula1>0</formula1>
      <formula2>NaN</formula2>
    </dataValidation>
    <dataValidation type="decimal" allowBlank="1" showInputMessage="1" prompt="Dear Sir/ Madam - Score entered is greater than Max. Marks allotted." showErrorMessage="1" sqref="V114">
      <formula1>0</formula1>
      <formula2>NaN</formula2>
    </dataValidation>
    <dataValidation type="decimal" allowBlank="1" showInputMessage="1" prompt="Dear Sir/ Madam - Score entered is greater than Max. Marks allotted." showErrorMessage="1" sqref="V115">
      <formula1>0</formula1>
      <formula2>NaN</formula2>
    </dataValidation>
    <dataValidation type="decimal" allowBlank="1" showInputMessage="1" prompt="Dear Sir/ Madam - Score entered is greater than Max. Marks allotted." showErrorMessage="1" sqref="V116">
      <formula1>0</formula1>
      <formula2>NaN</formula2>
    </dataValidation>
    <dataValidation type="decimal" allowBlank="1" showInputMessage="1" prompt="Dear Sir/ Madam - Score entered is greater than Max. Marks allotted." showErrorMessage="1" sqref="V117">
      <formula1>0</formula1>
      <formula2>NaN</formula2>
    </dataValidation>
    <dataValidation type="decimal" allowBlank="1" showInputMessage="1" prompt="Dear Sir/ Madam - Score entered is greater than Max. Marks allotted." showErrorMessage="1" sqref="V118">
      <formula1>0</formula1>
      <formula2>NaN</formula2>
    </dataValidation>
    <dataValidation type="decimal" allowBlank="1" showInputMessage="1" prompt="Dear Sir/ Madam - Score entered is greater than Max. Marks allotted." showErrorMessage="1" sqref="V119">
      <formula1>0</formula1>
      <formula2>NaN</formula2>
    </dataValidation>
    <dataValidation type="decimal" allowBlank="1" showInputMessage="1" prompt="Dear Sir/ Madam - Score entered is greater than Max. Marks allotted." showErrorMessage="1" sqref="V120">
      <formula1>0</formula1>
      <formula2>NaN</formula2>
    </dataValidation>
    <dataValidation type="decimal" allowBlank="1" showInputMessage="1" prompt="Dear Sir/ Madam - Score entered is greater than Max. Marks allotted." showErrorMessage="1" sqref="V121">
      <formula1>0</formula1>
      <formula2>NaN</formula2>
    </dataValidation>
    <dataValidation type="decimal" allowBlank="1" showInputMessage="1" prompt="Dear Sir/ Madam - Score entered is greater than Max. Marks allotted." showErrorMessage="1" sqref="V122">
      <formula1>0</formula1>
      <formula2>NaN</formula2>
    </dataValidation>
    <dataValidation type="decimal" allowBlank="1" showInputMessage="1" prompt="Dear Sir/ Madam - Score entered is greater than Max. Marks allotted." showErrorMessage="1" sqref="V123">
      <formula1>0</formula1>
      <formula2>NaN</formula2>
    </dataValidation>
    <dataValidation type="decimal" allowBlank="1" showInputMessage="1" prompt="Dear Sir/ Madam - Score entered is greater than Max. Marks allotted." showErrorMessage="1" sqref="V124">
      <formula1>0</formula1>
      <formula2>NaN</formula2>
    </dataValidation>
    <dataValidation type="decimal" allowBlank="1" showInputMessage="1" prompt="Dear Sir/ Madam - Score entered is greater than Max. Marks allotted." showErrorMessage="1" sqref="V125">
      <formula1>0</formula1>
      <formula2>NaN</formula2>
    </dataValidation>
    <dataValidation type="decimal" allowBlank="1" showInputMessage="1" prompt="Dear Sir/ Madam - Score entered is greater than Max. Marks allotted." showErrorMessage="1" sqref="V126">
      <formula1>0</formula1>
      <formula2>NaN</formula2>
    </dataValidation>
    <dataValidation type="decimal" allowBlank="1" showInputMessage="1" prompt="Dear Sir/ Madam - Score entered is greater than Max. Marks allotted." showErrorMessage="1" sqref="V127">
      <formula1>0</formula1>
      <formula2>NaN</formula2>
    </dataValidation>
    <dataValidation type="decimal" allowBlank="1" showInputMessage="1" prompt="Dear Sir/ Madam - Score entered is greater than Max. Marks allotted." showErrorMessage="1" sqref="V128">
      <formula1>0</formula1>
      <formula2>NaN</formula2>
    </dataValidation>
    <dataValidation type="decimal" allowBlank="1" showInputMessage="1" prompt="Dear Sir/ Madam - Score entered is greater than Max. Marks allotted." showErrorMessage="1" sqref="V129">
      <formula1>0</formula1>
      <formula2>NaN</formula2>
    </dataValidation>
    <dataValidation type="decimal" allowBlank="1" showInputMessage="1" prompt="Dear Sir/ Madam - Score entered is greater than Max. Marks allotted." showErrorMessage="1" sqref="V130">
      <formula1>0</formula1>
      <formula2>NaN</formula2>
    </dataValidation>
    <dataValidation type="decimal" allowBlank="1" showInputMessage="1" prompt="Dear Sir/ Madam - Score entered is greater than Max. Marks allotted." showErrorMessage="1" sqref="V131">
      <formula1>0</formula1>
      <formula2>NaN</formula2>
    </dataValidation>
    <dataValidation type="decimal" allowBlank="1" showInputMessage="1" prompt="Dear Sir/ Madam - Score entered is greater than Max. Marks allotted." showErrorMessage="1" sqref="V132">
      <formula1>0</formula1>
      <formula2>NaN</formula2>
    </dataValidation>
    <dataValidation type="decimal" allowBlank="1" showInputMessage="1" prompt="Dear Sir/ Madam - Score entered is greater than Max. Marks allotted." showErrorMessage="1" sqref="V133">
      <formula1>0</formula1>
      <formula2>NaN</formula2>
    </dataValidation>
    <dataValidation type="decimal" allowBlank="1" showInputMessage="1" prompt="Dear Sir/ Madam - Score entered is greater than Max. Marks allotted." showErrorMessage="1" sqref="V134">
      <formula1>0</formula1>
      <formula2>NaN</formula2>
    </dataValidation>
    <dataValidation type="decimal" allowBlank="1" showInputMessage="1" prompt="Dear Sir/ Madam - Score entered is greater than Max. Marks allotted." showErrorMessage="1" sqref="V135">
      <formula1>0</formula1>
      <formula2>NaN</formula2>
    </dataValidation>
    <dataValidation type="decimal" allowBlank="1" showInputMessage="1" prompt="Dear Sir/ Madam - Score entered is greater than Max. Marks allotted." showErrorMessage="1" sqref="W108">
      <formula1>0</formula1>
      <formula2>NaN</formula2>
    </dataValidation>
    <dataValidation type="decimal" allowBlank="1" showInputMessage="1" prompt="Dear Sir/ Madam - Score entered is greater than Max. Marks allotted." showErrorMessage="1" sqref="W109">
      <formula1>0</formula1>
      <formula2>NaN</formula2>
    </dataValidation>
    <dataValidation type="decimal" allowBlank="1" showInputMessage="1" prompt="Dear Sir/ Madam - Score entered is greater than Max. Marks allotted." showErrorMessage="1" sqref="W110">
      <formula1>0</formula1>
      <formula2>NaN</formula2>
    </dataValidation>
    <dataValidation type="decimal" allowBlank="1" showInputMessage="1" prompt="Dear Sir/ Madam - Score entered is greater than Max. Marks allotted." showErrorMessage="1" sqref="W111">
      <formula1>0</formula1>
      <formula2>NaN</formula2>
    </dataValidation>
    <dataValidation type="decimal" allowBlank="1" showInputMessage="1" prompt="Dear Sir/ Madam - Score entered is greater than Max. Marks allotted." showErrorMessage="1" sqref="W112">
      <formula1>0</formula1>
      <formula2>NaN</formula2>
    </dataValidation>
    <dataValidation type="decimal" allowBlank="1" showInputMessage="1" prompt="Dear Sir/ Madam - Score entered is greater than Max. Marks allotted." showErrorMessage="1" sqref="W113">
      <formula1>0</formula1>
      <formula2>NaN</formula2>
    </dataValidation>
    <dataValidation type="decimal" allowBlank="1" showInputMessage="1" prompt="Dear Sir/ Madam - Score entered is greater than Max. Marks allotted." showErrorMessage="1" sqref="W114">
      <formula1>0</formula1>
      <formula2>NaN</formula2>
    </dataValidation>
    <dataValidation type="decimal" allowBlank="1" showInputMessage="1" prompt="Dear Sir/ Madam - Score entered is greater than Max. Marks allotted." showErrorMessage="1" sqref="W115">
      <formula1>0</formula1>
      <formula2>NaN</formula2>
    </dataValidation>
    <dataValidation type="decimal" allowBlank="1" showInputMessage="1" prompt="Dear Sir/ Madam - Score entered is greater than Max. Marks allotted." showErrorMessage="1" sqref="W116">
      <formula1>0</formula1>
      <formula2>NaN</formula2>
    </dataValidation>
    <dataValidation type="decimal" allowBlank="1" showInputMessage="1" prompt="Dear Sir/ Madam - Score entered is greater than Max. Marks allotted." showErrorMessage="1" sqref="W117">
      <formula1>0</formula1>
      <formula2>NaN</formula2>
    </dataValidation>
    <dataValidation type="decimal" allowBlank="1" showInputMessage="1" prompt="Dear Sir/ Madam - Score entered is greater than Max. Marks allotted." showErrorMessage="1" sqref="W118">
      <formula1>0</formula1>
      <formula2>NaN</formula2>
    </dataValidation>
    <dataValidation type="decimal" allowBlank="1" showInputMessage="1" prompt="Dear Sir/ Madam - Score entered is greater than Max. Marks allotted." showErrorMessage="1" sqref="W119">
      <formula1>0</formula1>
      <formula2>NaN</formula2>
    </dataValidation>
    <dataValidation type="decimal" allowBlank="1" showInputMessage="1" prompt="Dear Sir/ Madam - Score entered is greater than Max. Marks allotted." showErrorMessage="1" sqref="W120">
      <formula1>0</formula1>
      <formula2>NaN</formula2>
    </dataValidation>
    <dataValidation type="decimal" allowBlank="1" showInputMessage="1" prompt="Dear Sir/ Madam - Score entered is greater than Max. Marks allotted." showErrorMessage="1" sqref="W121">
      <formula1>0</formula1>
      <formula2>NaN</formula2>
    </dataValidation>
    <dataValidation type="decimal" allowBlank="1" showInputMessage="1" prompt="Dear Sir/ Madam - Score entered is greater than Max. Marks allotted." showErrorMessage="1" sqref="W122">
      <formula1>0</formula1>
      <formula2>NaN</formula2>
    </dataValidation>
    <dataValidation type="decimal" allowBlank="1" showInputMessage="1" prompt="Dear Sir/ Madam - Score entered is greater than Max. Marks allotted." showErrorMessage="1" sqref="W123">
      <formula1>0</formula1>
      <formula2>NaN</formula2>
    </dataValidation>
    <dataValidation type="decimal" allowBlank="1" showInputMessage="1" prompt="Dear Sir/ Madam - Score entered is greater than Max. Marks allotted." showErrorMessage="1" sqref="W124">
      <formula1>0</formula1>
      <formula2>NaN</formula2>
    </dataValidation>
    <dataValidation type="decimal" allowBlank="1" showInputMessage="1" prompt="Dear Sir/ Madam - Score entered is greater than Max. Marks allotted." showErrorMessage="1" sqref="W125">
      <formula1>0</formula1>
      <formula2>NaN</formula2>
    </dataValidation>
    <dataValidation type="decimal" allowBlank="1" showInputMessage="1" prompt="Dear Sir/ Madam - Score entered is greater than Max. Marks allotted." showErrorMessage="1" sqref="W126">
      <formula1>0</formula1>
      <formula2>NaN</formula2>
    </dataValidation>
    <dataValidation type="decimal" allowBlank="1" showInputMessage="1" prompt="Dear Sir/ Madam - Score entered is greater than Max. Marks allotted." showErrorMessage="1" sqref="W127">
      <formula1>0</formula1>
      <formula2>NaN</formula2>
    </dataValidation>
    <dataValidation type="decimal" allowBlank="1" showInputMessage="1" prompt="Dear Sir/ Madam - Score entered is greater than Max. Marks allotted." showErrorMessage="1" sqref="W128">
      <formula1>0</formula1>
      <formula2>NaN</formula2>
    </dataValidation>
    <dataValidation type="decimal" allowBlank="1" showInputMessage="1" prompt="Dear Sir/ Madam - Score entered is greater than Max. Marks allotted." showErrorMessage="1" sqref="W129">
      <formula1>0</formula1>
      <formula2>NaN</formula2>
    </dataValidation>
    <dataValidation type="decimal" allowBlank="1" showInputMessage="1" prompt="Dear Sir/ Madam - Score entered is greater than Max. Marks allotted." showErrorMessage="1" sqref="W130">
      <formula1>0</formula1>
      <formula2>NaN</formula2>
    </dataValidation>
    <dataValidation type="decimal" allowBlank="1" showInputMessage="1" prompt="Dear Sir/ Madam - Score entered is greater than Max. Marks allotted." showErrorMessage="1" sqref="W131">
      <formula1>0</formula1>
      <formula2>NaN</formula2>
    </dataValidation>
    <dataValidation type="decimal" allowBlank="1" showInputMessage="1" prompt="Dear Sir/ Madam - Score entered is greater than Max. Marks allotted." showErrorMessage="1" sqref="W132">
      <formula1>0</formula1>
      <formula2>NaN</formula2>
    </dataValidation>
    <dataValidation type="decimal" allowBlank="1" showInputMessage="1" prompt="Dear Sir/ Madam - Score entered is greater than Max. Marks allotted." showErrorMessage="1" sqref="W133">
      <formula1>0</formula1>
      <formula2>NaN</formula2>
    </dataValidation>
    <dataValidation type="decimal" allowBlank="1" showInputMessage="1" prompt="Dear Sir/ Madam - Score entered is greater than Max. Marks allotted." showErrorMessage="1" sqref="W134">
      <formula1>0</formula1>
      <formula2>NaN</formula2>
    </dataValidation>
    <dataValidation type="decimal" allowBlank="1" showInputMessage="1" prompt="Dear Sir/ Madam - Score entered is greater than Max. Marks allotted." showErrorMessage="1" sqref="W135">
      <formula1>0</formula1>
      <formula2>NaN</formula2>
    </dataValidation>
    <dataValidation type="decimal" allowBlank="1" showInputMessage="1" prompt="Dear Sir/ Madam - Score entered is greater than Max. Marks allotted." showErrorMessage="1" sqref="X108">
      <formula1>0</formula1>
      <formula2>NaN</formula2>
    </dataValidation>
    <dataValidation type="decimal" allowBlank="1" showInputMessage="1" prompt="Dear Sir/ Madam - Score entered is greater than Max. Marks allotted." showErrorMessage="1" sqref="X109">
      <formula1>0</formula1>
      <formula2>NaN</formula2>
    </dataValidation>
    <dataValidation type="decimal" allowBlank="1" showInputMessage="1" prompt="Dear Sir/ Madam - Score entered is greater than Max. Marks allotted." showErrorMessage="1" sqref="X110">
      <formula1>0</formula1>
      <formula2>NaN</formula2>
    </dataValidation>
    <dataValidation type="decimal" allowBlank="1" showInputMessage="1" prompt="Dear Sir/ Madam - Score entered is greater than Max. Marks allotted." showErrorMessage="1" sqref="X111">
      <formula1>0</formula1>
      <formula2>NaN</formula2>
    </dataValidation>
    <dataValidation type="decimal" allowBlank="1" showInputMessage="1" prompt="Dear Sir/ Madam - Score entered is greater than Max. Marks allotted." showErrorMessage="1" sqref="X112">
      <formula1>0</formula1>
      <formula2>NaN</formula2>
    </dataValidation>
    <dataValidation type="decimal" allowBlank="1" showInputMessage="1" prompt="Dear Sir/ Madam - Score entered is greater than Max. Marks allotted." showErrorMessage="1" sqref="X113">
      <formula1>0</formula1>
      <formula2>NaN</formula2>
    </dataValidation>
    <dataValidation type="decimal" allowBlank="1" showInputMessage="1" prompt="Dear Sir/ Madam - Score entered is greater than Max. Marks allotted." showErrorMessage="1" sqref="X114">
      <formula1>0</formula1>
      <formula2>NaN</formula2>
    </dataValidation>
    <dataValidation type="decimal" allowBlank="1" showInputMessage="1" prompt="Dear Sir/ Madam - Score entered is greater than Max. Marks allotted." showErrorMessage="1" sqref="X115">
      <formula1>0</formula1>
      <formula2>NaN</formula2>
    </dataValidation>
    <dataValidation type="decimal" allowBlank="1" showInputMessage="1" prompt="Dear Sir/ Madam - Score entered is greater than Max. Marks allotted." showErrorMessage="1" sqref="X116">
      <formula1>0</formula1>
      <formula2>NaN</formula2>
    </dataValidation>
    <dataValidation type="decimal" allowBlank="1" showInputMessage="1" prompt="Dear Sir/ Madam - Score entered is greater than Max. Marks allotted." showErrorMessage="1" sqref="X117">
      <formula1>0</formula1>
      <formula2>NaN</formula2>
    </dataValidation>
    <dataValidation type="decimal" allowBlank="1" showInputMessage="1" prompt="Dear Sir/ Madam - Score entered is greater than Max. Marks allotted." showErrorMessage="1" sqref="X118">
      <formula1>0</formula1>
      <formula2>NaN</formula2>
    </dataValidation>
    <dataValidation type="decimal" allowBlank="1" showInputMessage="1" prompt="Dear Sir/ Madam - Score entered is greater than Max. Marks allotted." showErrorMessage="1" sqref="X119">
      <formula1>0</formula1>
      <formula2>NaN</formula2>
    </dataValidation>
    <dataValidation type="decimal" allowBlank="1" showInputMessage="1" prompt="Dear Sir/ Madam - Score entered is greater than Max. Marks allotted." showErrorMessage="1" sqref="X120">
      <formula1>0</formula1>
      <formula2>NaN</formula2>
    </dataValidation>
    <dataValidation type="decimal" allowBlank="1" showInputMessage="1" prompt="Dear Sir/ Madam - Score entered is greater than Max. Marks allotted." showErrorMessage="1" sqref="X121">
      <formula1>0</formula1>
      <formula2>NaN</formula2>
    </dataValidation>
    <dataValidation type="decimal" allowBlank="1" showInputMessage="1" prompt="Dear Sir/ Madam - Score entered is greater than Max. Marks allotted." showErrorMessage="1" sqref="X122">
      <formula1>0</formula1>
      <formula2>NaN</formula2>
    </dataValidation>
    <dataValidation type="decimal" allowBlank="1" showInputMessage="1" prompt="Dear Sir/ Madam - Score entered is greater than Max. Marks allotted." showErrorMessage="1" sqref="X123">
      <formula1>0</formula1>
      <formula2>NaN</formula2>
    </dataValidation>
    <dataValidation type="decimal" allowBlank="1" showInputMessage="1" prompt="Dear Sir/ Madam - Score entered is greater than Max. Marks allotted." showErrorMessage="1" sqref="X124">
      <formula1>0</formula1>
      <formula2>NaN</formula2>
    </dataValidation>
    <dataValidation type="decimal" allowBlank="1" showInputMessage="1" prompt="Dear Sir/ Madam - Score entered is greater than Max. Marks allotted." showErrorMessage="1" sqref="X125">
      <formula1>0</formula1>
      <formula2>NaN</formula2>
    </dataValidation>
    <dataValidation type="decimal" allowBlank="1" showInputMessage="1" prompt="Dear Sir/ Madam - Score entered is greater than Max. Marks allotted." showErrorMessage="1" sqref="X126">
      <formula1>0</formula1>
      <formula2>NaN</formula2>
    </dataValidation>
    <dataValidation type="decimal" allowBlank="1" showInputMessage="1" prompt="Dear Sir/ Madam - Score entered is greater than Max. Marks allotted." showErrorMessage="1" sqref="X127">
      <formula1>0</formula1>
      <formula2>NaN</formula2>
    </dataValidation>
    <dataValidation type="decimal" allowBlank="1" showInputMessage="1" prompt="Dear Sir/ Madam - Score entered is greater than Max. Marks allotted." showErrorMessage="1" sqref="X128">
      <formula1>0</formula1>
      <formula2>NaN</formula2>
    </dataValidation>
    <dataValidation type="decimal" allowBlank="1" showInputMessage="1" prompt="Dear Sir/ Madam - Score entered is greater than Max. Marks allotted." showErrorMessage="1" sqref="X129">
      <formula1>0</formula1>
      <formula2>NaN</formula2>
    </dataValidation>
    <dataValidation type="decimal" allowBlank="1" showInputMessage="1" prompt="Dear Sir/ Madam - Score entered is greater than Max. Marks allotted." showErrorMessage="1" sqref="X130">
      <formula1>0</formula1>
      <formula2>NaN</formula2>
    </dataValidation>
    <dataValidation type="decimal" allowBlank="1" showInputMessage="1" prompt="Dear Sir/ Madam - Score entered is greater than Max. Marks allotted." showErrorMessage="1" sqref="X131">
      <formula1>0</formula1>
      <formula2>NaN</formula2>
    </dataValidation>
    <dataValidation type="decimal" allowBlank="1" showInputMessage="1" prompt="Dear Sir/ Madam - Score entered is greater than Max. Marks allotted." showErrorMessage="1" sqref="X132">
      <formula1>0</formula1>
      <formula2>NaN</formula2>
    </dataValidation>
    <dataValidation type="decimal" allowBlank="1" showInputMessage="1" prompt="Dear Sir/ Madam - Score entered is greater than Max. Marks allotted." showErrorMessage="1" sqref="X133">
      <formula1>0</formula1>
      <formula2>NaN</formula2>
    </dataValidation>
    <dataValidation type="decimal" allowBlank="1" showInputMessage="1" prompt="Dear Sir/ Madam - Score entered is greater than Max. Marks allotted." showErrorMessage="1" sqref="X134">
      <formula1>0</formula1>
      <formula2>NaN</formula2>
    </dataValidation>
    <dataValidation type="decimal" allowBlank="1" showInputMessage="1" prompt="Dear Sir/ Madam - Score entered is greater than Max. Marks allotted." showErrorMessage="1" sqref="X135">
      <formula1>0</formula1>
      <formula2>NaN</formula2>
    </dataValidation>
    <dataValidation type="decimal" allowBlank="1" showInputMessage="1" prompt="Dear Sir/ Madam - Score entered is greater than Max. Marks allotted." showErrorMessage="1" sqref="Y108">
      <formula1>0</formula1>
      <formula2>NaN</formula2>
    </dataValidation>
    <dataValidation type="decimal" allowBlank="1" showInputMessage="1" prompt="Dear Sir/ Madam - Score entered is greater than Max. Marks allotted." showErrorMessage="1" sqref="Y109">
      <formula1>0</formula1>
      <formula2>NaN</formula2>
    </dataValidation>
    <dataValidation type="decimal" allowBlank="1" showInputMessage="1" prompt="Dear Sir/ Madam - Score entered is greater than Max. Marks allotted." showErrorMessage="1" sqref="Y110">
      <formula1>0</formula1>
      <formula2>NaN</formula2>
    </dataValidation>
    <dataValidation type="decimal" allowBlank="1" showInputMessage="1" prompt="Dear Sir/ Madam - Score entered is greater than Max. Marks allotted." showErrorMessage="1" sqref="Y111">
      <formula1>0</formula1>
      <formula2>NaN</formula2>
    </dataValidation>
    <dataValidation type="decimal" allowBlank="1" showInputMessage="1" prompt="Dear Sir/ Madam - Score entered is greater than Max. Marks allotted." showErrorMessage="1" sqref="Y112">
      <formula1>0</formula1>
      <formula2>NaN</formula2>
    </dataValidation>
    <dataValidation type="decimal" allowBlank="1" showInputMessage="1" prompt="Dear Sir/ Madam - Score entered is greater than Max. Marks allotted." showErrorMessage="1" sqref="Y113">
      <formula1>0</formula1>
      <formula2>NaN</formula2>
    </dataValidation>
    <dataValidation type="decimal" allowBlank="1" showInputMessage="1" prompt="Dear Sir/ Madam - Score entered is greater than Max. Marks allotted." showErrorMessage="1" sqref="Y114">
      <formula1>0</formula1>
      <formula2>NaN</formula2>
    </dataValidation>
    <dataValidation type="decimal" allowBlank="1" showInputMessage="1" prompt="Dear Sir/ Madam - Score entered is greater than Max. Marks allotted." showErrorMessage="1" sqref="Y115">
      <formula1>0</formula1>
      <formula2>NaN</formula2>
    </dataValidation>
    <dataValidation type="decimal" allowBlank="1" showInputMessage="1" prompt="Dear Sir/ Madam - Score entered is greater than Max. Marks allotted." showErrorMessage="1" sqref="Y116">
      <formula1>0</formula1>
      <formula2>NaN</formula2>
    </dataValidation>
    <dataValidation type="decimal" allowBlank="1" showInputMessage="1" prompt="Dear Sir/ Madam - Score entered is greater than Max. Marks allotted." showErrorMessage="1" sqref="Y117">
      <formula1>0</formula1>
      <formula2>NaN</formula2>
    </dataValidation>
    <dataValidation type="decimal" allowBlank="1" showInputMessage="1" prompt="Dear Sir/ Madam - Score entered is greater than Max. Marks allotted." showErrorMessage="1" sqref="Y118">
      <formula1>0</formula1>
      <formula2>NaN</formula2>
    </dataValidation>
    <dataValidation type="decimal" allowBlank="1" showInputMessage="1" prompt="Dear Sir/ Madam - Score entered is greater than Max. Marks allotted." showErrorMessage="1" sqref="Y119">
      <formula1>0</formula1>
      <formula2>NaN</formula2>
    </dataValidation>
    <dataValidation type="decimal" allowBlank="1" showInputMessage="1" prompt="Dear Sir/ Madam - Score entered is greater than Max. Marks allotted." showErrorMessage="1" sqref="Y120">
      <formula1>0</formula1>
      <formula2>NaN</formula2>
    </dataValidation>
    <dataValidation type="decimal" allowBlank="1" showInputMessage="1" prompt="Dear Sir/ Madam - Score entered is greater than Max. Marks allotted." showErrorMessage="1" sqref="Y121">
      <formula1>0</formula1>
      <formula2>NaN</formula2>
    </dataValidation>
    <dataValidation type="decimal" allowBlank="1" showInputMessage="1" prompt="Dear Sir/ Madam - Score entered is greater than Max. Marks allotted." showErrorMessage="1" sqref="Y122">
      <formula1>0</formula1>
      <formula2>NaN</formula2>
    </dataValidation>
    <dataValidation type="decimal" allowBlank="1" showInputMessage="1" prompt="Dear Sir/ Madam - Score entered is greater than Max. Marks allotted." showErrorMessage="1" sqref="Y123">
      <formula1>0</formula1>
      <formula2>NaN</formula2>
    </dataValidation>
    <dataValidation type="decimal" allowBlank="1" showInputMessage="1" prompt="Dear Sir/ Madam - Score entered is greater than Max. Marks allotted." showErrorMessage="1" sqref="Y124">
      <formula1>0</formula1>
      <formula2>NaN</formula2>
    </dataValidation>
    <dataValidation type="decimal" allowBlank="1" showInputMessage="1" prompt="Dear Sir/ Madam - Score entered is greater than Max. Marks allotted." showErrorMessage="1" sqref="Y125">
      <formula1>0</formula1>
      <formula2>NaN</formula2>
    </dataValidation>
    <dataValidation type="decimal" allowBlank="1" showInputMessage="1" prompt="Dear Sir/ Madam - Score entered is greater than Max. Marks allotted." showErrorMessage="1" sqref="Y126">
      <formula1>0</formula1>
      <formula2>NaN</formula2>
    </dataValidation>
    <dataValidation type="decimal" allowBlank="1" showInputMessage="1" prompt="Dear Sir/ Madam - Score entered is greater than Max. Marks allotted." showErrorMessage="1" sqref="Y127">
      <formula1>0</formula1>
      <formula2>NaN</formula2>
    </dataValidation>
    <dataValidation type="decimal" allowBlank="1" showInputMessage="1" prompt="Dear Sir/ Madam - Score entered is greater than Max. Marks allotted." showErrorMessage="1" sqref="Y128">
      <formula1>0</formula1>
      <formula2>NaN</formula2>
    </dataValidation>
    <dataValidation type="decimal" allowBlank="1" showInputMessage="1" prompt="Dear Sir/ Madam - Score entered is greater than Max. Marks allotted." showErrorMessage="1" sqref="Y129">
      <formula1>0</formula1>
      <formula2>NaN</formula2>
    </dataValidation>
    <dataValidation type="decimal" allowBlank="1" showInputMessage="1" prompt="Dear Sir/ Madam - Score entered is greater than Max. Marks allotted." showErrorMessage="1" sqref="Y130">
      <formula1>0</formula1>
      <formula2>NaN</formula2>
    </dataValidation>
    <dataValidation type="decimal" allowBlank="1" showInputMessage="1" prompt="Dear Sir/ Madam - Score entered is greater than Max. Marks allotted." showErrorMessage="1" sqref="Y131">
      <formula1>0</formula1>
      <formula2>NaN</formula2>
    </dataValidation>
    <dataValidation type="decimal" allowBlank="1" showInputMessage="1" prompt="Dear Sir/ Madam - Score entered is greater than Max. Marks allotted." showErrorMessage="1" sqref="Y132">
      <formula1>0</formula1>
      <formula2>NaN</formula2>
    </dataValidation>
    <dataValidation type="decimal" allowBlank="1" showInputMessage="1" prompt="Dear Sir/ Madam - Score entered is greater than Max. Marks allotted." showErrorMessage="1" sqref="Y133">
      <formula1>0</formula1>
      <formula2>NaN</formula2>
    </dataValidation>
    <dataValidation type="decimal" allowBlank="1" showInputMessage="1" prompt="Dear Sir/ Madam - Score entered is greater than Max. Marks allotted." showErrorMessage="1" sqref="Y134">
      <formula1>0</formula1>
      <formula2>NaN</formula2>
    </dataValidation>
    <dataValidation type="decimal" allowBlank="1" showInputMessage="1" prompt="Dear Sir/ Madam - Score entered is greater than Max. Marks allotted." showErrorMessage="1" sqref="Y135">
      <formula1>0</formula1>
      <formula2>NaN</formula2>
    </dataValidation>
    <dataValidation type="decimal" allowBlank="1" showInputMessage="1" prompt="Dear Sir/ Madam - Score entered is greater than Max. Marks allotted." showErrorMessage="1" sqref="Z108">
      <formula1>0</formula1>
      <formula2>NaN</formula2>
    </dataValidation>
    <dataValidation type="decimal" allowBlank="1" showInputMessage="1" prompt="Dear Sir/ Madam - Score entered is greater than Max. Marks allotted." showErrorMessage="1" sqref="Z109">
      <formula1>0</formula1>
      <formula2>NaN</formula2>
    </dataValidation>
    <dataValidation type="decimal" allowBlank="1" showInputMessage="1" prompt="Dear Sir/ Madam - Score entered is greater than Max. Marks allotted." showErrorMessage="1" sqref="Z110">
      <formula1>0</formula1>
      <formula2>NaN</formula2>
    </dataValidation>
    <dataValidation type="decimal" allowBlank="1" showInputMessage="1" prompt="Dear Sir/ Madam - Score entered is greater than Max. Marks allotted." showErrorMessage="1" sqref="Z111">
      <formula1>0</formula1>
      <formula2>NaN</formula2>
    </dataValidation>
    <dataValidation type="decimal" allowBlank="1" showInputMessage="1" prompt="Dear Sir/ Madam - Score entered is greater than Max. Marks allotted." showErrorMessage="1" sqref="Z112">
      <formula1>0</formula1>
      <formula2>NaN</formula2>
    </dataValidation>
    <dataValidation type="decimal" allowBlank="1" showInputMessage="1" prompt="Dear Sir/ Madam - Score entered is greater than Max. Marks allotted." showErrorMessage="1" sqref="Z113">
      <formula1>0</formula1>
      <formula2>NaN</formula2>
    </dataValidation>
    <dataValidation type="decimal" allowBlank="1" showInputMessage="1" prompt="Dear Sir/ Madam - Score entered is greater than Max. Marks allotted." showErrorMessage="1" sqref="Z114">
      <formula1>0</formula1>
      <formula2>NaN</formula2>
    </dataValidation>
    <dataValidation type="decimal" allowBlank="1" showInputMessage="1" prompt="Dear Sir/ Madam - Score entered is greater than Max. Marks allotted." showErrorMessage="1" sqref="Z115">
      <formula1>0</formula1>
      <formula2>NaN</formula2>
    </dataValidation>
    <dataValidation type="decimal" allowBlank="1" showInputMessage="1" prompt="Dear Sir/ Madam - Score entered is greater than Max. Marks allotted." showErrorMessage="1" sqref="Z116">
      <formula1>0</formula1>
      <formula2>NaN</formula2>
    </dataValidation>
    <dataValidation type="decimal" allowBlank="1" showInputMessage="1" prompt="Dear Sir/ Madam - Score entered is greater than Max. Marks allotted." showErrorMessage="1" sqref="Z117">
      <formula1>0</formula1>
      <formula2>NaN</formula2>
    </dataValidation>
    <dataValidation type="decimal" allowBlank="1" showInputMessage="1" prompt="Dear Sir/ Madam - Score entered is greater than Max. Marks allotted." showErrorMessage="1" sqref="Z118">
      <formula1>0</formula1>
      <formula2>NaN</formula2>
    </dataValidation>
    <dataValidation type="decimal" allowBlank="1" showInputMessage="1" prompt="Dear Sir/ Madam - Score entered is greater than Max. Marks allotted." showErrorMessage="1" sqref="Z119">
      <formula1>0</formula1>
      <formula2>NaN</formula2>
    </dataValidation>
    <dataValidation type="decimal" allowBlank="1" showInputMessage="1" prompt="Dear Sir/ Madam - Score entered is greater than Max. Marks allotted." showErrorMessage="1" sqref="Z120">
      <formula1>0</formula1>
      <formula2>NaN</formula2>
    </dataValidation>
    <dataValidation type="decimal" allowBlank="1" showInputMessage="1" prompt="Dear Sir/ Madam - Score entered is greater than Max. Marks allotted." showErrorMessage="1" sqref="Z121">
      <formula1>0</formula1>
      <formula2>NaN</formula2>
    </dataValidation>
    <dataValidation type="decimal" allowBlank="1" showInputMessage="1" prompt="Dear Sir/ Madam - Score entered is greater than Max. Marks allotted." showErrorMessage="1" sqref="Z122">
      <formula1>0</formula1>
      <formula2>NaN</formula2>
    </dataValidation>
    <dataValidation type="decimal" allowBlank="1" showInputMessage="1" prompt="Dear Sir/ Madam - Score entered is greater than Max. Marks allotted." showErrorMessage="1" sqref="Z123">
      <formula1>0</formula1>
      <formula2>NaN</formula2>
    </dataValidation>
    <dataValidation type="decimal" allowBlank="1" showInputMessage="1" prompt="Dear Sir/ Madam - Score entered is greater than Max. Marks allotted." showErrorMessage="1" sqref="Z124">
      <formula1>0</formula1>
      <formula2>NaN</formula2>
    </dataValidation>
    <dataValidation type="decimal" allowBlank="1" showInputMessage="1" prompt="Dear Sir/ Madam - Score entered is greater than Max. Marks allotted." showErrorMessage="1" sqref="Z125">
      <formula1>0</formula1>
      <formula2>NaN</formula2>
    </dataValidation>
    <dataValidation type="decimal" allowBlank="1" showInputMessage="1" prompt="Dear Sir/ Madam - Score entered is greater than Max. Marks allotted." showErrorMessage="1" sqref="Z126">
      <formula1>0</formula1>
      <formula2>NaN</formula2>
    </dataValidation>
    <dataValidation type="decimal" allowBlank="1" showInputMessage="1" prompt="Dear Sir/ Madam - Score entered is greater than Max. Marks allotted." showErrorMessage="1" sqref="Z127">
      <formula1>0</formula1>
      <formula2>NaN</formula2>
    </dataValidation>
    <dataValidation type="decimal" allowBlank="1" showInputMessage="1" prompt="Dear Sir/ Madam - Score entered is greater than Max. Marks allotted." showErrorMessage="1" sqref="Z128">
      <formula1>0</formula1>
      <formula2>NaN</formula2>
    </dataValidation>
    <dataValidation type="decimal" allowBlank="1" showInputMessage="1" prompt="Dear Sir/ Madam - Score entered is greater than Max. Marks allotted." showErrorMessage="1" sqref="Z129">
      <formula1>0</formula1>
      <formula2>NaN</formula2>
    </dataValidation>
    <dataValidation type="decimal" allowBlank="1" showInputMessage="1" prompt="Dear Sir/ Madam - Score entered is greater than Max. Marks allotted." showErrorMessage="1" sqref="Z130">
      <formula1>0</formula1>
      <formula2>NaN</formula2>
    </dataValidation>
    <dataValidation type="decimal" allowBlank="1" showInputMessage="1" prompt="Dear Sir/ Madam - Score entered is greater than Max. Marks allotted." showErrorMessage="1" sqref="Z131">
      <formula1>0</formula1>
      <formula2>NaN</formula2>
    </dataValidation>
    <dataValidation type="decimal" allowBlank="1" showInputMessage="1" prompt="Dear Sir/ Madam - Score entered is greater than Max. Marks allotted." showErrorMessage="1" sqref="Z132">
      <formula1>0</formula1>
      <formula2>NaN</formula2>
    </dataValidation>
    <dataValidation type="decimal" allowBlank="1" showInputMessage="1" prompt="Dear Sir/ Madam - Score entered is greater than Max. Marks allotted." showErrorMessage="1" sqref="Z133">
      <formula1>0</formula1>
      <formula2>NaN</formula2>
    </dataValidation>
    <dataValidation type="decimal" allowBlank="1" showInputMessage="1" prompt="Dear Sir/ Madam - Score entered is greater than Max. Marks allotted." showErrorMessage="1" sqref="Z134">
      <formula1>0</formula1>
      <formula2>NaN</formula2>
    </dataValidation>
    <dataValidation type="decimal" allowBlank="1" showInputMessage="1" prompt="Dear Sir/ Madam - Score entered is greater than Max. Marks allotted." showErrorMessage="1" sqref="Z135">
      <formula1>0</formula1>
      <formula2>NaN</formula2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workbookViewId="0" zoomScale="100" zoomScaleNormal="100">
      <selection activeCell="B20" sqref="B20"/>
    </sheetView>
  </sheetViews>
  <sheetFormatPr defaultRowHeight="15" outlineLevelRow="0" outlineLevelCol="0" x14ac:dyDescent="0.3" defaultColWidth="14.44140625"/>
  <cols>
    <col min="1" max="1" width="32.88671875" customWidth="1"/>
    <col min="2" max="2" width="29.44140625" customWidth="1"/>
    <col min="3" max="3" width="33.88671875" customWidth="1"/>
    <col min="4" max="4" width="34.5546875" customWidth="1"/>
    <col min="5" max="5" width="32.5546875" customWidth="1"/>
    <col min="6" max="7" width="31.109375" customWidth="1"/>
  </cols>
  <sheetData>
    <row r="1" ht="45" customHeight="1" spans="1:27" x14ac:dyDescent="0.25">
      <c r="A1" s="174" t="str">
        <f>'IA Marks'!D1</f>
        <v>
</v>
      </c>
      <c r="B1" s="3"/>
      <c r="C1" s="3"/>
      <c r="D1" s="3"/>
      <c r="E1" s="3"/>
      <c r="F1" s="3"/>
      <c r="G1" s="55"/>
      <c r="H1" s="220"/>
      <c r="I1" s="220"/>
      <c r="J1" s="22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" customHeight="1" spans="1:27" x14ac:dyDescent="0.25">
      <c r="A2" s="221"/>
      <c r="B2" s="222"/>
      <c r="C2" s="222"/>
      <c r="D2" s="222"/>
      <c r="E2" s="222"/>
      <c r="F2" s="222"/>
      <c r="H2" s="220"/>
      <c r="I2" s="220"/>
      <c r="J2" s="22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" customHeight="1" spans="1:27" x14ac:dyDescent="0.25">
      <c r="A3" s="23" t="str">
        <f>'IA Marks'!D3</f>
        <v>Department of Computer Science and Engineering - Cyber Security Program</v>
      </c>
      <c r="B3" s="24"/>
      <c r="C3" s="24"/>
      <c r="D3" s="24"/>
      <c r="E3" s="24"/>
      <c r="F3" s="24"/>
      <c r="G3" s="55"/>
      <c r="H3" s="223"/>
      <c r="I3" s="223"/>
      <c r="J3" s="22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 spans="1:27" x14ac:dyDescent="0.25">
      <c r="A4" s="224" t="s">
        <v>198</v>
      </c>
      <c r="B4" s="225" t="str">
        <f>'IA Marks'!AP4&amp;".1"</f>
        <v>S23CY304PC.1</v>
      </c>
      <c r="C4" s="226" t="str">
        <f>'IA Marks'!AP4&amp;".2"</f>
        <v>S23CY304PC.2</v>
      </c>
      <c r="D4" s="226" t="str">
        <f>'IA Marks'!AP4&amp;".3"</f>
        <v>S23CY304PC.3</v>
      </c>
      <c r="E4" s="226" t="str">
        <f>'IA Marks'!AP4&amp;".4"</f>
        <v>S23CY304PC.4</v>
      </c>
      <c r="F4" s="227" t="str">
        <f>'IA Marks'!AP4&amp;".5"</f>
        <v>S23CY304PC.5</v>
      </c>
      <c r="G4" s="227" t="str">
        <f>'IA Marks'!AP4&amp;".6"</f>
        <v>S23CY304PC.6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 spans="1:27" x14ac:dyDescent="0.25">
      <c r="A5" s="228"/>
      <c r="B5" s="229" t="s">
        <v>199</v>
      </c>
      <c r="C5" s="230" t="s">
        <v>200</v>
      </c>
      <c r="D5" s="230" t="s">
        <v>201</v>
      </c>
      <c r="E5" s="231" t="s">
        <v>202</v>
      </c>
      <c r="F5" s="232" t="s">
        <v>203</v>
      </c>
      <c r="G5" s="233" t="s">
        <v>204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 spans="1:27" x14ac:dyDescent="0.25">
      <c r="A6" s="228"/>
      <c r="B6" s="234"/>
      <c r="C6" s="235"/>
      <c r="D6" s="235"/>
      <c r="E6" s="236"/>
      <c r="F6" s="235"/>
      <c r="G6" s="23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 spans="1:27" x14ac:dyDescent="0.25">
      <c r="A7" s="238" t="s">
        <v>205</v>
      </c>
      <c r="B7" s="239">
        <f>'IA Marks'!AY4</f>
        <v>109</v>
      </c>
      <c r="C7" s="33"/>
      <c r="D7" s="33"/>
      <c r="E7" s="33"/>
      <c r="F7" s="33"/>
      <c r="G7" s="5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 spans="1:27" x14ac:dyDescent="0.25">
      <c r="A8" s="240"/>
      <c r="B8" s="241">
        <f t="shared" ref="B8:G8" si="0">B13</f>
        <v>54.403669724770644</v>
      </c>
      <c r="C8" s="241">
        <f t="shared" si="0"/>
        <v>54.03669724770642</v>
      </c>
      <c r="D8" s="241">
        <f t="shared" si="0"/>
        <v>54.31192660550459</v>
      </c>
      <c r="E8" s="241">
        <f t="shared" si="0"/>
        <v>52.477064220183486</v>
      </c>
      <c r="F8" s="241">
        <f t="shared" si="0"/>
        <v>59.449541284403665</v>
      </c>
      <c r="G8" s="241">
        <f t="shared" si="0"/>
        <v>0</v>
      </c>
      <c r="H8" s="1"/>
      <c r="I8" s="1"/>
      <c r="J8" s="1">
        <f>((5/11)*100)/3</f>
        <v>15.15151515151515</v>
      </c>
      <c r="K8" s="1"/>
      <c r="L8" s="1"/>
      <c r="M8" s="1"/>
      <c r="N8" s="1">
        <f>((5/11)*100)/3</f>
        <v>15.15151515151515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6" customHeight="1" spans="1:27" x14ac:dyDescent="0.25">
      <c r="A9" s="242" t="s">
        <v>206</v>
      </c>
      <c r="B9" s="243">
        <f>IF(B8&lt;'IA Marks'!BK1,0,IF(B8&gt;='IA Marks'!BK3,3,IF(B8&gt;='IA Marks'!BK2,2,1)))</f>
        <v>2</v>
      </c>
      <c r="C9" s="244">
        <f>IF(C8&lt;'IA Marks'!BK1,0,IF(C8&gt;='IA Marks'!BK3,3,IF(C8&gt;='IA Marks'!BK2,2,1)))</f>
        <v>2</v>
      </c>
      <c r="D9" s="244">
        <f>IF(D8&lt;'IA Marks'!BK1,0,IF(D8&gt;='IA Marks'!BK3,3,IF(D8&gt;='IA Marks'!BK2,2,1)))</f>
        <v>2</v>
      </c>
      <c r="E9" s="244">
        <f>IF(E8&lt;'IA Marks'!BK1,0,IF(E8&gt;='IA Marks'!BK3,3,IF(E8&gt;='IA Marks'!BK2,2,1)))</f>
        <v>2</v>
      </c>
      <c r="F9" s="244">
        <f>IF(F8&lt;'IA Marks'!BK1,0,IF(F8&gt;='IA Marks'!BK3,3,IF(F8&gt;='IA Marks'!BK2,2,1)))</f>
        <v>2</v>
      </c>
      <c r="G9" s="244">
        <f>IF(G8&lt;'IA Marks'!BK1,0,IF(G8&gt;='IA Marks'!BK3,3,IF(G8&gt;='IA Marks'!BK2,2,1)))</f>
        <v>0</v>
      </c>
      <c r="H9" s="1"/>
      <c r="I9" s="1"/>
      <c r="J9" s="1">
        <f>J8*100</f>
        <v>1515.151515151515</v>
      </c>
      <c r="K9" s="1"/>
      <c r="L9" s="1"/>
      <c r="M9" s="1"/>
      <c r="N9" s="1">
        <f>N8*100</f>
        <v>1515.151515151515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 spans="1:27" x14ac:dyDescent="0.25">
      <c r="A10" s="245" t="s">
        <v>207</v>
      </c>
      <c r="B10" s="151">
        <v>1</v>
      </c>
      <c r="C10" s="151">
        <v>3</v>
      </c>
      <c r="D10" s="151">
        <v>4</v>
      </c>
      <c r="E10" s="151">
        <v>9</v>
      </c>
      <c r="F10" s="151">
        <v>1</v>
      </c>
      <c r="G10" s="151"/>
      <c r="H10" s="246">
        <v>0.3</v>
      </c>
      <c r="I10" s="1"/>
      <c r="J10" s="1"/>
      <c r="K10" s="1"/>
      <c r="L10" s="246">
        <v>0.3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 spans="1:27" x14ac:dyDescent="0.25">
      <c r="A11" s="247" t="s">
        <v>208</v>
      </c>
      <c r="B11" s="151">
        <v>52</v>
      </c>
      <c r="C11" s="151">
        <v>50</v>
      </c>
      <c r="D11" s="151">
        <v>48</v>
      </c>
      <c r="E11" s="151">
        <v>45</v>
      </c>
      <c r="F11" s="151">
        <v>41</v>
      </c>
      <c r="G11" s="151"/>
      <c r="H11" s="246">
        <v>0.5</v>
      </c>
      <c r="I11" s="1"/>
      <c r="J11" s="1"/>
      <c r="K11" s="1"/>
      <c r="L11" s="246">
        <v>0.5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 spans="1:27" x14ac:dyDescent="0.25">
      <c r="A12" s="245" t="s">
        <v>209</v>
      </c>
      <c r="B12" s="151">
        <v>33</v>
      </c>
      <c r="C12" s="151">
        <v>33</v>
      </c>
      <c r="D12" s="151">
        <v>34</v>
      </c>
      <c r="E12" s="151">
        <v>32</v>
      </c>
      <c r="F12" s="151">
        <v>44</v>
      </c>
      <c r="G12" s="151"/>
      <c r="H12" s="246">
        <v>1</v>
      </c>
      <c r="I12" s="1"/>
      <c r="J12" s="1"/>
      <c r="K12" s="1"/>
      <c r="L12" s="246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 spans="1:27" x14ac:dyDescent="0.25">
      <c r="A13" s="248"/>
      <c r="B13" s="249">
        <f t="shared" ref="B13:G13" si="1">(SUMPRODUCT(B10:B12,$H$10:$H$12)/$B$7)*100</f>
        <v>54.403669724770644</v>
      </c>
      <c r="C13" s="249">
        <f t="shared" si="1"/>
        <v>54.03669724770642</v>
      </c>
      <c r="D13" s="249">
        <f t="shared" si="1"/>
        <v>54.31192660550459</v>
      </c>
      <c r="E13" s="249">
        <f t="shared" si="1"/>
        <v>52.477064220183486</v>
      </c>
      <c r="F13" s="249">
        <f t="shared" si="1"/>
        <v>59.449541284403665</v>
      </c>
      <c r="G13" s="249">
        <f t="shared" si="1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 spans="2:27" x14ac:dyDescent="0.25">
      <c r="B14" s="250">
        <f t="shared" ref="B14:G14" si="2">SUM(B10:B12)</f>
        <v>86</v>
      </c>
      <c r="C14" s="250">
        <f t="shared" si="2"/>
        <v>86</v>
      </c>
      <c r="D14" s="250">
        <f t="shared" si="2"/>
        <v>86</v>
      </c>
      <c r="E14" s="250">
        <f t="shared" si="2"/>
        <v>86</v>
      </c>
      <c r="F14" s="250">
        <f t="shared" si="2"/>
        <v>86</v>
      </c>
      <c r="G14" s="250">
        <f t="shared" si="2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 spans="1:27" x14ac:dyDescent="0.25">
      <c r="A16" s="57" t="str">
        <f>'IA Marks'!BN5</f>
        <v>Attainment Level 1: 40% of maximum marks 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 spans="1:27" x14ac:dyDescent="0.25">
      <c r="A17" s="57" t="str">
        <f>'IA Marks'!BN6</f>
        <v>Attainment Level 2: 50% of maximum marks 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 spans="1:27" x14ac:dyDescent="0.25">
      <c r="A18" s="57" t="str">
        <f>'IA Marks'!BN7</f>
        <v>Attainment Level 3: 60% of maximum marks 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 spans="1:27" x14ac:dyDescent="0.25">
      <c r="A19" s="251" t="s">
        <v>210</v>
      </c>
      <c r="B19" s="3"/>
      <c r="C19" s="3"/>
      <c r="D19" s="3"/>
      <c r="E19" s="3"/>
      <c r="F19" s="3"/>
      <c r="G19" s="5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9.5" customHeight="1" spans="1:27" x14ac:dyDescent="0.25">
      <c r="A20" s="252" t="str">
        <f>'IA Marks'!AP4&amp;".1"</f>
        <v>S23CY304PC.1</v>
      </c>
      <c r="B20" s="253" t="s">
        <v>211</v>
      </c>
      <c r="C20" s="254"/>
      <c r="D20" s="254"/>
      <c r="E20" s="254"/>
      <c r="F20" s="255"/>
      <c r="G20" s="5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9.5" customHeight="1" spans="1:27" x14ac:dyDescent="0.25">
      <c r="A21" s="256" t="str">
        <f>'IA Marks'!AP4&amp;".2"</f>
        <v>S23CY304PC.2</v>
      </c>
      <c r="B21" s="257" t="s">
        <v>212</v>
      </c>
      <c r="C21" s="258"/>
      <c r="D21" s="258"/>
      <c r="E21" s="258"/>
      <c r="F21" s="259"/>
      <c r="G21" s="5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9.5" customHeight="1" spans="1:27" x14ac:dyDescent="0.25">
      <c r="A22" s="256" t="str">
        <f>'IA Marks'!AP4&amp;".3"</f>
        <v>S23CY304PC.3</v>
      </c>
      <c r="B22" s="257" t="s">
        <v>213</v>
      </c>
      <c r="C22" s="258"/>
      <c r="D22" s="258"/>
      <c r="E22" s="258"/>
      <c r="F22" s="258"/>
      <c r="G22" s="5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9.5" customHeight="1" spans="1:27" x14ac:dyDescent="0.25">
      <c r="A23" s="256" t="str">
        <f>'IA Marks'!AP4&amp;".4"</f>
        <v>S23CY304PC.4</v>
      </c>
      <c r="B23" s="257" t="s">
        <v>214</v>
      </c>
      <c r="C23" s="258"/>
      <c r="D23" s="258"/>
      <c r="E23" s="258"/>
      <c r="F23" s="258"/>
      <c r="G23" s="5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 spans="1:27" x14ac:dyDescent="0.25">
      <c r="A24" s="256" t="str">
        <f>'IA Marks'!AP4&amp;".5"</f>
        <v>S23CY304PC.5</v>
      </c>
      <c r="B24" s="257" t="s">
        <v>215</v>
      </c>
      <c r="C24" s="258"/>
      <c r="D24" s="258"/>
      <c r="E24" s="258"/>
      <c r="F24" s="258"/>
      <c r="G24" s="5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 spans="1:27" x14ac:dyDescent="0.25">
      <c r="A25" s="256" t="str">
        <f>'IA Marks'!AP4&amp;".6"</f>
        <v>S23CY304PC.6</v>
      </c>
      <c r="B25" s="257"/>
      <c r="C25" s="258"/>
      <c r="D25" s="258"/>
      <c r="E25" s="258"/>
      <c r="F25" s="25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7">
    <mergeCell ref="A1:F2"/>
    <mergeCell ref="A3:F3"/>
    <mergeCell ref="A4:A6"/>
    <mergeCell ref="B5:B6"/>
    <mergeCell ref="C5:C6"/>
    <mergeCell ref="D5:D6"/>
    <mergeCell ref="E5:E6"/>
    <mergeCell ref="F5:F6"/>
    <mergeCell ref="G5:G6"/>
    <mergeCell ref="B7:F7"/>
    <mergeCell ref="A19:F19"/>
    <mergeCell ref="B20:F20"/>
    <mergeCell ref="B21:F21"/>
    <mergeCell ref="B22:F22"/>
    <mergeCell ref="B23:F23"/>
    <mergeCell ref="B24:F24"/>
    <mergeCell ref="B25:F25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03"/>
  <sheetViews>
    <sheetView workbookViewId="0" zoomScale="100" zoomScaleNormal="100">
      <selection activeCell="D39" sqref="D39"/>
    </sheetView>
  </sheetViews>
  <sheetFormatPr defaultRowHeight="15" outlineLevelRow="0" outlineLevelCol="0" x14ac:dyDescent="0.3" defaultColWidth="14.44140625"/>
  <cols>
    <col min="1" max="1" width="23" customWidth="1"/>
    <col min="2" max="2" width="11" customWidth="1"/>
    <col min="3" max="3" width="11.88671875" customWidth="1"/>
    <col min="4" max="4" width="11.5546875" customWidth="1"/>
    <col min="5" max="14" width="11" customWidth="1"/>
    <col min="15" max="15" width="10" customWidth="1"/>
    <col min="16" max="18" width="11" customWidth="1"/>
    <col min="19" max="27" width="9.109375" customWidth="1"/>
  </cols>
  <sheetData>
    <row r="1" ht="15.6" customHeight="1" spans="1:27" x14ac:dyDescent="0.25">
      <c r="A1" s="290" t="s">
        <v>232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" customHeight="1" spans="1:27" x14ac:dyDescent="0.25">
      <c r="A2" s="291" t="str">
        <f>'IA Marks'!D1</f>
        <v>
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6" customHeight="1" spans="1:27" x14ac:dyDescent="0.25">
      <c r="A3" s="294" t="str">
        <f>'IA Marks'!D3</f>
        <v>Department of Computer Science and Engineering - Cyber Security Program</v>
      </c>
      <c r="B3" s="42"/>
      <c r="C3" s="295"/>
      <c r="D3" s="295"/>
      <c r="E3" s="295"/>
      <c r="F3" s="295"/>
      <c r="G3" s="42"/>
      <c r="H3" s="42"/>
      <c r="I3" s="42"/>
      <c r="J3" s="42"/>
      <c r="K3" s="42"/>
      <c r="L3" s="42"/>
      <c r="M3" s="42"/>
      <c r="N3" s="42"/>
      <c r="O3" s="10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 spans="1:27" x14ac:dyDescent="0.25">
      <c r="A4" s="296" t="s">
        <v>217</v>
      </c>
      <c r="B4" s="3"/>
      <c r="C4" s="297" t="str">
        <f>'IA Marks'!N4</f>
        <v>2024-25</v>
      </c>
      <c r="D4" s="297"/>
      <c r="E4" s="297"/>
      <c r="F4" s="29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75" customHeight="1" spans="1:27" x14ac:dyDescent="0.25">
      <c r="A5" s="298" t="s">
        <v>26</v>
      </c>
      <c r="B5" s="55"/>
      <c r="C5" s="299" t="str">
        <f>'IA Marks'!AI5</f>
        <v>Computer Organization and Architecture</v>
      </c>
      <c r="D5" s="300"/>
      <c r="E5" s="300"/>
      <c r="F5" s="16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 spans="1:27" x14ac:dyDescent="0.25">
      <c r="A6" s="298" t="s">
        <v>19</v>
      </c>
      <c r="B6" s="55"/>
      <c r="C6" s="297" t="str">
        <f>'IA Marks'!AP4</f>
        <v>S23CY304PC</v>
      </c>
      <c r="D6" s="297"/>
      <c r="E6" s="297"/>
      <c r="F6" s="29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3.5" customHeight="1" spans="1:27" x14ac:dyDescent="0.25">
      <c r="A7" s="301" t="s">
        <v>221</v>
      </c>
      <c r="B7" s="14"/>
      <c r="C7" s="297" t="str">
        <f>'IA Marks'!J5</f>
        <v>Dr. Kiran B. Malagi</v>
      </c>
      <c r="D7" s="297"/>
      <c r="E7" s="297"/>
      <c r="F7" s="29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6" customHeight="1" spans="1:27" x14ac:dyDescent="0.25">
      <c r="A8" s="302" t="s">
        <v>233</v>
      </c>
      <c r="B8" s="303" t="s">
        <v>234</v>
      </c>
      <c r="C8" s="304" t="s">
        <v>235</v>
      </c>
      <c r="D8" s="304" t="s">
        <v>236</v>
      </c>
      <c r="E8" s="304" t="s">
        <v>237</v>
      </c>
      <c r="F8" s="304" t="s">
        <v>238</v>
      </c>
      <c r="G8" s="303" t="s">
        <v>239</v>
      </c>
      <c r="H8" s="303" t="s">
        <v>240</v>
      </c>
      <c r="I8" s="303" t="s">
        <v>241</v>
      </c>
      <c r="J8" s="303" t="s">
        <v>242</v>
      </c>
      <c r="K8" s="303" t="s">
        <v>243</v>
      </c>
      <c r="L8" s="303" t="s">
        <v>244</v>
      </c>
      <c r="M8" s="305" t="s">
        <v>245</v>
      </c>
      <c r="N8" s="306" t="s">
        <v>246</v>
      </c>
      <c r="O8" s="307" t="s">
        <v>247</v>
      </c>
      <c r="P8" s="308" t="s">
        <v>248</v>
      </c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</row>
    <row r="9" ht="16.2" customHeight="1" spans="1:27" x14ac:dyDescent="0.25">
      <c r="A9" s="309" t="str">
        <f>'CO Attainment'!A9</f>
        <v>S23CY304PC.1</v>
      </c>
      <c r="B9" s="310">
        <v>2</v>
      </c>
      <c r="C9" s="311">
        <v>1</v>
      </c>
      <c r="D9" s="311">
        <v>1</v>
      </c>
      <c r="E9" s="311">
        <v>1</v>
      </c>
      <c r="F9" s="311"/>
      <c r="G9" s="311"/>
      <c r="H9" s="311"/>
      <c r="I9" s="311"/>
      <c r="J9" s="311">
        <v>1</v>
      </c>
      <c r="K9" s="311"/>
      <c r="L9" s="311"/>
      <c r="M9" s="311"/>
      <c r="N9" s="311">
        <v>1</v>
      </c>
      <c r="O9" s="311"/>
      <c r="P9" s="312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6.2" customHeight="1" spans="1:27" x14ac:dyDescent="0.25">
      <c r="A10" s="309" t="str">
        <f>'CO Attainment'!A10</f>
        <v>S23CY304PC.2</v>
      </c>
      <c r="B10" s="310">
        <v>3</v>
      </c>
      <c r="C10" s="313">
        <v>1</v>
      </c>
      <c r="D10" s="313">
        <v>2</v>
      </c>
      <c r="E10" s="313">
        <v>1</v>
      </c>
      <c r="F10" s="313">
        <v>2</v>
      </c>
      <c r="G10" s="313"/>
      <c r="H10" s="313"/>
      <c r="I10" s="311"/>
      <c r="J10" s="311">
        <v>2</v>
      </c>
      <c r="K10" s="311">
        <v>1</v>
      </c>
      <c r="L10" s="313">
        <v>1</v>
      </c>
      <c r="M10" s="311">
        <v>1</v>
      </c>
      <c r="N10" s="313">
        <v>1</v>
      </c>
      <c r="O10" s="313"/>
      <c r="P10" s="31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6.2" customHeight="1" spans="1:27" x14ac:dyDescent="0.25">
      <c r="A11" s="315" t="str">
        <f>'CO Attainment'!A11</f>
        <v>S23CY304PC.3</v>
      </c>
      <c r="B11" s="310">
        <v>2</v>
      </c>
      <c r="C11" s="313">
        <v>1</v>
      </c>
      <c r="D11" s="313">
        <v>1</v>
      </c>
      <c r="E11" s="313"/>
      <c r="F11" s="313"/>
      <c r="G11" s="313"/>
      <c r="H11" s="313"/>
      <c r="I11" s="311"/>
      <c r="J11" s="311"/>
      <c r="K11" s="311"/>
      <c r="L11" s="313"/>
      <c r="M11" s="311"/>
      <c r="N11" s="313">
        <v>1</v>
      </c>
      <c r="O11" s="313"/>
      <c r="P11" s="31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6.2" customHeight="1" spans="1:27" x14ac:dyDescent="0.25">
      <c r="A12" s="316" t="str">
        <f>'CO Attainment'!A12</f>
        <v>S23CY304PC.4</v>
      </c>
      <c r="B12" s="310">
        <v>2</v>
      </c>
      <c r="C12" s="313">
        <v>1</v>
      </c>
      <c r="D12" s="313">
        <v>1</v>
      </c>
      <c r="E12" s="313"/>
      <c r="F12" s="313"/>
      <c r="G12" s="313"/>
      <c r="H12" s="313"/>
      <c r="I12" s="311"/>
      <c r="J12" s="311"/>
      <c r="K12" s="311"/>
      <c r="L12" s="313"/>
      <c r="M12" s="311"/>
      <c r="N12" s="313">
        <v>1</v>
      </c>
      <c r="O12" s="313"/>
      <c r="P12" s="31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6.2" customHeight="1" spans="1:27" x14ac:dyDescent="0.25">
      <c r="A13" s="316" t="str">
        <f>'CO Attainment'!A13</f>
        <v>S23CY304PC.5</v>
      </c>
      <c r="B13" s="317">
        <v>3</v>
      </c>
      <c r="C13" s="313">
        <v>2</v>
      </c>
      <c r="D13" s="313">
        <v>2</v>
      </c>
      <c r="E13" s="313"/>
      <c r="F13" s="313">
        <v>2</v>
      </c>
      <c r="G13" s="313"/>
      <c r="H13" s="313"/>
      <c r="I13" s="313"/>
      <c r="J13" s="313">
        <v>2</v>
      </c>
      <c r="K13" s="313">
        <v>1</v>
      </c>
      <c r="L13" s="313">
        <v>1</v>
      </c>
      <c r="M13" s="313">
        <v>1</v>
      </c>
      <c r="N13" s="313">
        <v>1</v>
      </c>
      <c r="O13" s="313"/>
      <c r="P13" s="31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6.2" customHeight="1" spans="1:27" x14ac:dyDescent="0.25">
      <c r="A14" s="309" t="str">
        <f>'CO Attainment'!A14</f>
        <v>S23CY304PC.6</v>
      </c>
      <c r="B14" s="318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  <c r="O14" s="314"/>
      <c r="P14" s="31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9.8" customHeight="1" spans="1:27" x14ac:dyDescent="0.25">
      <c r="A15" s="319" t="s">
        <v>249</v>
      </c>
      <c r="B15" s="320">
        <f t="shared" ref="B15:P15" si="0">IFERROR(ROUNDUP(AVERAGE(B9:B14),2),"")</f>
        <v>2.4</v>
      </c>
      <c r="C15" s="320">
        <f t="shared" si="0"/>
        <v>1.2</v>
      </c>
      <c r="D15" s="320">
        <f t="shared" si="0"/>
        <v>1.4</v>
      </c>
      <c r="E15" s="320">
        <f t="shared" si="0"/>
        <v>1</v>
      </c>
      <c r="F15" s="320">
        <f t="shared" si="0"/>
        <v>2</v>
      </c>
      <c r="G15" s="320">
        <f t="shared" si="0"/>
      </c>
      <c r="H15" s="320">
        <f t="shared" si="0"/>
      </c>
      <c r="I15" s="320">
        <f t="shared" si="0"/>
      </c>
      <c r="J15" s="320">
        <f t="shared" si="0"/>
        <v>1.67</v>
      </c>
      <c r="K15" s="320">
        <f t="shared" si="0"/>
        <v>1</v>
      </c>
      <c r="L15" s="320">
        <f t="shared" si="0"/>
        <v>1</v>
      </c>
      <c r="M15" s="320">
        <f t="shared" si="0"/>
        <v>1</v>
      </c>
      <c r="N15" s="320">
        <f t="shared" si="0"/>
        <v>1</v>
      </c>
      <c r="O15" s="320">
        <f t="shared" si="0"/>
      </c>
      <c r="P15" s="320">
        <f t="shared" si="0"/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3.8" customHeight="1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30.6" customHeight="1" spans="1:27" x14ac:dyDescent="0.25">
      <c r="A17" s="321" t="s">
        <v>250</v>
      </c>
      <c r="B17" s="322" t="s">
        <v>251</v>
      </c>
      <c r="C17" s="323" t="s">
        <v>252</v>
      </c>
      <c r="D17" s="324" t="s">
        <v>253</v>
      </c>
      <c r="E17" s="325" t="s">
        <v>254</v>
      </c>
      <c r="F17" s="322" t="s">
        <v>255</v>
      </c>
      <c r="G17" s="323" t="s">
        <v>256</v>
      </c>
      <c r="H17" s="326" t="s">
        <v>257</v>
      </c>
      <c r="I17" s="325" t="s">
        <v>258</v>
      </c>
      <c r="J17" s="322" t="s">
        <v>259</v>
      </c>
      <c r="K17" s="325" t="s">
        <v>260</v>
      </c>
      <c r="L17" s="327" t="s">
        <v>261</v>
      </c>
      <c r="M17" s="328" t="s">
        <v>262</v>
      </c>
      <c r="N17" s="323" t="s">
        <v>263</v>
      </c>
      <c r="O17" s="323" t="s">
        <v>264</v>
      </c>
      <c r="P17" s="329" t="s">
        <v>265</v>
      </c>
      <c r="Q17" s="330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4" customHeight="1" spans="1:27" x14ac:dyDescent="0.25">
      <c r="A18" s="331" t="str">
        <f>'IA Marks'!AP4&amp;" Direct (X)"</f>
        <v>S23CY304PC Direct (X)</v>
      </c>
      <c r="B18" s="332">
        <f t="shared" ref="B18:P18" si="1">D34</f>
        <v>2.4</v>
      </c>
      <c r="C18" s="332">
        <f t="shared" si="1"/>
        <v>1.2</v>
      </c>
      <c r="D18" s="332">
        <f t="shared" si="1"/>
        <v>1.4</v>
      </c>
      <c r="E18" s="332">
        <f t="shared" si="1"/>
        <v>1</v>
      </c>
      <c r="F18" s="332">
        <f t="shared" si="1"/>
        <v>2</v>
      </c>
      <c r="G18" s="332">
        <f t="shared" si="1"/>
      </c>
      <c r="H18" s="332">
        <f t="shared" si="1"/>
      </c>
      <c r="I18" s="332">
        <f t="shared" si="1"/>
      </c>
      <c r="J18" s="332">
        <f t="shared" si="1"/>
        <v>1.67</v>
      </c>
      <c r="K18" s="332">
        <f t="shared" si="1"/>
        <v>1</v>
      </c>
      <c r="L18" s="332">
        <f t="shared" si="1"/>
        <v>1</v>
      </c>
      <c r="M18" s="332">
        <f t="shared" si="1"/>
        <v>1</v>
      </c>
      <c r="N18" s="332">
        <f t="shared" si="1"/>
        <v>2</v>
      </c>
      <c r="O18" s="332">
        <f t="shared" si="1"/>
      </c>
      <c r="P18" s="333">
        <f t="shared" si="1"/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4" customHeight="1" spans="1:27" x14ac:dyDescent="0.25">
      <c r="A19" s="334" t="str">
        <f>'IA Marks'!AP4&amp;" Indirect (Y)"</f>
        <v>S23CY304PC Indirect (Y)</v>
      </c>
      <c r="B19" s="335">
        <f t="shared" ref="B19:P19" si="2">D49</f>
        <v>1.61</v>
      </c>
      <c r="C19" s="335">
        <f t="shared" si="2"/>
        <v>0.81</v>
      </c>
      <c r="D19" s="335">
        <f t="shared" si="2"/>
        <v>0.9400000000000001</v>
      </c>
      <c r="E19" s="335">
        <f t="shared" si="2"/>
        <v>0.67</v>
      </c>
      <c r="F19" s="335">
        <f t="shared" si="2"/>
        <v>1.34</v>
      </c>
      <c r="G19" s="335">
        <f t="shared" si="2"/>
      </c>
      <c r="H19" s="335">
        <f t="shared" si="2"/>
      </c>
      <c r="I19" s="335">
        <f t="shared" si="2"/>
      </c>
      <c r="J19" s="335">
        <f t="shared" si="2"/>
        <v>1.12</v>
      </c>
      <c r="K19" s="335">
        <f t="shared" si="2"/>
        <v>0.67</v>
      </c>
      <c r="L19" s="335">
        <f t="shared" si="2"/>
        <v>0.67</v>
      </c>
      <c r="M19" s="335">
        <f t="shared" si="2"/>
        <v>0.67</v>
      </c>
      <c r="N19" s="335">
        <f t="shared" si="2"/>
        <v>0.67</v>
      </c>
      <c r="O19" s="335">
        <f t="shared" si="2"/>
      </c>
      <c r="P19" s="336">
        <f t="shared" si="2"/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6" customHeight="1" spans="1:27" x14ac:dyDescent="0.25">
      <c r="A20" s="337" t="s">
        <v>266</v>
      </c>
      <c r="B20" s="338">
        <f>IFERROR(ROUNDUP('IA Marks'!$BG$3%*B18+'IA Marks'!$BG$4%*B19,2),"")</f>
        <v>2.25</v>
      </c>
      <c r="C20" s="338">
        <f>IFERROR(ROUNDUP('IA Marks'!$BG$3%*C18+'IA Marks'!$BG$4%*C19,2),"")</f>
        <v>1.1300000000000001</v>
      </c>
      <c r="D20" s="338">
        <f>IFERROR(ROUNDUP('IA Marks'!$BG$3%*D18+'IA Marks'!$BG$4%*D19,2),"")</f>
        <v>1.31</v>
      </c>
      <c r="E20" s="338">
        <f>IFERROR(ROUNDUP('IA Marks'!$BG$3%*E18+'IA Marks'!$BG$4%*E19,2),"")</f>
        <v>0.9400000000000001</v>
      </c>
      <c r="F20" s="338">
        <f>IFERROR(ROUNDUP('IA Marks'!$BG$3%*F18+'IA Marks'!$BG$4%*F19,2),"")</f>
        <v>1.87</v>
      </c>
      <c r="G20" s="338">
        <f>IFERROR(ROUNDUP('IA Marks'!$BG$3%*G18+'IA Marks'!$BG$4%*G19,2),"")</f>
      </c>
      <c r="H20" s="338">
        <f>IFERROR(ROUNDUP('IA Marks'!$BG$3%*H18+'IA Marks'!$BG$4%*H19,2),"")</f>
      </c>
      <c r="I20" s="338">
        <f>IFERROR(ROUNDUP('IA Marks'!$BG$3%*I18+'IA Marks'!$BG$4%*I19,2),"")</f>
      </c>
      <c r="J20" s="338">
        <f>IFERROR(ROUNDUP('IA Marks'!$BG$3%*J18+'IA Marks'!$BG$4%*J19,2),"")</f>
        <v>1.56</v>
      </c>
      <c r="K20" s="338">
        <f>IFERROR(ROUNDUP('IA Marks'!$BG$3%*K18+'IA Marks'!$BG$4%*K19,2),"")</f>
        <v>0.9400000000000001</v>
      </c>
      <c r="L20" s="338">
        <f>IFERROR(ROUNDUP('IA Marks'!$BG$3%*L18+'IA Marks'!$BG$4%*L19,2),"")</f>
        <v>0.9400000000000001</v>
      </c>
      <c r="M20" s="338">
        <f>IFERROR(ROUNDUP('IA Marks'!$BG$3%*M18+'IA Marks'!$BG$4%*M19,2),"")</f>
        <v>0.9400000000000001</v>
      </c>
      <c r="N20" s="338">
        <f>IFERROR(ROUNDUP('IA Marks'!$BG$3%*N18+'IA Marks'!$BG$4%*N19,2),"")</f>
        <v>1.74</v>
      </c>
      <c r="O20" s="338">
        <f>IFERROR(ROUNDUP('IA Marks'!$BG$3%*O18+'IA Marks'!$BG$4%*O19,2),"")</f>
      </c>
      <c r="P20" s="339">
        <f>IFERROR(ROUNDUP('IA Marks'!$BG$3%*P18+'IA Marks'!$BG$4%*P19,2),"")</f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75" customHeight="1" spans="1:27" x14ac:dyDescent="0.25">
      <c r="A21" s="340" t="s">
        <v>267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62"/>
      <c r="S21" s="1"/>
      <c r="T21" s="1"/>
      <c r="U21" s="1"/>
      <c r="V21" s="1"/>
      <c r="W21" s="1"/>
      <c r="X21" s="1"/>
      <c r="Y21" s="1"/>
      <c r="Z21" s="1"/>
      <c r="AA21" s="1"/>
    </row>
    <row r="22" ht="13.5" customHeight="1" spans="1:27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85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 spans="1:27" x14ac:dyDescent="0.25">
      <c r="A23" s="341" t="s">
        <v>268</v>
      </c>
      <c r="B23" s="342" t="s">
        <v>269</v>
      </c>
      <c r="C23" s="34"/>
      <c r="D23" s="343" t="s">
        <v>270</v>
      </c>
      <c r="E23" s="344" t="s">
        <v>271</v>
      </c>
      <c r="F23" s="344" t="s">
        <v>272</v>
      </c>
      <c r="G23" s="344" t="s">
        <v>273</v>
      </c>
      <c r="H23" s="344" t="s">
        <v>274</v>
      </c>
      <c r="I23" s="344" t="s">
        <v>275</v>
      </c>
      <c r="J23" s="344" t="s">
        <v>276</v>
      </c>
      <c r="K23" s="344" t="s">
        <v>277</v>
      </c>
      <c r="L23" s="344" t="s">
        <v>278</v>
      </c>
      <c r="M23" s="344" t="s">
        <v>243</v>
      </c>
      <c r="N23" s="344" t="s">
        <v>244</v>
      </c>
      <c r="O23" s="345" t="s">
        <v>245</v>
      </c>
      <c r="P23" s="346" t="s">
        <v>246</v>
      </c>
      <c r="Q23" s="308" t="s">
        <v>247</v>
      </c>
      <c r="R23" s="308" t="s">
        <v>248</v>
      </c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 spans="1:27" x14ac:dyDescent="0.25">
      <c r="A24" s="347" t="str">
        <f t="shared" ref="A24:A29" si="3">A9</f>
        <v>S23CY304PC.1</v>
      </c>
      <c r="B24" s="348">
        <f>'CO Attainment'!D9</f>
        <v>3</v>
      </c>
      <c r="C24" s="349"/>
      <c r="D24" s="350">
        <f t="shared" ref="D24:O24" si="4">IFERROR(ROUNDUP($B$24*B9/3,2),"")</f>
        <v>2</v>
      </c>
      <c r="E24" s="351">
        <f t="shared" si="4"/>
        <v>1</v>
      </c>
      <c r="F24" s="351">
        <f t="shared" si="4"/>
        <v>1</v>
      </c>
      <c r="G24" s="351">
        <f t="shared" si="4"/>
        <v>1</v>
      </c>
      <c r="H24" s="351">
        <f t="shared" si="4"/>
        <v>0</v>
      </c>
      <c r="I24" s="351">
        <f t="shared" si="4"/>
        <v>0</v>
      </c>
      <c r="J24" s="351">
        <f t="shared" si="4"/>
        <v>0</v>
      </c>
      <c r="K24" s="351">
        <f t="shared" si="4"/>
        <v>0</v>
      </c>
      <c r="L24" s="351">
        <f t="shared" si="4"/>
        <v>1</v>
      </c>
      <c r="M24" s="351">
        <f t="shared" si="4"/>
        <v>0</v>
      </c>
      <c r="N24" s="351">
        <f t="shared" si="4"/>
        <v>0</v>
      </c>
      <c r="O24" s="351">
        <f t="shared" si="4"/>
        <v>0</v>
      </c>
      <c r="P24" s="351">
        <v>2</v>
      </c>
      <c r="Q24" s="351">
        <f>IFERROR(ROUNDUP($B$24*O9/3,2),"")</f>
        <v>0</v>
      </c>
      <c r="R24" s="352">
        <f>IFERROR(ROUNDUP($B$24*P9/3,2),"")</f>
        <v>0</v>
      </c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 spans="1:27" x14ac:dyDescent="0.25">
      <c r="A25" s="353" t="str">
        <f t="shared" si="3"/>
        <v>S23CY304PC.2</v>
      </c>
      <c r="B25" s="354">
        <f>'CO Attainment'!D10</f>
        <v>3</v>
      </c>
      <c r="C25" s="17"/>
      <c r="D25" s="355">
        <f t="shared" ref="D25:O25" si="5">IFERROR(ROUNDUP($B$25*B10/3,2),"")</f>
        <v>3</v>
      </c>
      <c r="E25" s="356">
        <f t="shared" si="5"/>
        <v>1</v>
      </c>
      <c r="F25" s="356">
        <f t="shared" si="5"/>
        <v>2</v>
      </c>
      <c r="G25" s="356">
        <f t="shared" si="5"/>
        <v>1</v>
      </c>
      <c r="H25" s="356">
        <f t="shared" si="5"/>
        <v>2</v>
      </c>
      <c r="I25" s="356">
        <f t="shared" si="5"/>
        <v>0</v>
      </c>
      <c r="J25" s="356">
        <f t="shared" si="5"/>
        <v>0</v>
      </c>
      <c r="K25" s="356">
        <f t="shared" si="5"/>
        <v>0</v>
      </c>
      <c r="L25" s="356">
        <f t="shared" si="5"/>
        <v>2</v>
      </c>
      <c r="M25" s="356">
        <f t="shared" si="5"/>
        <v>1</v>
      </c>
      <c r="N25" s="356">
        <f t="shared" si="5"/>
        <v>1</v>
      </c>
      <c r="O25" s="356">
        <f t="shared" si="5"/>
        <v>1</v>
      </c>
      <c r="P25" s="356">
        <v>2</v>
      </c>
      <c r="Q25" s="356">
        <f>IFERROR(ROUNDUP($B$25*O10/3,2),"")</f>
        <v>0</v>
      </c>
      <c r="R25" s="357">
        <f>IFERROR(ROUNDUP($B$25*P10/3,2),"")</f>
        <v>0</v>
      </c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 spans="1:27" x14ac:dyDescent="0.25">
      <c r="A26" s="353" t="str">
        <f t="shared" si="3"/>
        <v>S23CY304PC.3</v>
      </c>
      <c r="B26" s="354">
        <f>'CO Attainment'!D11</f>
        <v>3</v>
      </c>
      <c r="C26" s="17"/>
      <c r="D26" s="355">
        <f t="shared" ref="D26:O26" si="6">IFERROR(ROUNDUP($B$26*B11/3,2),"")</f>
        <v>2</v>
      </c>
      <c r="E26" s="356">
        <f t="shared" si="6"/>
        <v>1</v>
      </c>
      <c r="F26" s="356">
        <f t="shared" si="6"/>
        <v>1</v>
      </c>
      <c r="G26" s="356">
        <f t="shared" si="6"/>
        <v>0</v>
      </c>
      <c r="H26" s="356">
        <f t="shared" si="6"/>
        <v>0</v>
      </c>
      <c r="I26" s="356">
        <f t="shared" si="6"/>
        <v>0</v>
      </c>
      <c r="J26" s="356">
        <f t="shared" si="6"/>
        <v>0</v>
      </c>
      <c r="K26" s="356">
        <f t="shared" si="6"/>
        <v>0</v>
      </c>
      <c r="L26" s="356">
        <f t="shared" si="6"/>
        <v>0</v>
      </c>
      <c r="M26" s="356">
        <f t="shared" si="6"/>
        <v>0</v>
      </c>
      <c r="N26" s="356">
        <f t="shared" si="6"/>
        <v>0</v>
      </c>
      <c r="O26" s="356">
        <f t="shared" si="6"/>
        <v>0</v>
      </c>
      <c r="P26" s="356">
        <v>2</v>
      </c>
      <c r="Q26" s="356">
        <f>IFERROR(ROUNDUP($B$26*O11/3,2),"")</f>
        <v>0</v>
      </c>
      <c r="R26" s="357">
        <f>IFERROR(ROUNDUP($B$26*P11/3,2),"")</f>
        <v>0</v>
      </c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 spans="1:27" x14ac:dyDescent="0.25">
      <c r="A27" s="353" t="str">
        <f t="shared" si="3"/>
        <v>S23CY304PC.4</v>
      </c>
      <c r="B27" s="354">
        <f>'CO Attainment'!D12</f>
        <v>3</v>
      </c>
      <c r="C27" s="16"/>
      <c r="D27" s="355">
        <f t="shared" ref="D27:O27" si="7">IFERROR(ROUNDUP($B$27*B12/3,2),"")</f>
        <v>2</v>
      </c>
      <c r="E27" s="356">
        <f t="shared" si="7"/>
        <v>1</v>
      </c>
      <c r="F27" s="356">
        <f t="shared" si="7"/>
        <v>1</v>
      </c>
      <c r="G27" s="356">
        <f t="shared" si="7"/>
        <v>0</v>
      </c>
      <c r="H27" s="356">
        <f t="shared" si="7"/>
        <v>0</v>
      </c>
      <c r="I27" s="356">
        <f t="shared" si="7"/>
        <v>0</v>
      </c>
      <c r="J27" s="356">
        <f t="shared" si="7"/>
        <v>0</v>
      </c>
      <c r="K27" s="356">
        <f t="shared" si="7"/>
        <v>0</v>
      </c>
      <c r="L27" s="356">
        <f t="shared" si="7"/>
        <v>0</v>
      </c>
      <c r="M27" s="356">
        <f t="shared" si="7"/>
        <v>0</v>
      </c>
      <c r="N27" s="356">
        <f t="shared" si="7"/>
        <v>0</v>
      </c>
      <c r="O27" s="356">
        <f t="shared" si="7"/>
        <v>0</v>
      </c>
      <c r="P27" s="356">
        <v>2</v>
      </c>
      <c r="Q27" s="356">
        <f>IFERROR(ROUNDUP($B$27*O12/3,2),"")</f>
        <v>0</v>
      </c>
      <c r="R27" s="357">
        <f>IFERROR(ROUNDUP($B$27*P12/3,2),"")</f>
        <v>0</v>
      </c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 spans="1:27" x14ac:dyDescent="0.25">
      <c r="A28" s="353" t="str">
        <f t="shared" si="3"/>
        <v>S23CY304PC.5</v>
      </c>
      <c r="B28" s="358">
        <f>'CO Attainment'!D13</f>
        <v>3</v>
      </c>
      <c r="C28" s="17"/>
      <c r="D28" s="355">
        <f t="shared" ref="D28:O28" si="8">IFERROR(ROUNDUP($B$28*B13/3,2),"")</f>
        <v>3</v>
      </c>
      <c r="E28" s="356">
        <f t="shared" si="8"/>
        <v>2</v>
      </c>
      <c r="F28" s="356">
        <f t="shared" si="8"/>
        <v>2</v>
      </c>
      <c r="G28" s="356">
        <f t="shared" si="8"/>
        <v>0</v>
      </c>
      <c r="H28" s="356">
        <f t="shared" si="8"/>
        <v>2</v>
      </c>
      <c r="I28" s="356">
        <f t="shared" si="8"/>
        <v>0</v>
      </c>
      <c r="J28" s="356">
        <f t="shared" si="8"/>
        <v>0</v>
      </c>
      <c r="K28" s="356">
        <f t="shared" si="8"/>
        <v>0</v>
      </c>
      <c r="L28" s="356">
        <f t="shared" si="8"/>
        <v>2</v>
      </c>
      <c r="M28" s="356">
        <f t="shared" si="8"/>
        <v>1</v>
      </c>
      <c r="N28" s="356">
        <f t="shared" si="8"/>
        <v>1</v>
      </c>
      <c r="O28" s="356">
        <f t="shared" si="8"/>
        <v>1</v>
      </c>
      <c r="P28" s="356">
        <v>2</v>
      </c>
      <c r="Q28" s="356">
        <f>IFERROR(ROUNDUP($B$28*O13/3,2),"")</f>
        <v>0</v>
      </c>
      <c r="R28" s="357">
        <f>IFERROR(ROUNDUP($B$28*P13/3,2),"")</f>
        <v>0</v>
      </c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 spans="1:27" x14ac:dyDescent="0.25">
      <c r="A29" s="353" t="str">
        <f t="shared" si="3"/>
        <v>S23CY304PC.6</v>
      </c>
      <c r="B29" s="358">
        <f>'CO Attainment'!D14</f>
      </c>
      <c r="C29" s="17"/>
      <c r="D29" s="359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1"/>
      <c r="S29" s="1"/>
      <c r="T29" s="1"/>
      <c r="U29" s="1"/>
      <c r="V29" s="1"/>
      <c r="W29" s="1"/>
      <c r="X29" s="1"/>
      <c r="Y29" s="1"/>
      <c r="Z29" s="1"/>
      <c r="AA29" s="1"/>
    </row>
    <row r="30" ht="21" customHeight="1" spans="1:27" x14ac:dyDescent="0.25">
      <c r="A30" s="362"/>
      <c r="B30" s="363" t="s">
        <v>279</v>
      </c>
      <c r="C30" s="6"/>
      <c r="D30" s="364">
        <f>SUM(D24:D29)</f>
        <v>12</v>
      </c>
      <c r="E30" s="364">
        <f t="shared" ref="E30:N30" si="9">SUM(E24:E29)</f>
        <v>6</v>
      </c>
      <c r="F30" s="364">
        <f t="shared" si="9"/>
        <v>7</v>
      </c>
      <c r="G30" s="364">
        <f t="shared" si="9"/>
        <v>2</v>
      </c>
      <c r="H30" s="364">
        <f t="shared" si="9"/>
        <v>4</v>
      </c>
      <c r="I30" s="364">
        <f t="shared" si="9"/>
        <v>0</v>
      </c>
      <c r="J30" s="364">
        <f t="shared" si="9"/>
        <v>0</v>
      </c>
      <c r="K30" s="364">
        <f t="shared" si="9"/>
        <v>0</v>
      </c>
      <c r="L30" s="364">
        <f t="shared" si="9"/>
        <v>5</v>
      </c>
      <c r="M30" s="364">
        <f t="shared" si="9"/>
        <v>2</v>
      </c>
      <c r="N30" s="364">
        <f t="shared" si="9"/>
        <v>2</v>
      </c>
      <c r="O30" s="364">
        <f>SUM(O24:O29)</f>
        <v>2</v>
      </c>
      <c r="P30" s="364">
        <f>SUM(P24:P29)</f>
        <v>10</v>
      </c>
      <c r="Q30" s="364">
        <f>SUM(Q24:Q29)</f>
        <v>0</v>
      </c>
      <c r="R30" s="364">
        <f>SUM(R24:R29)</f>
        <v>0</v>
      </c>
      <c r="S30" s="1"/>
      <c r="T30" s="1"/>
      <c r="U30" s="1"/>
      <c r="V30" s="1"/>
      <c r="W30" s="1"/>
      <c r="X30" s="1"/>
      <c r="Y30" s="1"/>
      <c r="Z30" s="1"/>
      <c r="AA30" s="1"/>
    </row>
    <row r="31" ht="18.75" customHeight="1" spans="1:27" x14ac:dyDescent="0.25">
      <c r="A31" s="365"/>
      <c r="B31" s="366" t="s">
        <v>280</v>
      </c>
      <c r="C31" s="43"/>
      <c r="D31" s="367">
        <f>SUM(B9:B14)</f>
        <v>12</v>
      </c>
      <c r="E31" s="367">
        <f t="shared" ref="E31:P31" si="10">SUM(C9:C14)</f>
        <v>6</v>
      </c>
      <c r="F31" s="367">
        <f t="shared" si="10"/>
        <v>7</v>
      </c>
      <c r="G31" s="367">
        <f t="shared" si="10"/>
        <v>2</v>
      </c>
      <c r="H31" s="367">
        <f t="shared" si="10"/>
        <v>4</v>
      </c>
      <c r="I31" s="367">
        <f t="shared" si="10"/>
        <v>0</v>
      </c>
      <c r="J31" s="367">
        <f t="shared" si="10"/>
        <v>0</v>
      </c>
      <c r="K31" s="367">
        <f t="shared" si="10"/>
        <v>0</v>
      </c>
      <c r="L31" s="367">
        <f t="shared" si="10"/>
        <v>5</v>
      </c>
      <c r="M31" s="367">
        <f t="shared" si="10"/>
        <v>2</v>
      </c>
      <c r="N31" s="367">
        <f t="shared" si="10"/>
        <v>2</v>
      </c>
      <c r="O31" s="367">
        <f>SUM(M9:M14)</f>
        <v>2</v>
      </c>
      <c r="P31" s="367">
        <f t="shared" si="10"/>
        <v>5</v>
      </c>
      <c r="Q31" s="367">
        <f>SUM(O9:O14)</f>
        <v>0</v>
      </c>
      <c r="R31" s="367">
        <f>SUM(P9:P14)</f>
        <v>0</v>
      </c>
      <c r="S31" s="1"/>
      <c r="T31" s="1"/>
      <c r="U31" s="1"/>
      <c r="V31" s="1"/>
      <c r="W31" s="1"/>
      <c r="X31" s="1"/>
      <c r="Y31" s="1"/>
      <c r="Z31" s="1"/>
      <c r="AA31" s="1"/>
    </row>
    <row r="32" ht="20.25" customHeight="1" spans="1:27" x14ac:dyDescent="0.25">
      <c r="A32" s="368" t="s">
        <v>281</v>
      </c>
      <c r="B32" s="34"/>
      <c r="C32" s="369" t="s">
        <v>282</v>
      </c>
      <c r="D32" s="370">
        <f>IFERROR((D30/D31)*100,0)</f>
        <v>100</v>
      </c>
      <c r="E32" s="371">
        <f t="shared" ref="E32:R32" si="11">IFERROR((E30/E31)*100,0)</f>
        <v>100</v>
      </c>
      <c r="F32" s="371">
        <f t="shared" si="11"/>
        <v>100</v>
      </c>
      <c r="G32" s="371">
        <f t="shared" si="11"/>
        <v>100</v>
      </c>
      <c r="H32" s="371">
        <f t="shared" si="11"/>
        <v>100</v>
      </c>
      <c r="I32" s="371">
        <f t="shared" si="11"/>
        <v>0</v>
      </c>
      <c r="J32" s="371">
        <f t="shared" si="11"/>
        <v>0</v>
      </c>
      <c r="K32" s="371">
        <f t="shared" si="11"/>
        <v>0</v>
      </c>
      <c r="L32" s="371">
        <f t="shared" si="11"/>
        <v>100</v>
      </c>
      <c r="M32" s="371">
        <f t="shared" si="11"/>
        <v>100</v>
      </c>
      <c r="N32" s="371">
        <f t="shared" si="11"/>
        <v>100</v>
      </c>
      <c r="O32" s="371">
        <f t="shared" si="11"/>
        <v>100</v>
      </c>
      <c r="P32" s="371">
        <f t="shared" si="11"/>
        <v>200</v>
      </c>
      <c r="Q32" s="371">
        <f t="shared" si="11"/>
        <v>0</v>
      </c>
      <c r="R32" s="372">
        <f t="shared" si="11"/>
        <v>0</v>
      </c>
      <c r="S32" s="1"/>
      <c r="T32" s="1"/>
      <c r="U32" s="1"/>
      <c r="V32" s="1"/>
      <c r="W32" s="1"/>
      <c r="X32" s="1"/>
      <c r="Y32" s="1"/>
      <c r="Z32" s="1"/>
      <c r="AA32" s="1"/>
    </row>
    <row r="33" ht="22.5" customHeight="1" spans="1:27" x14ac:dyDescent="0.25">
      <c r="A33" s="1"/>
      <c r="B33" s="1"/>
      <c r="C33" s="373" t="s">
        <v>283</v>
      </c>
      <c r="D33" s="374" t="s">
        <v>234</v>
      </c>
      <c r="E33" s="375" t="s">
        <v>235</v>
      </c>
      <c r="F33" s="375" t="s">
        <v>236</v>
      </c>
      <c r="G33" s="375" t="s">
        <v>237</v>
      </c>
      <c r="H33" s="375" t="s">
        <v>238</v>
      </c>
      <c r="I33" s="375" t="s">
        <v>239</v>
      </c>
      <c r="J33" s="375" t="s">
        <v>240</v>
      </c>
      <c r="K33" s="375" t="s">
        <v>241</v>
      </c>
      <c r="L33" s="375" t="s">
        <v>242</v>
      </c>
      <c r="M33" s="375" t="s">
        <v>243</v>
      </c>
      <c r="N33" s="375" t="s">
        <v>244</v>
      </c>
      <c r="O33" s="375" t="s">
        <v>245</v>
      </c>
      <c r="P33" s="376" t="s">
        <v>246</v>
      </c>
      <c r="Q33" s="376" t="s">
        <v>247</v>
      </c>
      <c r="R33" s="377" t="s">
        <v>248</v>
      </c>
      <c r="S33" s="1"/>
      <c r="T33" s="1"/>
      <c r="U33" s="1"/>
      <c r="V33" s="1"/>
      <c r="W33" s="1"/>
      <c r="X33" s="1"/>
      <c r="Y33" s="1"/>
      <c r="Z33" s="1"/>
      <c r="AA33" s="1"/>
    </row>
    <row r="34" ht="24" customHeight="1" spans="1:27" x14ac:dyDescent="0.25">
      <c r="A34" s="378"/>
      <c r="B34" s="1"/>
      <c r="C34" s="108"/>
      <c r="D34" s="379">
        <f t="shared" ref="D34:R34" si="12">IFERROR(ROUNDUP(D32*B15/100,2),"")</f>
        <v>2.4</v>
      </c>
      <c r="E34" s="380">
        <f t="shared" si="12"/>
        <v>1.2</v>
      </c>
      <c r="F34" s="380">
        <f t="shared" si="12"/>
        <v>1.4</v>
      </c>
      <c r="G34" s="380">
        <f t="shared" si="12"/>
        <v>1</v>
      </c>
      <c r="H34" s="380">
        <f t="shared" si="12"/>
        <v>2</v>
      </c>
      <c r="I34" s="380">
        <f t="shared" si="12"/>
      </c>
      <c r="J34" s="380">
        <f t="shared" si="12"/>
      </c>
      <c r="K34" s="380">
        <f t="shared" si="12"/>
      </c>
      <c r="L34" s="380">
        <f t="shared" si="12"/>
        <v>1.67</v>
      </c>
      <c r="M34" s="380">
        <f t="shared" si="12"/>
        <v>1</v>
      </c>
      <c r="N34" s="380">
        <f t="shared" si="12"/>
        <v>1</v>
      </c>
      <c r="O34" s="380">
        <f t="shared" si="12"/>
        <v>1</v>
      </c>
      <c r="P34" s="380">
        <f t="shared" si="12"/>
        <v>2</v>
      </c>
      <c r="Q34" s="380">
        <f t="shared" si="12"/>
      </c>
      <c r="R34" s="381">
        <f t="shared" si="12"/>
      </c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 spans="1:27" x14ac:dyDescent="0.25">
      <c r="A36" s="382" t="s">
        <v>284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62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 spans="1:27" x14ac:dyDescent="0.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285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 spans="1:27" x14ac:dyDescent="0.25">
      <c r="A38" s="341" t="s">
        <v>268</v>
      </c>
      <c r="B38" s="342" t="s">
        <v>269</v>
      </c>
      <c r="C38" s="34"/>
      <c r="D38" s="343" t="s">
        <v>270</v>
      </c>
      <c r="E38" s="344" t="s">
        <v>271</v>
      </c>
      <c r="F38" s="344" t="s">
        <v>272</v>
      </c>
      <c r="G38" s="344" t="s">
        <v>273</v>
      </c>
      <c r="H38" s="344" t="s">
        <v>274</v>
      </c>
      <c r="I38" s="344" t="s">
        <v>275</v>
      </c>
      <c r="J38" s="344" t="s">
        <v>276</v>
      </c>
      <c r="K38" s="344" t="s">
        <v>277</v>
      </c>
      <c r="L38" s="344" t="s">
        <v>278</v>
      </c>
      <c r="M38" s="344" t="s">
        <v>243</v>
      </c>
      <c r="N38" s="344" t="s">
        <v>244</v>
      </c>
      <c r="O38" s="345" t="s">
        <v>245</v>
      </c>
      <c r="P38" s="346" t="s">
        <v>246</v>
      </c>
      <c r="Q38" s="383" t="s">
        <v>247</v>
      </c>
      <c r="R38" s="346" t="s">
        <v>248</v>
      </c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 spans="1:27" x14ac:dyDescent="0.25">
      <c r="A39" s="347" t="str">
        <f t="shared" ref="A39:A44" si="13">A24</f>
        <v>S23CY304PC.1</v>
      </c>
      <c r="B39" s="384">
        <f>'CO Attainment'!E9</f>
        <v>2</v>
      </c>
      <c r="C39" s="6"/>
      <c r="D39" s="385">
        <f>IFERROR(ROUNDUP($B$39*B9/3,2),"")</f>
        <v>1.34</v>
      </c>
      <c r="E39" s="385">
        <f t="shared" ref="E39:R39" si="14">IFERROR(ROUNDUP($B$39*C9/3,2),"")</f>
        <v>0.67</v>
      </c>
      <c r="F39" s="385">
        <f t="shared" si="14"/>
        <v>0.67</v>
      </c>
      <c r="G39" s="385">
        <f t="shared" si="14"/>
        <v>0.67</v>
      </c>
      <c r="H39" s="385">
        <f t="shared" si="14"/>
        <v>0</v>
      </c>
      <c r="I39" s="385">
        <f t="shared" si="14"/>
        <v>0</v>
      </c>
      <c r="J39" s="385">
        <f t="shared" si="14"/>
        <v>0</v>
      </c>
      <c r="K39" s="385">
        <f t="shared" si="14"/>
        <v>0</v>
      </c>
      <c r="L39" s="385">
        <f t="shared" si="14"/>
        <v>0.67</v>
      </c>
      <c r="M39" s="385">
        <f t="shared" si="14"/>
        <v>0</v>
      </c>
      <c r="N39" s="385">
        <f t="shared" si="14"/>
        <v>0</v>
      </c>
      <c r="O39" s="385">
        <f t="shared" si="14"/>
        <v>0</v>
      </c>
      <c r="P39" s="385">
        <f t="shared" si="14"/>
        <v>0.67</v>
      </c>
      <c r="Q39" s="385">
        <f t="shared" si="14"/>
        <v>0</v>
      </c>
      <c r="R39" s="385">
        <f t="shared" si="14"/>
        <v>0</v>
      </c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 spans="1:27" x14ac:dyDescent="0.25">
      <c r="A40" s="353" t="str">
        <f t="shared" si="13"/>
        <v>S23CY304PC.2</v>
      </c>
      <c r="B40" s="386">
        <f>'CO Attainment'!E10</f>
        <v>2</v>
      </c>
      <c r="C40" s="17"/>
      <c r="D40" s="385">
        <f>IFERROR(ROUNDUP($B$40*B10/3,2),"")</f>
        <v>2</v>
      </c>
      <c r="E40" s="385">
        <f t="shared" ref="E40:R40" si="15">IFERROR(ROUNDUP($B$40*C10/3,2),"")</f>
        <v>0.67</v>
      </c>
      <c r="F40" s="385">
        <f t="shared" si="15"/>
        <v>1.34</v>
      </c>
      <c r="G40" s="385">
        <f t="shared" si="15"/>
        <v>0.67</v>
      </c>
      <c r="H40" s="385">
        <f t="shared" si="15"/>
        <v>1.34</v>
      </c>
      <c r="I40" s="385">
        <f t="shared" si="15"/>
        <v>0</v>
      </c>
      <c r="J40" s="385">
        <f t="shared" si="15"/>
        <v>0</v>
      </c>
      <c r="K40" s="385">
        <f t="shared" si="15"/>
        <v>0</v>
      </c>
      <c r="L40" s="385">
        <f t="shared" si="15"/>
        <v>1.34</v>
      </c>
      <c r="M40" s="385">
        <f t="shared" si="15"/>
        <v>0.67</v>
      </c>
      <c r="N40" s="385">
        <f t="shared" si="15"/>
        <v>0.67</v>
      </c>
      <c r="O40" s="385">
        <f t="shared" si="15"/>
        <v>0.67</v>
      </c>
      <c r="P40" s="385">
        <f t="shared" si="15"/>
        <v>0.67</v>
      </c>
      <c r="Q40" s="385">
        <f t="shared" si="15"/>
        <v>0</v>
      </c>
      <c r="R40" s="385">
        <f t="shared" si="15"/>
        <v>0</v>
      </c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 spans="1:27" x14ac:dyDescent="0.25">
      <c r="A41" s="353" t="str">
        <f t="shared" si="13"/>
        <v>S23CY304PC.3</v>
      </c>
      <c r="B41" s="386">
        <f>'CO Attainment'!E11</f>
        <v>2</v>
      </c>
      <c r="C41" s="17"/>
      <c r="D41" s="385">
        <f>IFERROR(ROUNDUP($B$41*B11/3,2),"")</f>
        <v>1.34</v>
      </c>
      <c r="E41" s="385">
        <f t="shared" ref="E41:R41" si="16">IFERROR(ROUNDUP($B$41*C11/3,2),"")</f>
        <v>0.67</v>
      </c>
      <c r="F41" s="385">
        <f t="shared" si="16"/>
        <v>0.67</v>
      </c>
      <c r="G41" s="385">
        <f t="shared" si="16"/>
        <v>0</v>
      </c>
      <c r="H41" s="385">
        <f t="shared" si="16"/>
        <v>0</v>
      </c>
      <c r="I41" s="385">
        <f t="shared" si="16"/>
        <v>0</v>
      </c>
      <c r="J41" s="385">
        <f t="shared" si="16"/>
        <v>0</v>
      </c>
      <c r="K41" s="385">
        <f t="shared" si="16"/>
        <v>0</v>
      </c>
      <c r="L41" s="385">
        <f t="shared" si="16"/>
        <v>0</v>
      </c>
      <c r="M41" s="385">
        <f t="shared" si="16"/>
        <v>0</v>
      </c>
      <c r="N41" s="385">
        <f t="shared" si="16"/>
        <v>0</v>
      </c>
      <c r="O41" s="385">
        <f t="shared" si="16"/>
        <v>0</v>
      </c>
      <c r="P41" s="385">
        <f t="shared" si="16"/>
        <v>0.67</v>
      </c>
      <c r="Q41" s="385">
        <f t="shared" si="16"/>
        <v>0</v>
      </c>
      <c r="R41" s="385">
        <f t="shared" si="16"/>
        <v>0</v>
      </c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 spans="1:27" x14ac:dyDescent="0.25">
      <c r="A42" s="353" t="str">
        <f t="shared" si="13"/>
        <v>S23CY304PC.4</v>
      </c>
      <c r="B42" s="386">
        <f>'CO Attainment'!E12</f>
        <v>2</v>
      </c>
      <c r="C42" s="16"/>
      <c r="D42" s="385">
        <f>IFERROR(ROUNDUP($B$42*B12/3,2),"")</f>
        <v>1.34</v>
      </c>
      <c r="E42" s="385">
        <f t="shared" ref="E42:R42" si="17">IFERROR(ROUNDUP($B$42*C12/3,2),"")</f>
        <v>0.67</v>
      </c>
      <c r="F42" s="385">
        <f t="shared" si="17"/>
        <v>0.67</v>
      </c>
      <c r="G42" s="385">
        <f t="shared" si="17"/>
        <v>0</v>
      </c>
      <c r="H42" s="385">
        <f t="shared" si="17"/>
        <v>0</v>
      </c>
      <c r="I42" s="385">
        <f t="shared" si="17"/>
        <v>0</v>
      </c>
      <c r="J42" s="385">
        <f t="shared" si="17"/>
        <v>0</v>
      </c>
      <c r="K42" s="385">
        <f t="shared" si="17"/>
        <v>0</v>
      </c>
      <c r="L42" s="385">
        <f t="shared" si="17"/>
        <v>0</v>
      </c>
      <c r="M42" s="385">
        <f t="shared" si="17"/>
        <v>0</v>
      </c>
      <c r="N42" s="385">
        <f t="shared" si="17"/>
        <v>0</v>
      </c>
      <c r="O42" s="385">
        <f t="shared" si="17"/>
        <v>0</v>
      </c>
      <c r="P42" s="385">
        <f t="shared" si="17"/>
        <v>0.67</v>
      </c>
      <c r="Q42" s="385">
        <f t="shared" si="17"/>
        <v>0</v>
      </c>
      <c r="R42" s="385">
        <f t="shared" si="17"/>
        <v>0</v>
      </c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 spans="1:27" x14ac:dyDescent="0.25">
      <c r="A43" s="353" t="str">
        <f t="shared" si="13"/>
        <v>S23CY304PC.5</v>
      </c>
      <c r="B43" s="387">
        <f>'CO Attainment'!E13</f>
        <v>2</v>
      </c>
      <c r="C43" s="388"/>
      <c r="D43" s="385">
        <f>IFERROR(ROUNDUP($B$43*B13/3,2),"")</f>
        <v>2</v>
      </c>
      <c r="E43" s="385">
        <f t="shared" ref="E43:R43" si="18">IFERROR(ROUNDUP($B$43*C13/3,2),"")</f>
        <v>1.34</v>
      </c>
      <c r="F43" s="385">
        <f t="shared" si="18"/>
        <v>1.34</v>
      </c>
      <c r="G43" s="385">
        <f t="shared" si="18"/>
        <v>0</v>
      </c>
      <c r="H43" s="385">
        <f t="shared" si="18"/>
        <v>1.34</v>
      </c>
      <c r="I43" s="385">
        <f t="shared" si="18"/>
        <v>0</v>
      </c>
      <c r="J43" s="385">
        <f t="shared" si="18"/>
        <v>0</v>
      </c>
      <c r="K43" s="385">
        <f t="shared" si="18"/>
        <v>0</v>
      </c>
      <c r="L43" s="385">
        <f t="shared" si="18"/>
        <v>1.34</v>
      </c>
      <c r="M43" s="385">
        <f t="shared" si="18"/>
        <v>0.67</v>
      </c>
      <c r="N43" s="385">
        <f t="shared" si="18"/>
        <v>0.67</v>
      </c>
      <c r="O43" s="385">
        <f t="shared" si="18"/>
        <v>0.67</v>
      </c>
      <c r="P43" s="385">
        <f t="shared" si="18"/>
        <v>0.67</v>
      </c>
      <c r="Q43" s="385">
        <f t="shared" si="18"/>
        <v>0</v>
      </c>
      <c r="R43" s="385">
        <f t="shared" si="18"/>
        <v>0</v>
      </c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 spans="1:27" x14ac:dyDescent="0.25">
      <c r="A44" s="389" t="str">
        <f t="shared" si="13"/>
        <v>S23CY304PC.6</v>
      </c>
      <c r="B44" s="387">
        <f>'CO Attainment'!E14</f>
        <v>0</v>
      </c>
      <c r="C44" s="388"/>
      <c r="D44" s="385">
        <f>IFERROR(ROUNDUP($B$44*B14/3,2),"")</f>
        <v>0</v>
      </c>
      <c r="E44" s="385">
        <f t="shared" ref="E44:R44" si="19">IFERROR(ROUNDUP($B$44*C14/3,2),"")</f>
        <v>0</v>
      </c>
      <c r="F44" s="385">
        <f t="shared" si="19"/>
        <v>0</v>
      </c>
      <c r="G44" s="385">
        <f t="shared" si="19"/>
        <v>0</v>
      </c>
      <c r="H44" s="385">
        <f t="shared" si="19"/>
        <v>0</v>
      </c>
      <c r="I44" s="385">
        <f t="shared" si="19"/>
        <v>0</v>
      </c>
      <c r="J44" s="385">
        <f t="shared" si="19"/>
        <v>0</v>
      </c>
      <c r="K44" s="385">
        <f t="shared" si="19"/>
        <v>0</v>
      </c>
      <c r="L44" s="385">
        <f t="shared" si="19"/>
        <v>0</v>
      </c>
      <c r="M44" s="385">
        <f t="shared" si="19"/>
        <v>0</v>
      </c>
      <c r="N44" s="385">
        <f t="shared" si="19"/>
        <v>0</v>
      </c>
      <c r="O44" s="385">
        <f t="shared" si="19"/>
        <v>0</v>
      </c>
      <c r="P44" s="385">
        <f t="shared" si="19"/>
        <v>0</v>
      </c>
      <c r="Q44" s="385">
        <f t="shared" si="19"/>
        <v>0</v>
      </c>
      <c r="R44" s="385">
        <f t="shared" si="19"/>
        <v>0</v>
      </c>
      <c r="S44" s="1"/>
      <c r="T44" s="1"/>
      <c r="U44" s="1"/>
      <c r="V44" s="1"/>
      <c r="W44" s="1"/>
      <c r="X44" s="1"/>
      <c r="Y44" s="1"/>
      <c r="Z44" s="1"/>
      <c r="AA44" s="1"/>
    </row>
    <row r="45" ht="21" customHeight="1" spans="1:27" x14ac:dyDescent="0.25">
      <c r="A45" s="362"/>
      <c r="B45" s="390" t="s">
        <v>279</v>
      </c>
      <c r="C45" s="391"/>
      <c r="D45" s="392">
        <f>SUM(D39:D44)</f>
        <v>8.02</v>
      </c>
      <c r="E45" s="392">
        <f t="shared" ref="E45:R45" si="20">SUM(E39:E44)</f>
        <v>4.0200000000000005</v>
      </c>
      <c r="F45" s="392">
        <f t="shared" si="20"/>
        <v>4.69</v>
      </c>
      <c r="G45" s="392">
        <f t="shared" si="20"/>
        <v>1.34</v>
      </c>
      <c r="H45" s="392">
        <f t="shared" si="20"/>
        <v>2.68</v>
      </c>
      <c r="I45" s="392">
        <f t="shared" si="20"/>
        <v>0</v>
      </c>
      <c r="J45" s="392">
        <f t="shared" si="20"/>
        <v>0</v>
      </c>
      <c r="K45" s="392">
        <f t="shared" si="20"/>
        <v>0</v>
      </c>
      <c r="L45" s="392">
        <f t="shared" si="20"/>
        <v>3.3500000000000005</v>
      </c>
      <c r="M45" s="392">
        <f t="shared" si="20"/>
        <v>1.34</v>
      </c>
      <c r="N45" s="392">
        <f t="shared" si="20"/>
        <v>1.34</v>
      </c>
      <c r="O45" s="392">
        <f t="shared" si="20"/>
        <v>1.34</v>
      </c>
      <c r="P45" s="392">
        <f t="shared" si="20"/>
        <v>3.35</v>
      </c>
      <c r="Q45" s="392">
        <f t="shared" si="20"/>
        <v>0</v>
      </c>
      <c r="R45" s="392">
        <f t="shared" si="20"/>
        <v>0</v>
      </c>
      <c r="S45" s="1"/>
      <c r="T45" s="1"/>
      <c r="U45" s="1"/>
      <c r="V45" s="1"/>
      <c r="W45" s="1"/>
      <c r="X45" s="1"/>
      <c r="Y45" s="1"/>
      <c r="Z45" s="1"/>
      <c r="AA45" s="1"/>
    </row>
    <row r="46" ht="21.75" customHeight="1" spans="1:27" x14ac:dyDescent="0.25">
      <c r="A46" s="365"/>
      <c r="B46" s="393" t="s">
        <v>280</v>
      </c>
      <c r="C46" s="394"/>
      <c r="D46" s="392">
        <f>SUM(B9:B14)</f>
        <v>12</v>
      </c>
      <c r="E46" s="392">
        <f t="shared" ref="E46:R46" si="21">SUM(C9:C14)</f>
        <v>6</v>
      </c>
      <c r="F46" s="392">
        <f t="shared" si="21"/>
        <v>7</v>
      </c>
      <c r="G46" s="392">
        <f>SUM(E9:E14)</f>
        <v>2</v>
      </c>
      <c r="H46" s="392">
        <f>SUM(F9:F14)</f>
        <v>4</v>
      </c>
      <c r="I46" s="392">
        <f t="shared" si="21"/>
        <v>0</v>
      </c>
      <c r="J46" s="392">
        <f t="shared" si="21"/>
        <v>0</v>
      </c>
      <c r="K46" s="392">
        <f t="shared" si="21"/>
        <v>0</v>
      </c>
      <c r="L46" s="392">
        <f t="shared" si="21"/>
        <v>5</v>
      </c>
      <c r="M46" s="392">
        <f t="shared" si="21"/>
        <v>2</v>
      </c>
      <c r="N46" s="392">
        <f t="shared" si="21"/>
        <v>2</v>
      </c>
      <c r="O46" s="392">
        <f t="shared" si="21"/>
        <v>2</v>
      </c>
      <c r="P46" s="392">
        <f t="shared" si="21"/>
        <v>5</v>
      </c>
      <c r="Q46" s="392">
        <f t="shared" si="21"/>
        <v>0</v>
      </c>
      <c r="R46" s="392">
        <f t="shared" si="21"/>
        <v>0</v>
      </c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 spans="1:27" x14ac:dyDescent="0.25">
      <c r="A47" s="368" t="s">
        <v>281</v>
      </c>
      <c r="B47" s="34"/>
      <c r="C47" s="395" t="s">
        <v>282</v>
      </c>
      <c r="D47" s="396">
        <f>IFERROR((D45/D46)*100,0)</f>
        <v>66.83333333333333</v>
      </c>
      <c r="E47" s="397">
        <f t="shared" ref="E47:R47" si="22">IFERROR((E45/E46)*100,0)</f>
        <v>67</v>
      </c>
      <c r="F47" s="397">
        <f t="shared" si="22"/>
        <v>67</v>
      </c>
      <c r="G47" s="397">
        <f t="shared" si="22"/>
        <v>67</v>
      </c>
      <c r="H47" s="397">
        <f>IFERROR((H45/H46)*100,0)</f>
        <v>67</v>
      </c>
      <c r="I47" s="397">
        <f t="shared" si="22"/>
        <v>0</v>
      </c>
      <c r="J47" s="397">
        <f t="shared" si="22"/>
        <v>0</v>
      </c>
      <c r="K47" s="397">
        <f t="shared" si="22"/>
        <v>0</v>
      </c>
      <c r="L47" s="397">
        <f t="shared" si="22"/>
        <v>67.00000000000001</v>
      </c>
      <c r="M47" s="397">
        <f t="shared" si="22"/>
        <v>67</v>
      </c>
      <c r="N47" s="397">
        <f t="shared" si="22"/>
        <v>67</v>
      </c>
      <c r="O47" s="397">
        <f t="shared" si="22"/>
        <v>67</v>
      </c>
      <c r="P47" s="397">
        <f t="shared" si="22"/>
        <v>67</v>
      </c>
      <c r="Q47" s="397">
        <f t="shared" si="22"/>
        <v>0</v>
      </c>
      <c r="R47" s="398">
        <f t="shared" si="22"/>
        <v>0</v>
      </c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 spans="1:27" x14ac:dyDescent="0.25">
      <c r="A48" s="1"/>
      <c r="B48" s="1"/>
      <c r="C48" s="373" t="s">
        <v>283</v>
      </c>
      <c r="D48" s="374" t="s">
        <v>234</v>
      </c>
      <c r="E48" s="375" t="s">
        <v>235</v>
      </c>
      <c r="F48" s="375" t="s">
        <v>236</v>
      </c>
      <c r="G48" s="375" t="s">
        <v>237</v>
      </c>
      <c r="H48" s="375" t="s">
        <v>238</v>
      </c>
      <c r="I48" s="375" t="s">
        <v>239</v>
      </c>
      <c r="J48" s="375" t="s">
        <v>240</v>
      </c>
      <c r="K48" s="375" t="s">
        <v>241</v>
      </c>
      <c r="L48" s="375" t="s">
        <v>242</v>
      </c>
      <c r="M48" s="375" t="s">
        <v>243</v>
      </c>
      <c r="N48" s="375" t="s">
        <v>244</v>
      </c>
      <c r="O48" s="375" t="s">
        <v>245</v>
      </c>
      <c r="P48" s="376" t="s">
        <v>246</v>
      </c>
      <c r="Q48" s="376" t="s">
        <v>247</v>
      </c>
      <c r="R48" s="377" t="s">
        <v>248</v>
      </c>
      <c r="S48" s="1"/>
      <c r="T48" s="1"/>
      <c r="U48" s="1"/>
      <c r="V48" s="1"/>
      <c r="W48" s="1"/>
      <c r="X48" s="1"/>
      <c r="Y48" s="1"/>
      <c r="Z48" s="1"/>
      <c r="AA48" s="1"/>
    </row>
    <row r="49" ht="22.5" customHeight="1" spans="1:27" x14ac:dyDescent="0.25">
      <c r="A49" s="378"/>
      <c r="B49" s="1"/>
      <c r="C49" s="108"/>
      <c r="D49" s="399">
        <f t="shared" ref="D49:R49" si="23">IFERROR(ROUNDUP(D47*B15/100,2),"")</f>
        <v>1.61</v>
      </c>
      <c r="E49" s="400">
        <f t="shared" si="23"/>
        <v>0.81</v>
      </c>
      <c r="F49" s="400">
        <f t="shared" si="23"/>
        <v>0.9400000000000001</v>
      </c>
      <c r="G49" s="400">
        <f t="shared" si="23"/>
        <v>0.67</v>
      </c>
      <c r="H49" s="400">
        <f>IFERROR(ROUNDUP(H47*F15/100,2),"")</f>
        <v>1.34</v>
      </c>
      <c r="I49" s="400">
        <f t="shared" si="23"/>
      </c>
      <c r="J49" s="400">
        <f t="shared" si="23"/>
      </c>
      <c r="K49" s="400">
        <f t="shared" si="23"/>
      </c>
      <c r="L49" s="400">
        <f t="shared" si="23"/>
        <v>1.12</v>
      </c>
      <c r="M49" s="400">
        <f t="shared" si="23"/>
        <v>0.67</v>
      </c>
      <c r="N49" s="400">
        <f t="shared" si="23"/>
        <v>0.67</v>
      </c>
      <c r="O49" s="400">
        <f t="shared" si="23"/>
        <v>0.67</v>
      </c>
      <c r="P49" s="400">
        <f t="shared" si="23"/>
        <v>0.67</v>
      </c>
      <c r="Q49" s="400">
        <f t="shared" si="23"/>
      </c>
      <c r="R49" s="400">
        <f t="shared" si="23"/>
      </c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 spans="1:27" x14ac:dyDescent="0.25">
      <c r="A52" s="1"/>
      <c r="B52" s="1"/>
      <c r="C52" s="289" t="s">
        <v>230</v>
      </c>
      <c r="D52" s="62"/>
      <c r="E52" s="401"/>
      <c r="F52" s="3"/>
      <c r="G52" s="62"/>
      <c r="H52" s="1"/>
      <c r="I52" s="1"/>
      <c r="J52" s="1"/>
      <c r="K52" s="1"/>
      <c r="L52" s="1"/>
      <c r="M52" s="1"/>
      <c r="N52" s="289" t="s">
        <v>231</v>
      </c>
      <c r="O52" s="62"/>
      <c r="P52" s="401"/>
      <c r="Q52" s="3"/>
      <c r="R52" s="62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 spans="1:27" x14ac:dyDescent="0.25">
      <c r="A53" s="1"/>
      <c r="B53" s="1"/>
      <c r="C53" s="221"/>
      <c r="D53" s="56"/>
      <c r="E53" s="221"/>
      <c r="F53" s="222"/>
      <c r="G53" s="56"/>
      <c r="H53" s="1"/>
      <c r="I53" s="1"/>
      <c r="J53" s="1"/>
      <c r="K53" s="1"/>
      <c r="L53" s="1"/>
      <c r="M53" s="1"/>
      <c r="N53" s="221"/>
      <c r="O53" s="56"/>
      <c r="P53" s="221"/>
      <c r="Q53" s="222"/>
      <c r="R53" s="56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 spans="1:27" x14ac:dyDescent="0.25">
      <c r="A54" s="1"/>
      <c r="B54" s="1"/>
      <c r="C54" s="13"/>
      <c r="D54" s="285"/>
      <c r="E54" s="13"/>
      <c r="F54" s="14"/>
      <c r="G54" s="285"/>
      <c r="H54" s="1"/>
      <c r="I54" s="1"/>
      <c r="J54" s="1"/>
      <c r="K54" s="1"/>
      <c r="L54" s="1"/>
      <c r="M54" s="1"/>
      <c r="N54" s="13"/>
      <c r="O54" s="285"/>
      <c r="P54" s="13"/>
      <c r="Q54" s="14"/>
      <c r="R54" s="285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 spans="1:27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 spans="1:27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5.75" customHeight="1" spans="1:27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38">
    <mergeCell ref="A1:O1"/>
    <mergeCell ref="A2:O2"/>
    <mergeCell ref="A3:O3"/>
    <mergeCell ref="A4:B4"/>
    <mergeCell ref="C4:F4"/>
    <mergeCell ref="A5:B5"/>
    <mergeCell ref="A6:B6"/>
    <mergeCell ref="C6:F6"/>
    <mergeCell ref="A7:B7"/>
    <mergeCell ref="C7:F7"/>
    <mergeCell ref="A21:R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B32"/>
    <mergeCell ref="C33:C34"/>
    <mergeCell ref="A36:R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B47"/>
    <mergeCell ref="C48:C49"/>
    <mergeCell ref="C52:D54"/>
    <mergeCell ref="E52:G54"/>
    <mergeCell ref="N52:O54"/>
    <mergeCell ref="P52:R54"/>
  </mergeCells>
  <pageMargins left="0.7" right="0.7" top="0.75" bottom="0.75" header="0" footer="0"/>
  <pageSetup orientation="landscape" horizontalDpi="4294967295" verticalDpi="4294967295" scale="46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 zoomScale="100" zoomScaleNormal="100">
      <selection activeCell="B6" sqref="B6"/>
    </sheetView>
  </sheetViews>
  <sheetFormatPr defaultRowHeight="15" outlineLevelRow="0" outlineLevelCol="0" x14ac:dyDescent="0.3" defaultColWidth="14.44140625"/>
  <cols>
    <col min="1" max="1" width="34.33203125" customWidth="1"/>
    <col min="2" max="2" width="15.33203125" customWidth="1"/>
    <col min="3" max="3" width="19" customWidth="1"/>
    <col min="4" max="4" width="28.109375" customWidth="1"/>
    <col min="5" max="5" width="16.6640625" customWidth="1"/>
    <col min="15" max="15" width="17.33203125" customWidth="1"/>
  </cols>
  <sheetData>
    <row r="1" ht="15.75" customHeight="1" spans="1:15" x14ac:dyDescent="0.25">
      <c r="A1" s="260" t="s">
        <v>216</v>
      </c>
      <c r="B1" s="33"/>
      <c r="C1" s="33"/>
      <c r="D1" s="33"/>
      <c r="E1" s="33"/>
      <c r="F1" s="34"/>
      <c r="G1" s="164"/>
      <c r="H1" s="164"/>
      <c r="I1" s="164"/>
      <c r="J1" s="164"/>
      <c r="K1" s="164"/>
      <c r="L1" s="164"/>
      <c r="M1" s="164"/>
      <c r="N1" s="164"/>
      <c r="O1" s="164"/>
    </row>
    <row r="2" ht="15.75" customHeight="1" spans="1:15" x14ac:dyDescent="0.25">
      <c r="A2" s="260" t="str">
        <f>'IA Marks'!D1</f>
        <v>
</v>
      </c>
      <c r="B2" s="33"/>
      <c r="C2" s="33"/>
      <c r="D2" s="33"/>
      <c r="E2" s="33"/>
      <c r="F2" s="34"/>
      <c r="G2" s="164"/>
      <c r="H2" s="164"/>
      <c r="I2" s="164"/>
      <c r="J2" s="164"/>
      <c r="K2" s="164"/>
      <c r="L2" s="164"/>
      <c r="M2" s="164"/>
      <c r="N2" s="164"/>
      <c r="O2" s="164"/>
    </row>
    <row r="3" ht="15.75" customHeight="1" spans="1:26" x14ac:dyDescent="0.25">
      <c r="A3" s="260" t="str">
        <f>'IA Marks'!D3</f>
        <v>Department of Computer Science and Engineering - Cyber Security Program</v>
      </c>
      <c r="B3" s="33"/>
      <c r="C3" s="33"/>
      <c r="D3" s="33"/>
      <c r="E3" s="33"/>
      <c r="F3" s="3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ht="15.75" customHeight="1" spans="1:26" x14ac:dyDescent="0.25">
      <c r="A4" s="58" t="s">
        <v>217</v>
      </c>
      <c r="B4" s="261" t="str">
        <f>'IA Marks'!N4</f>
        <v>2024-25</v>
      </c>
      <c r="C4" s="5"/>
      <c r="D4" s="94"/>
      <c r="E4" s="262" t="s">
        <v>218</v>
      </c>
      <c r="F4" s="263" t="s">
        <v>219</v>
      </c>
      <c r="G4" s="264"/>
      <c r="H4" s="2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5.75" customHeight="1" spans="1:26" x14ac:dyDescent="0.25">
      <c r="A5" s="265" t="s">
        <v>220</v>
      </c>
      <c r="B5" s="266" t="str">
        <f>'IA Marks'!AI5&amp;"/"&amp;'IA Marks'!AP4</f>
        <v>Computer Organization and Architecture/S23CY304PC</v>
      </c>
      <c r="C5" s="16"/>
      <c r="D5" s="267"/>
      <c r="E5" s="70"/>
      <c r="F5" s="70"/>
      <c r="G5" s="164"/>
      <c r="H5" s="268" t="str">
        <f>'IA Marks'!BN5</f>
        <v>Attainment Level 1: 40% of maximum marks </v>
      </c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ht="15.75" customHeight="1" spans="1:26" x14ac:dyDescent="0.25">
      <c r="A6" s="269" t="s">
        <v>221</v>
      </c>
      <c r="B6" s="270" t="str">
        <f>'IA Marks'!J5</f>
        <v>Dr. Kiran B. Malagi</v>
      </c>
      <c r="C6" s="42"/>
      <c r="D6" s="102"/>
      <c r="E6" s="70"/>
      <c r="F6" s="70"/>
      <c r="G6" s="264"/>
      <c r="H6" s="268" t="str">
        <f>'IA Marks'!BN6</f>
        <v>Attainment Level 2: 50% of maximum marks 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ht="15.75" customHeight="1" spans="1:15" x14ac:dyDescent="0.25">
      <c r="A7" s="271" t="s">
        <v>222</v>
      </c>
      <c r="B7" s="33"/>
      <c r="C7" s="33"/>
      <c r="D7" s="34"/>
      <c r="E7" s="70"/>
      <c r="F7" s="70"/>
      <c r="G7" s="164"/>
      <c r="H7" s="268" t="str">
        <f>'IA Marks'!BN7</f>
        <v>Attainment Level 3: 60% of maximum marks </v>
      </c>
      <c r="I7" s="164"/>
      <c r="J7" s="164"/>
      <c r="K7" s="164"/>
      <c r="L7" s="164"/>
      <c r="M7" s="164"/>
      <c r="N7" s="164"/>
      <c r="O7" s="164"/>
    </row>
    <row r="8" ht="31.5" customHeight="1" spans="1:15" x14ac:dyDescent="0.25">
      <c r="A8" s="272" t="s">
        <v>223</v>
      </c>
      <c r="B8" s="273" t="s">
        <v>224</v>
      </c>
      <c r="C8" s="274" t="s">
        <v>225</v>
      </c>
      <c r="D8" s="275" t="s">
        <v>226</v>
      </c>
      <c r="E8" s="108"/>
      <c r="F8" s="70"/>
      <c r="G8" s="164"/>
      <c r="H8" s="276" t="s">
        <v>227</v>
      </c>
      <c r="I8" s="3"/>
      <c r="J8" s="3"/>
      <c r="K8" s="62"/>
      <c r="L8" s="164"/>
      <c r="M8" s="164"/>
      <c r="N8" s="164"/>
      <c r="O8" s="164"/>
    </row>
    <row r="9" ht="27.75" customHeight="1" spans="1:15" x14ac:dyDescent="0.25">
      <c r="A9" s="277" t="str">
        <f>'Course End Survey (CES)'!B4</f>
        <v>S23CY304PC.1</v>
      </c>
      <c r="B9" s="278">
        <f>IF('IA Marks'!BI11,'IA Marks'!BK9," ")</f>
        <v>3</v>
      </c>
      <c r="C9" s="278">
        <f>IF('SEE Marks'!AI11,'SEE Marks'!AK9," ")</f>
        <v>3</v>
      </c>
      <c r="D9" s="279">
        <f>IFERROR('IA Marks'!$BG$2%*C9+'IA Marks'!$BG$1%*B9,"")</f>
        <v>3</v>
      </c>
      <c r="E9" s="280">
        <f>IF('Course End Survey (CES)'!B8,'Course End Survey (CES)'!B9,"")</f>
        <v>2</v>
      </c>
      <c r="F9" s="281">
        <f>IFERROR(ROUNDUP('IA Marks'!$BG$3%*D9+'IA Marks'!$BG$4%*E9,2),"")</f>
        <v>2.8</v>
      </c>
      <c r="G9" s="164"/>
      <c r="H9" s="221"/>
      <c r="I9" s="222"/>
      <c r="J9" s="222"/>
      <c r="K9" s="56"/>
      <c r="L9" s="164"/>
      <c r="M9" s="164"/>
      <c r="N9" s="164"/>
      <c r="O9" s="164"/>
    </row>
    <row r="10" ht="27.75" customHeight="1" spans="1:15" x14ac:dyDescent="0.25">
      <c r="A10" s="277" t="str">
        <f>'Course End Survey (CES)'!C4</f>
        <v>S23CY304PC.2</v>
      </c>
      <c r="B10" s="278">
        <f>IF('IA Marks'!BL11,'IA Marks'!BN9," ")</f>
        <v>3</v>
      </c>
      <c r="C10" s="278">
        <f>IF('SEE Marks'!AL11,'SEE Marks'!AN9," ")</f>
        <v>3</v>
      </c>
      <c r="D10" s="279">
        <f>IFERROR('IA Marks'!$BG$2%*C10+'IA Marks'!$BG$1%*B10,"")</f>
        <v>3</v>
      </c>
      <c r="E10" s="282">
        <f>IF('Course End Survey (CES)'!C8,'Course End Survey (CES)'!C9,"")</f>
        <v>2</v>
      </c>
      <c r="F10" s="283">
        <f>IFERROR(ROUNDUP('IA Marks'!$BG$3%*D10+'IA Marks'!$BG$4%*E10,2),"")</f>
        <v>2.8</v>
      </c>
      <c r="G10" s="164"/>
      <c r="H10" s="221"/>
      <c r="I10" s="222"/>
      <c r="J10" s="222"/>
      <c r="K10" s="56"/>
      <c r="L10" s="164"/>
      <c r="M10" s="164"/>
      <c r="N10" s="164"/>
      <c r="O10" s="164"/>
    </row>
    <row r="11" ht="27.75" customHeight="1" spans="1:15" x14ac:dyDescent="0.25">
      <c r="A11" s="277" t="str">
        <f>'Course End Survey (CES)'!D4</f>
        <v>S23CY304PC.3</v>
      </c>
      <c r="B11" s="278">
        <f>IF('IA Marks'!BO11,'IA Marks'!BQ9," ")</f>
        <v>3</v>
      </c>
      <c r="C11" s="278">
        <f>IF('SEE Marks'!AO11,'SEE Marks'!AQ9," ")</f>
        <v>3</v>
      </c>
      <c r="D11" s="279">
        <f>IFERROR('IA Marks'!$BG$2%*C11+'IA Marks'!$BG$1%*B11,"")</f>
        <v>3</v>
      </c>
      <c r="E11" s="282">
        <f>IF('Course End Survey (CES)'!D8,'Course End Survey (CES)'!D9,"")</f>
        <v>2</v>
      </c>
      <c r="F11" s="283">
        <f>IFERROR(ROUNDUP('IA Marks'!$BG$3%*D11+'IA Marks'!$BG$4%*E11,2),"")</f>
        <v>2.8</v>
      </c>
      <c r="G11" s="164"/>
      <c r="H11" s="284" t="s">
        <v>228</v>
      </c>
      <c r="I11" s="222"/>
      <c r="J11" s="222"/>
      <c r="K11" s="56"/>
      <c r="L11" s="164"/>
      <c r="M11" s="164"/>
      <c r="N11" s="164"/>
      <c r="O11" s="164"/>
    </row>
    <row r="12" ht="26.25" customHeight="1" spans="1:15" x14ac:dyDescent="0.25">
      <c r="A12" s="277" t="str">
        <f>'Course End Survey (CES)'!E4</f>
        <v>S23CY304PC.4</v>
      </c>
      <c r="B12" s="278">
        <f>IF('IA Marks'!BR11,'IA Marks'!BT9," ")</f>
        <v>3</v>
      </c>
      <c r="C12" s="278">
        <f>IF('SEE Marks'!AR11,'SEE Marks'!AT9," ")</f>
        <v>3</v>
      </c>
      <c r="D12" s="279">
        <f>IFERROR('IA Marks'!$BG$2%*C12+'IA Marks'!$BG$1%*B12,"")</f>
        <v>3</v>
      </c>
      <c r="E12" s="282">
        <f>IF('Course End Survey (CES)'!E8,'Course End Survey (CES)'!E9,"")</f>
        <v>2</v>
      </c>
      <c r="F12" s="283">
        <f>IFERROR(ROUNDUP('IA Marks'!$BG$3%*D12+'IA Marks'!$BG$4%*E12,2),"")</f>
        <v>2.8</v>
      </c>
      <c r="G12" s="164"/>
      <c r="H12" s="221"/>
      <c r="I12" s="222"/>
      <c r="J12" s="222"/>
      <c r="K12" s="56"/>
      <c r="L12" s="164"/>
      <c r="M12" s="164"/>
      <c r="N12" s="164"/>
      <c r="O12" s="164"/>
    </row>
    <row r="13" ht="26.25" customHeight="1" spans="1:15" x14ac:dyDescent="0.25">
      <c r="A13" s="277" t="str">
        <f>'Course End Survey (CES)'!F4</f>
        <v>S23CY304PC.5</v>
      </c>
      <c r="B13" s="278">
        <f>IF('IA Marks'!BU11,'IA Marks'!BW9," ")</f>
        <v>3</v>
      </c>
      <c r="C13" s="278">
        <f>IF('SEE Marks'!AU11,'SEE Marks'!AW9," ")</f>
        <v>3</v>
      </c>
      <c r="D13" s="279">
        <f>IFERROR('IA Marks'!$BG$2%*C13+'IA Marks'!$BG$1%*B13,"")</f>
        <v>3</v>
      </c>
      <c r="E13" s="282">
        <f>IF('Course End Survey (CES)'!F8,'Course End Survey (CES)'!F9,"")</f>
        <v>2</v>
      </c>
      <c r="F13" s="283">
        <f>IFERROR(ROUNDUP('IA Marks'!$BG$3%*D13+'IA Marks'!$BG$4%*E13,2),"")</f>
        <v>2.8</v>
      </c>
      <c r="G13" s="164"/>
      <c r="H13" s="221"/>
      <c r="I13" s="222"/>
      <c r="J13" s="222"/>
      <c r="K13" s="56"/>
      <c r="L13" s="164"/>
      <c r="M13" s="164"/>
      <c r="N13" s="164"/>
      <c r="O13" s="164"/>
    </row>
    <row r="14" ht="26.25" customHeight="1" spans="1:26" x14ac:dyDescent="0.25">
      <c r="A14" s="277" t="str">
        <f>'Course End Survey (CES)'!G4</f>
        <v>S23CY304PC.6</v>
      </c>
      <c r="B14" s="278" t="str">
        <f>IF('IA Marks'!BX11,'IA Marks'!BZ9," ")</f>
        <v> </v>
      </c>
      <c r="C14" s="278">
        <f>IF('SEE Marks'!AX11,'SEE Marks'!AZ9," ")</f>
        <v>3</v>
      </c>
      <c r="D14" s="279">
        <f>IFERROR('IA Marks'!$BG$2%*C14+'IA Marks'!$BG$1%*B14,"")</f>
      </c>
      <c r="E14" s="282">
        <f>'Course End Survey (CES)'!G9</f>
        <v>0</v>
      </c>
      <c r="F14" s="283">
        <f>IFERROR(ROUNDUP('IA Marks'!$BG$3%*D14+'IA Marks'!$BG$4%*E14,2),"")</f>
      </c>
      <c r="G14" s="164"/>
      <c r="H14" s="13"/>
      <c r="I14" s="14"/>
      <c r="J14" s="14"/>
      <c r="K14" s="285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ht="27" customHeight="1" spans="1:15" x14ac:dyDescent="0.25">
      <c r="A15" s="239" t="s">
        <v>229</v>
      </c>
      <c r="B15" s="33"/>
      <c r="C15" s="33"/>
      <c r="D15" s="286">
        <f>IFERROR(ROUNDUP(AVERAGE(D9:D13),2),"")</f>
        <v>3</v>
      </c>
      <c r="E15" s="287">
        <f>IFERROR(ROUNDUP(AVERAGE(E9:E13),2),"")</f>
        <v>2</v>
      </c>
      <c r="F15" s="288">
        <f>IFERROR(ROUNDUP(AVERAGE(F9:F13),2),"")</f>
        <v>2.8</v>
      </c>
      <c r="G15" s="164"/>
      <c r="H15" s="164"/>
      <c r="I15" s="164"/>
      <c r="J15" s="164"/>
      <c r="K15" s="164"/>
      <c r="L15" s="164"/>
      <c r="M15" s="164"/>
      <c r="N15" s="164"/>
      <c r="O15" s="164"/>
    </row>
    <row r="16" ht="27" customHeight="1" spans="1:15" x14ac:dyDescent="0.25">
      <c r="A16" s="164"/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</row>
    <row r="17" ht="15.75" customHeight="1" spans="1:15" x14ac:dyDescent="0.25">
      <c r="A17" s="86" t="s">
        <v>230</v>
      </c>
      <c r="B17" s="289"/>
      <c r="C17" s="62"/>
      <c r="D17" s="289" t="s">
        <v>231</v>
      </c>
      <c r="E17" s="289"/>
      <c r="F17" s="62"/>
      <c r="G17" s="164"/>
      <c r="H17" s="164"/>
      <c r="I17" s="164"/>
      <c r="J17" s="164"/>
      <c r="K17" s="164"/>
      <c r="L17" s="164"/>
      <c r="M17" s="164"/>
      <c r="N17" s="164"/>
      <c r="O17" s="164"/>
    </row>
    <row r="18" ht="15.75" customHeight="1" spans="1:15" x14ac:dyDescent="0.25">
      <c r="A18" s="221"/>
      <c r="B18" s="221"/>
      <c r="C18" s="56"/>
      <c r="D18" s="221"/>
      <c r="E18" s="221"/>
      <c r="F18" s="56"/>
      <c r="G18" s="164"/>
      <c r="H18" s="164"/>
      <c r="I18" s="164"/>
      <c r="J18" s="164"/>
      <c r="K18" s="164"/>
      <c r="L18" s="164"/>
      <c r="M18" s="164"/>
      <c r="N18" s="164"/>
      <c r="O18" s="164"/>
    </row>
    <row r="19" ht="15.75" customHeight="1" spans="1:15" x14ac:dyDescent="0.25">
      <c r="A19" s="13"/>
      <c r="B19" s="13"/>
      <c r="C19" s="285"/>
      <c r="D19" s="13"/>
      <c r="E19" s="13"/>
      <c r="F19" s="285"/>
      <c r="G19" s="164"/>
      <c r="H19" s="164"/>
      <c r="I19" s="164"/>
      <c r="J19" s="164"/>
      <c r="K19" s="164"/>
      <c r="L19" s="164"/>
      <c r="M19" s="164"/>
      <c r="N19" s="164"/>
      <c r="O19" s="164"/>
    </row>
    <row r="20" ht="15.75" customHeight="1" spans="1:15" x14ac:dyDescent="0.25">
      <c r="A20" s="164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</row>
    <row r="21" ht="15.75" customHeight="1" spans="1:15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</row>
    <row r="22" ht="15.75" customHeight="1" spans="1:15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</row>
    <row r="23" ht="15.75" customHeight="1" spans="1:15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</row>
    <row r="24" ht="15.75" customHeight="1" spans="1:15" x14ac:dyDescent="0.25">
      <c r="A24" s="164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</row>
    <row r="25" ht="15.75" customHeight="1" spans="1:15" x14ac:dyDescent="0.25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</row>
    <row r="26" ht="15.75" customHeight="1" spans="1:15" x14ac:dyDescent="0.25">
      <c r="A26" s="164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</row>
    <row r="27" ht="15.75" customHeight="1" spans="1:15" x14ac:dyDescent="0.25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</row>
    <row r="28" ht="15" customHeight="1" spans="1:15" x14ac:dyDescent="0.25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</row>
    <row r="29" ht="15" customHeight="1" spans="1:15" x14ac:dyDescent="0.25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</row>
    <row r="30" ht="15" customHeight="1" spans="1:15" x14ac:dyDescent="0.25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</row>
    <row r="31" ht="15" customHeight="1" spans="1:15" x14ac:dyDescent="0.25">
      <c r="A31" s="164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</row>
    <row r="32" ht="15" customHeight="1" spans="1:15" x14ac:dyDescent="0.25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</row>
    <row r="33" ht="15" customHeight="1" spans="1:15" x14ac:dyDescent="0.25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</row>
    <row r="34" ht="15" customHeight="1" spans="1:15" x14ac:dyDescent="0.25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</row>
    <row r="35" ht="15" customHeight="1" spans="1:15" x14ac:dyDescent="0.25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6">
    <mergeCell ref="A1:F1"/>
    <mergeCell ref="A2:F2"/>
    <mergeCell ref="A3:F3"/>
    <mergeCell ref="B4:D4"/>
    <mergeCell ref="B5:D5"/>
    <mergeCell ref="E4:E8"/>
    <mergeCell ref="F4:F8"/>
    <mergeCell ref="B6:D6"/>
    <mergeCell ref="A7:D7"/>
    <mergeCell ref="H8:K10"/>
    <mergeCell ref="H11:K14"/>
    <mergeCell ref="A15:C15"/>
    <mergeCell ref="B17:C19"/>
    <mergeCell ref="E17:F19"/>
    <mergeCell ref="A17:A19"/>
    <mergeCell ref="D17:D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02"/>
  <sheetViews>
    <sheetView workbookViewId="0" zoomScale="100" zoomScaleNormal="100">
      <selection activeCell="C12" sqref="C12"/>
    </sheetView>
  </sheetViews>
  <sheetFormatPr defaultRowHeight="15" outlineLevelRow="0" outlineLevelCol="0" x14ac:dyDescent="0.3" defaultColWidth="14.44140625"/>
  <cols>
    <col min="1" max="1" width="14.5546875" customWidth="1"/>
    <col min="2" max="2" width="10.6640625" customWidth="1"/>
    <col min="3" max="3" width="9.88671875" customWidth="1"/>
    <col min="4" max="4" width="6.6640625" customWidth="1"/>
    <col min="5" max="5" width="50.5546875" customWidth="1"/>
    <col min="6" max="6" width="46" customWidth="1"/>
    <col min="7" max="7" width="10.5546875" customWidth="1"/>
    <col min="8" max="26" width="8.6640625" customWidth="1"/>
  </cols>
  <sheetData>
    <row r="1" ht="12.75" customHeight="1" spans="1:6" x14ac:dyDescent="0.25">
      <c r="A1" s="225" t="s">
        <v>217</v>
      </c>
      <c r="B1" s="94"/>
      <c r="C1" s="402" t="str">
        <f>'IA Marks'!N4</f>
        <v>2024-25</v>
      </c>
      <c r="D1" s="5"/>
      <c r="E1" s="5"/>
      <c r="F1" s="94"/>
    </row>
    <row r="2" ht="12.75" customHeight="1" spans="1:6" x14ac:dyDescent="0.25">
      <c r="A2" s="403" t="s">
        <v>26</v>
      </c>
      <c r="B2" s="267"/>
      <c r="C2" s="266" t="str">
        <f>'IA Marks'!AI5</f>
        <v>Computer Organization and Architecture</v>
      </c>
      <c r="D2" s="16"/>
      <c r="E2" s="16"/>
      <c r="F2" s="267"/>
    </row>
    <row r="3" ht="12.75" customHeight="1" spans="1:6" x14ac:dyDescent="0.25">
      <c r="A3" s="403" t="s">
        <v>19</v>
      </c>
      <c r="B3" s="267"/>
      <c r="C3" s="266" t="str">
        <f>'IA Marks'!AP4</f>
        <v>S23CY304PC</v>
      </c>
      <c r="D3" s="16"/>
      <c r="E3" s="16"/>
      <c r="F3" s="267"/>
    </row>
    <row r="4" ht="12.75" customHeight="1" spans="1:6" x14ac:dyDescent="0.25">
      <c r="A4" s="404" t="s">
        <v>221</v>
      </c>
      <c r="B4" s="102"/>
      <c r="C4" s="270" t="str">
        <f>'IA Marks'!J5</f>
        <v>Dr. Kiran B. Malagi</v>
      </c>
      <c r="D4" s="42"/>
      <c r="E4" s="42"/>
      <c r="F4" s="102"/>
    </row>
    <row r="5" ht="21" customHeight="1" spans="1:7" x14ac:dyDescent="0.25">
      <c r="A5" s="405" t="s">
        <v>285</v>
      </c>
      <c r="B5" s="222"/>
      <c r="C5" s="222"/>
      <c r="D5" s="222"/>
      <c r="E5" s="222"/>
      <c r="F5" s="56"/>
      <c r="G5" s="164"/>
    </row>
    <row r="6" ht="47.4" customHeight="1" spans="1:7" x14ac:dyDescent="0.25">
      <c r="A6" s="406" t="s">
        <v>286</v>
      </c>
      <c r="B6" s="407" t="s">
        <v>287</v>
      </c>
      <c r="C6" s="408" t="s">
        <v>288</v>
      </c>
      <c r="D6" s="409" t="s">
        <v>289</v>
      </c>
      <c r="E6" s="410" t="s">
        <v>290</v>
      </c>
      <c r="F6" s="411" t="s">
        <v>291</v>
      </c>
      <c r="G6" s="164"/>
    </row>
    <row r="7" ht="12.75" customHeight="1" spans="1:7" x14ac:dyDescent="0.25">
      <c r="A7" s="412"/>
      <c r="B7" s="413"/>
      <c r="C7" s="412"/>
      <c r="D7" s="412"/>
      <c r="E7" s="412"/>
      <c r="F7" s="414"/>
      <c r="G7" s="415"/>
    </row>
    <row r="8" ht="30" customHeight="1" spans="1:7" x14ac:dyDescent="0.25">
      <c r="A8" s="416" t="str">
        <f>'CO Attainment'!A9</f>
        <v>S23CY304PC.1</v>
      </c>
      <c r="B8" s="417"/>
      <c r="C8" s="412">
        <f>'CO Attainment'!F9</f>
        <v>2.8</v>
      </c>
      <c r="D8" s="416"/>
      <c r="E8" s="418"/>
      <c r="F8" s="419"/>
      <c r="G8" s="415"/>
    </row>
    <row r="9" ht="30" customHeight="1" spans="1:7" x14ac:dyDescent="0.25">
      <c r="A9" s="416" t="str">
        <f>'CO Attainment'!A10</f>
        <v>S23CY304PC.2</v>
      </c>
      <c r="B9" s="417"/>
      <c r="C9" s="412">
        <f>'CO Attainment'!F10</f>
        <v>2.8</v>
      </c>
      <c r="D9" s="416"/>
      <c r="E9" s="418"/>
      <c r="F9" s="419"/>
      <c r="G9" s="415"/>
    </row>
    <row r="10" ht="30" customHeight="1" spans="1:7" x14ac:dyDescent="0.25">
      <c r="A10" s="416" t="str">
        <f>'CO Attainment'!A11</f>
        <v>S23CY304PC.3</v>
      </c>
      <c r="B10" s="417"/>
      <c r="C10" s="412">
        <f>'CO Attainment'!F11</f>
        <v>2.8</v>
      </c>
      <c r="D10" s="416"/>
      <c r="E10" s="418"/>
      <c r="F10" s="419"/>
      <c r="G10" s="415"/>
    </row>
    <row r="11" ht="30" customHeight="1" spans="1:7" x14ac:dyDescent="0.25">
      <c r="A11" s="416" t="str">
        <f>'CO Attainment'!A12</f>
        <v>S23CY304PC.4</v>
      </c>
      <c r="B11" s="417"/>
      <c r="C11" s="412">
        <f>'CO Attainment'!F12</f>
        <v>2.8</v>
      </c>
      <c r="D11" s="416"/>
      <c r="E11" s="418"/>
      <c r="F11" s="419"/>
      <c r="G11" s="415"/>
    </row>
    <row r="12" ht="30" customHeight="1" spans="1:7" x14ac:dyDescent="0.25">
      <c r="A12" s="416" t="str">
        <f>'CO Attainment'!A13</f>
        <v>S23CY304PC.5</v>
      </c>
      <c r="B12" s="420"/>
      <c r="C12" s="412">
        <f>'CO Attainment'!F13</f>
        <v>2.8</v>
      </c>
      <c r="D12" s="421"/>
      <c r="E12" s="422"/>
      <c r="F12" s="423"/>
      <c r="G12" s="415"/>
    </row>
    <row r="13" ht="30" customHeight="1" spans="1:6" x14ac:dyDescent="0.25">
      <c r="A13" s="416" t="str">
        <f>'CO Attainment'!A14</f>
        <v>S23CY304PC.6</v>
      </c>
      <c r="B13" s="424"/>
      <c r="C13" s="412">
        <f>'CO Attainment'!F14</f>
      </c>
      <c r="D13" s="425"/>
      <c r="E13" s="426"/>
      <c r="F13" s="427"/>
    </row>
    <row r="14" ht="18.75" customHeight="1" spans="1:6" x14ac:dyDescent="0.25">
      <c r="A14" s="164"/>
      <c r="B14" s="164"/>
      <c r="C14" s="164"/>
      <c r="D14" s="428" t="s">
        <v>292</v>
      </c>
      <c r="E14" s="14"/>
      <c r="F14" s="285"/>
    </row>
    <row r="15" ht="12.75" customHeight="1" spans="4:6" x14ac:dyDescent="0.25">
      <c r="D15" s="429" t="s">
        <v>293</v>
      </c>
      <c r="E15" s="430" t="s">
        <v>294</v>
      </c>
      <c r="F15" s="431" t="s">
        <v>295</v>
      </c>
    </row>
    <row r="16" ht="19.95" customHeight="1" spans="4:6" x14ac:dyDescent="0.25">
      <c r="D16" s="432">
        <v>1</v>
      </c>
      <c r="E16" s="433"/>
      <c r="F16" s="433"/>
    </row>
    <row r="17" ht="19.95" customHeight="1" spans="4:6" x14ac:dyDescent="0.25">
      <c r="D17" s="432">
        <v>2</v>
      </c>
      <c r="E17" s="433"/>
      <c r="F17" s="433"/>
    </row>
    <row r="18" ht="19.95" customHeight="1" spans="4:6" x14ac:dyDescent="0.25">
      <c r="D18" s="432">
        <v>3</v>
      </c>
      <c r="E18" s="433"/>
      <c r="F18" s="433"/>
    </row>
    <row r="19" ht="19.95" customHeight="1" spans="4:6" x14ac:dyDescent="0.25">
      <c r="D19" s="432">
        <v>4</v>
      </c>
      <c r="E19" s="433"/>
      <c r="F19" s="433"/>
    </row>
    <row r="20" ht="19.95" customHeight="1" spans="4:6" x14ac:dyDescent="0.25">
      <c r="D20" s="432">
        <v>5</v>
      </c>
      <c r="E20" s="433"/>
      <c r="F20" s="433"/>
    </row>
    <row r="21" ht="19.95" customHeight="1" spans="4:6" x14ac:dyDescent="0.25">
      <c r="D21" s="432">
        <v>6</v>
      </c>
      <c r="E21" s="433"/>
      <c r="F21" s="433"/>
    </row>
    <row r="22" ht="19.95" customHeight="1" spans="4:6" x14ac:dyDescent="0.25">
      <c r="D22" s="432">
        <v>7</v>
      </c>
      <c r="E22" s="433"/>
      <c r="F22" s="433"/>
    </row>
    <row r="23" ht="12.75" customHeight="1" x14ac:dyDescent="0.25"/>
    <row r="24" ht="12.75" customHeight="1" x14ac:dyDescent="0.25"/>
    <row r="25" ht="12.75" customHeight="1" spans="1:10" x14ac:dyDescent="0.25">
      <c r="A25" s="289" t="s">
        <v>230</v>
      </c>
      <c r="B25" s="3"/>
      <c r="C25" s="401"/>
      <c r="D25" s="3"/>
      <c r="E25" s="434" t="s">
        <v>231</v>
      </c>
      <c r="F25" s="435"/>
      <c r="I25" s="436"/>
      <c r="J25" s="436"/>
    </row>
    <row r="26" ht="12.75" customHeight="1" spans="1:10" x14ac:dyDescent="0.25">
      <c r="A26" s="221"/>
      <c r="B26" s="222"/>
      <c r="C26" s="221"/>
      <c r="D26" s="55"/>
      <c r="E26" s="437"/>
      <c r="F26" s="438"/>
      <c r="I26" s="436"/>
      <c r="J26" s="436"/>
    </row>
    <row r="27" ht="13.5" customHeight="1" spans="1:10" x14ac:dyDescent="0.25">
      <c r="A27" s="13"/>
      <c r="B27" s="14"/>
      <c r="C27" s="13"/>
      <c r="D27" s="14"/>
      <c r="E27" s="439"/>
      <c r="F27" s="440"/>
      <c r="I27" s="436"/>
      <c r="J27" s="436"/>
    </row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</sheetData>
  <mergeCells count="14">
    <mergeCell ref="A1:B1"/>
    <mergeCell ref="C1:F1"/>
    <mergeCell ref="A2:B2"/>
    <mergeCell ref="C2:F2"/>
    <mergeCell ref="A3:B3"/>
    <mergeCell ref="C3:F3"/>
    <mergeCell ref="A4:B4"/>
    <mergeCell ref="C4:F4"/>
    <mergeCell ref="A5:F5"/>
    <mergeCell ref="D14:F14"/>
    <mergeCell ref="A25:B27"/>
    <mergeCell ref="C25:D27"/>
    <mergeCell ref="E25:E27"/>
    <mergeCell ref="F25:F27"/>
  </mergeCells>
  <pageMargins left="0.7" right="0.7" top="0.75" bottom="0.75" header="0" footer="0"/>
  <pageSetup orientation="landscape" horizontalDpi="4294967295" verticalDpi="4294967295" scale="96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400"/>
  <sheetViews>
    <sheetView workbookViewId="0" zoomScale="100" zoomScaleNormal="100">
      <pane ySplit="12" topLeftCell="A13" activePane="bottomLeft" state="frozen"/>
      <selection pane="bottomLeft" activeCell="AZ9" sqref="AZ9"/>
    </sheetView>
  </sheetViews>
  <sheetFormatPr defaultRowHeight="15" outlineLevelRow="0" outlineLevelCol="0" x14ac:dyDescent="0.3" defaultColWidth="14.44140625"/>
  <cols>
    <col min="1" max="1" width="17.5546875" customWidth="1"/>
    <col min="2" max="2" width="36.88671875" customWidth="1"/>
    <col min="3" max="3" width="15.33203125" customWidth="1"/>
    <col min="4" max="17" width="4" customWidth="1"/>
    <col min="18" max="18" width="5.6640625" customWidth="1"/>
    <col min="19" max="24" width="4" customWidth="1"/>
    <col min="25" max="25" width="5.44140625" customWidth="1"/>
    <col min="26" max="26" width="4" customWidth="1"/>
    <col min="27" max="27" width="7.6640625" customWidth="1"/>
    <col min="28" max="33" width="4" customWidth="1"/>
    <col min="34" max="34" width="6.44140625" customWidth="1"/>
    <col min="35" max="52" width="7.44140625" customWidth="1"/>
    <col min="53" max="53" width="5.5546875" customWidth="1"/>
    <col min="54" max="55" width="9.44140625" customWidth="1"/>
    <col min="56" max="60" width="6.6640625" customWidth="1"/>
    <col min="61" max="61" width="15.109375" customWidth="1"/>
    <col min="62" max="62" width="6.44140625" customWidth="1"/>
    <col min="63" max="63" width="9.33203125" customWidth="1"/>
    <col min="64" max="64" width="7.88671875" customWidth="1"/>
    <col min="65" max="65" width="6.44140625" customWidth="1"/>
    <col min="66" max="66" width="9.33203125" customWidth="1"/>
    <col min="67" max="67" width="7.6640625" customWidth="1"/>
    <col min="68" max="68" width="6.44140625" customWidth="1"/>
    <col min="69" max="69" width="9.33203125" customWidth="1"/>
    <col min="70" max="70" width="7.6640625" customWidth="1"/>
    <col min="71" max="71" width="6.44140625" customWidth="1"/>
    <col min="72" max="72" width="9.33203125" customWidth="1"/>
    <col min="73" max="73" width="7.6640625" customWidth="1"/>
    <col min="74" max="74" width="6.44140625" customWidth="1"/>
    <col min="75" max="75" width="9.33203125" customWidth="1"/>
    <col min="76" max="76" width="7.6640625" customWidth="1"/>
    <col min="77" max="77" width="6.44140625" customWidth="1"/>
    <col min="78" max="78" width="9.33203125" customWidth="1"/>
    <col min="79" max="79" width="7.5546875" customWidth="1"/>
  </cols>
  <sheetData>
    <row r="1" ht="27" customHeight="1" spans="1:79" x14ac:dyDescent="0.25">
      <c r="A1" s="1"/>
      <c r="B1" s="1"/>
      <c r="C1" s="1"/>
      <c r="D1" s="17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5"/>
      <c r="BD1" s="5"/>
      <c r="BE1" s="5"/>
      <c r="BF1" s="5"/>
      <c r="BG1" s="6"/>
      <c r="BH1" s="175"/>
      <c r="BI1" s="8"/>
      <c r="BJ1" s="9"/>
      <c r="BK1" s="10" t="str">
        <f>'IA Marks'!BJ1</f>
        <v>LEVEL 1:</v>
      </c>
      <c r="BL1" s="11">
        <v>60</v>
      </c>
      <c r="BM1" s="8" t="s">
        <v>193</v>
      </c>
      <c r="BN1" s="176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ht="15" customHeight="1" spans="1:79" x14ac:dyDescent="0.25">
      <c r="A2" s="1"/>
      <c r="B2" s="9" t="s">
        <v>5</v>
      </c>
      <c r="C2" s="1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5"/>
      <c r="BC2" s="16"/>
      <c r="BD2" s="16"/>
      <c r="BE2" s="16"/>
      <c r="BF2" s="16"/>
      <c r="BG2" s="17"/>
      <c r="BH2" s="177"/>
      <c r="BI2" s="8"/>
      <c r="BJ2" s="9"/>
      <c r="BK2" s="10" t="str">
        <f>'IA Marks'!BJ2</f>
        <v>LEVEL 2:</v>
      </c>
      <c r="BL2" s="11">
        <v>70</v>
      </c>
      <c r="BM2" s="176"/>
      <c r="BN2" s="176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ht="15" customHeight="1" spans="1:79" x14ac:dyDescent="0.25">
      <c r="A3" s="22" t="s">
        <v>9</v>
      </c>
      <c r="B3" s="178" t="s">
        <v>194</v>
      </c>
      <c r="C3" s="22"/>
      <c r="D3" s="179" t="s">
        <v>10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"/>
      <c r="AW3" s="33"/>
      <c r="AX3" s="33"/>
      <c r="AY3" s="33"/>
      <c r="AZ3" s="33"/>
      <c r="BA3" s="33"/>
      <c r="BB3" s="26"/>
      <c r="BC3" s="16"/>
      <c r="BD3" s="16"/>
      <c r="BE3" s="16"/>
      <c r="BF3" s="16"/>
      <c r="BG3" s="17"/>
      <c r="BH3" s="180"/>
      <c r="BI3" s="181"/>
      <c r="BJ3" s="178"/>
      <c r="BK3" s="10" t="str">
        <f>'IA Marks'!BJ3</f>
        <v>LEVEL 3:</v>
      </c>
      <c r="BL3" s="11">
        <v>80</v>
      </c>
      <c r="BM3" s="182"/>
      <c r="BN3" s="18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</row>
    <row r="4" ht="15" customHeight="1" spans="1:79" x14ac:dyDescent="0.25">
      <c r="A4" s="22"/>
      <c r="B4" s="183" t="s">
        <v>195</v>
      </c>
      <c r="C4" s="22"/>
      <c r="D4" s="32" t="s">
        <v>15</v>
      </c>
      <c r="E4" s="33"/>
      <c r="F4" s="33"/>
      <c r="G4" s="33"/>
      <c r="H4" s="33"/>
      <c r="I4" s="33"/>
      <c r="J4" s="33"/>
      <c r="K4" s="34"/>
      <c r="L4" s="33"/>
      <c r="M4" s="184" t="str">
        <f>'IA Marks'!AI5&amp;"/"&amp;'IA Marks'!AP4</f>
        <v>Computer Organization and Architecture/S23CY304PC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185"/>
      <c r="Z4" s="32" t="s">
        <v>17</v>
      </c>
      <c r="AA4" s="34"/>
      <c r="AB4" s="186" t="e">
        <f t="array" ref="AB4">'IA Marks'!AC4:AE4</f>
        <v>#VALUE!</v>
      </c>
      <c r="AC4" s="24"/>
      <c r="AD4" s="185"/>
      <c r="AE4" s="39" t="s">
        <v>18</v>
      </c>
      <c r="AF4" s="187"/>
      <c r="AG4" s="32" t="s">
        <v>19</v>
      </c>
      <c r="AH4" s="33"/>
      <c r="AI4" s="33"/>
      <c r="AJ4" s="33"/>
      <c r="AK4" s="33"/>
      <c r="AL4" s="34"/>
      <c r="AM4" s="186" t="e">
        <f t="array" ref="AM4">'IA Marks'!AP4:AQ4</f>
        <v>#VALUE!</v>
      </c>
      <c r="AN4" s="185"/>
      <c r="AO4" s="33"/>
      <c r="AP4" s="32" t="s">
        <v>21</v>
      </c>
      <c r="AQ4" s="33"/>
      <c r="AR4" s="33"/>
      <c r="AS4" s="33"/>
      <c r="AT4" s="33"/>
      <c r="AU4" s="33"/>
      <c r="AV4" s="186" t="e">
        <f t="array" ref="AV4">'IA Marks'!AY4:AZ4</f>
        <v>#VALUE!</v>
      </c>
      <c r="AW4" s="185"/>
      <c r="AX4" s="3"/>
      <c r="AY4" s="3"/>
      <c r="AZ4" s="3"/>
      <c r="BA4" s="188"/>
      <c r="BB4" s="41"/>
      <c r="BC4" s="42"/>
      <c r="BD4" s="42"/>
      <c r="BE4" s="42"/>
      <c r="BF4" s="42"/>
      <c r="BG4" s="43"/>
      <c r="BH4" s="189"/>
      <c r="BI4" s="22"/>
      <c r="BJ4" s="46"/>
      <c r="BK4" s="46"/>
      <c r="BL4" s="46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</row>
    <row r="5" ht="18.6" customHeight="1" spans="1:79" x14ac:dyDescent="0.25">
      <c r="A5" s="22"/>
      <c r="B5" s="22"/>
      <c r="C5" s="22"/>
      <c r="D5" s="190" t="s">
        <v>23</v>
      </c>
      <c r="E5" s="33"/>
      <c r="F5" s="33"/>
      <c r="G5" s="34"/>
      <c r="H5" s="33"/>
      <c r="I5" s="191" t="s">
        <v>196</v>
      </c>
      <c r="J5" s="192"/>
      <c r="K5" s="192"/>
      <c r="L5" s="192"/>
      <c r="M5" s="192"/>
      <c r="N5" s="192"/>
      <c r="O5" s="192"/>
      <c r="P5" s="192"/>
      <c r="Q5" s="192"/>
      <c r="R5" s="193"/>
      <c r="S5" s="194" t="s">
        <v>25</v>
      </c>
      <c r="T5" s="195"/>
      <c r="U5" s="195"/>
      <c r="V5" s="195"/>
      <c r="W5" s="195"/>
      <c r="X5" s="195"/>
      <c r="Y5" s="196"/>
      <c r="Z5" s="197">
        <v>75</v>
      </c>
      <c r="AA5" s="32" t="s">
        <v>26</v>
      </c>
      <c r="AB5" s="33"/>
      <c r="AC5" s="33"/>
      <c r="AD5" s="33"/>
      <c r="AE5" s="33"/>
      <c r="AF5" s="198" t="e">
        <f t="array" ref="AF5">'IA Marks'!AI5:AZ5</f>
        <v>#VALUE!</v>
      </c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199"/>
      <c r="AW5" s="24"/>
      <c r="AX5" s="24"/>
      <c r="AY5" s="24"/>
      <c r="AZ5" s="24"/>
      <c r="BA5" s="185"/>
      <c r="BB5" s="54"/>
      <c r="BC5" s="55"/>
      <c r="BD5" s="55"/>
      <c r="BE5" s="55"/>
      <c r="BF5" s="55"/>
      <c r="BG5" s="55"/>
      <c r="BH5" s="56"/>
      <c r="BI5" s="200"/>
      <c r="BJ5" s="46"/>
      <c r="BK5" s="46"/>
      <c r="BL5" s="46"/>
      <c r="BM5" s="22"/>
      <c r="BN5" s="22"/>
      <c r="BO5" s="201" t="str">
        <f>BI1&amp;BL1&amp;""&amp;BM1&amp;""&amp;Z5&amp;BJ1</f>
        <v>60% students rated more than or equal to 75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 spans="1:52" x14ac:dyDescent="0.25">
      <c r="A6" s="58" t="s">
        <v>29</v>
      </c>
      <c r="B6" s="58" t="s">
        <v>30</v>
      </c>
      <c r="C6" s="59"/>
      <c r="D6" s="202" t="s">
        <v>197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62"/>
      <c r="AA6" s="203"/>
      <c r="AB6" s="203"/>
      <c r="AC6" s="203"/>
      <c r="AD6" s="203"/>
      <c r="AE6" s="203"/>
      <c r="AF6" s="203"/>
      <c r="AG6" s="203"/>
      <c r="AH6" s="203"/>
      <c r="AI6" s="46"/>
      <c r="AJ6" s="46"/>
      <c r="AK6" s="46"/>
      <c r="AL6" s="22"/>
      <c r="AM6" s="22"/>
      <c r="AN6" s="201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</row>
    <row r="7" ht="15.75" customHeight="1" spans="1:52" x14ac:dyDescent="0.25">
      <c r="A7" s="70"/>
      <c r="B7" s="70"/>
      <c r="C7" s="59" t="s">
        <v>40</v>
      </c>
      <c r="D7" s="204">
        <v>1</v>
      </c>
      <c r="E7" s="205">
        <v>2</v>
      </c>
      <c r="F7" s="205">
        <v>3</v>
      </c>
      <c r="G7" s="205">
        <v>4</v>
      </c>
      <c r="H7" s="205">
        <v>5</v>
      </c>
      <c r="I7" s="205">
        <v>6</v>
      </c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6"/>
      <c r="AA7" s="207"/>
      <c r="AB7" s="207"/>
      <c r="AC7" s="207"/>
      <c r="AD7" s="207"/>
      <c r="AE7" s="207"/>
      <c r="AF7" s="207"/>
      <c r="AG7" s="207"/>
      <c r="AH7" s="207"/>
      <c r="AI7" s="46"/>
      <c r="AJ7" s="46"/>
      <c r="AK7" s="46"/>
      <c r="AL7" s="22"/>
      <c r="AM7" s="22"/>
      <c r="AN7" s="201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</row>
    <row r="8" ht="15.75" customHeight="1" spans="1:52" x14ac:dyDescent="0.25">
      <c r="A8" s="70"/>
      <c r="B8" s="70"/>
      <c r="C8" s="59" t="s">
        <v>42</v>
      </c>
      <c r="D8" s="208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10"/>
      <c r="AA8" s="207"/>
      <c r="AB8" s="207"/>
      <c r="AC8" s="207"/>
      <c r="AD8" s="207"/>
      <c r="AE8" s="207"/>
      <c r="AF8" s="207"/>
      <c r="AG8" s="207"/>
      <c r="AH8" s="207"/>
      <c r="AI8" s="86" t="s">
        <v>58</v>
      </c>
      <c r="AJ8" s="3"/>
      <c r="AK8" s="62"/>
      <c r="AL8" s="87" t="s">
        <v>59</v>
      </c>
      <c r="AM8" s="33"/>
      <c r="AN8" s="34"/>
      <c r="AO8" s="87" t="s">
        <v>60</v>
      </c>
      <c r="AP8" s="33"/>
      <c r="AQ8" s="34"/>
      <c r="AR8" s="87" t="s">
        <v>61</v>
      </c>
      <c r="AS8" s="33"/>
      <c r="AT8" s="34"/>
      <c r="AU8" s="87" t="s">
        <v>62</v>
      </c>
      <c r="AV8" s="33"/>
      <c r="AW8" s="34"/>
      <c r="AX8" s="87" t="s">
        <v>63</v>
      </c>
      <c r="AY8" s="33"/>
      <c r="AZ8" s="34"/>
    </row>
    <row r="9" ht="15.75" customHeight="1" spans="1:52" x14ac:dyDescent="0.25">
      <c r="A9" s="70"/>
      <c r="B9" s="70"/>
      <c r="C9" s="88" t="s">
        <v>64</v>
      </c>
      <c r="D9" s="211">
        <v>60</v>
      </c>
      <c r="E9" s="212">
        <v>60</v>
      </c>
      <c r="F9" s="212">
        <v>60</v>
      </c>
      <c r="G9" s="212">
        <v>60</v>
      </c>
      <c r="H9" s="212">
        <v>60</v>
      </c>
      <c r="I9" s="212">
        <v>60</v>
      </c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3"/>
      <c r="AA9" s="207"/>
      <c r="AB9" s="207"/>
      <c r="AC9" s="207"/>
      <c r="AD9" s="207"/>
      <c r="AE9" s="207"/>
      <c r="AF9" s="207"/>
      <c r="AG9" s="207"/>
      <c r="AH9" s="207"/>
      <c r="AI9" s="93" t="s">
        <v>65</v>
      </c>
      <c r="AJ9" s="94"/>
      <c r="AK9" s="95">
        <f>IFERROR(IF(AK10&lt;BL1,0,IF(AK10&gt;=BL3,3,IF(AK10&gt;=BL2,2,1))),0)</f>
        <v>3</v>
      </c>
      <c r="AL9" s="93" t="s">
        <v>65</v>
      </c>
      <c r="AM9" s="94"/>
      <c r="AN9" s="96">
        <f>IFERROR(IF(AN10&lt;BL1,0,IF(AN10&gt;=BL3,3,IF(AN10&gt;=BL2,2,1))),0)</f>
        <v>3</v>
      </c>
      <c r="AO9" s="93" t="s">
        <v>65</v>
      </c>
      <c r="AP9" s="94"/>
      <c r="AQ9" s="96">
        <f>IFERROR(IF(AQ10&lt;BL1,0,IF(AQ10&gt;=BL3,3,IF(AQ10&gt;=BL2,2,1))),0)</f>
        <v>3</v>
      </c>
      <c r="AR9" s="93" t="s">
        <v>65</v>
      </c>
      <c r="AS9" s="94"/>
      <c r="AT9" s="96">
        <f>IFERROR(IF(AT10&lt;BL1,0,IF(AT10&gt;=BL3,3,IF(AT10&gt;=BL2,2,1))),0)</f>
        <v>3</v>
      </c>
      <c r="AU9" s="93" t="s">
        <v>65</v>
      </c>
      <c r="AV9" s="94"/>
      <c r="AW9" s="96">
        <f>IFERROR(IF(AW10&lt;BL1,0,IF(AW10&gt;=BL3,3,IF(AW10&gt;=BL2,2,1))),0)</f>
        <v>3</v>
      </c>
      <c r="AX9" s="93" t="s">
        <v>65</v>
      </c>
      <c r="AY9" s="94"/>
      <c r="AZ9" s="96">
        <f>IFERROR(IF(AZ10&lt;BL1,0,IF(AZ10&gt;=BL3,3,IF(AZ10&gt;=BL2,2,1))),0)</f>
        <v>3</v>
      </c>
    </row>
    <row r="10" ht="15.75" customHeight="1" spans="1:52" x14ac:dyDescent="0.25">
      <c r="A10" s="70"/>
      <c r="B10" s="70"/>
      <c r="C10" s="97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207"/>
      <c r="AB10" s="207"/>
      <c r="AC10" s="207"/>
      <c r="AD10" s="207"/>
      <c r="AE10" s="207"/>
      <c r="AF10" s="207"/>
      <c r="AG10" s="207"/>
      <c r="AH10" s="207"/>
      <c r="AI10" s="101" t="s">
        <v>67</v>
      </c>
      <c r="AJ10" s="102"/>
      <c r="AK10" s="103">
        <f>IFERROR(AK11/AI11*100,0)</f>
        <v>100</v>
      </c>
      <c r="AL10" s="101" t="s">
        <v>67</v>
      </c>
      <c r="AM10" s="102"/>
      <c r="AN10" s="104">
        <f>IFERROR(AN11/AL11*100,0)</f>
        <v>100</v>
      </c>
      <c r="AO10" s="101" t="s">
        <v>67</v>
      </c>
      <c r="AP10" s="102"/>
      <c r="AQ10" s="104">
        <f>IFERROR(AQ11/AO11*100,0)</f>
        <v>100</v>
      </c>
      <c r="AR10" s="101" t="s">
        <v>67</v>
      </c>
      <c r="AS10" s="102"/>
      <c r="AT10" s="104">
        <f>IFERROR(AT11/AR11*100,0)</f>
        <v>100</v>
      </c>
      <c r="AU10" s="101" t="s">
        <v>67</v>
      </c>
      <c r="AV10" s="102"/>
      <c r="AW10" s="104">
        <f>IFERROR(AW11/AU11*100,0)</f>
        <v>100</v>
      </c>
      <c r="AX10" s="101" t="s">
        <v>67</v>
      </c>
      <c r="AY10" s="102"/>
      <c r="AZ10" s="104">
        <f>IFERROR(AZ11/AX11*100,0)</f>
        <v>100</v>
      </c>
    </row>
    <row r="11" ht="15.75" customHeight="1" spans="1:52" x14ac:dyDescent="0.25">
      <c r="A11" s="70"/>
      <c r="B11" s="70"/>
      <c r="C11" s="70"/>
      <c r="AA11" s="207"/>
      <c r="AB11" s="207"/>
      <c r="AC11" s="207"/>
      <c r="AD11" s="207"/>
      <c r="AE11" s="207"/>
      <c r="AF11" s="207"/>
      <c r="AG11" s="207"/>
      <c r="AH11" s="207"/>
      <c r="AI11" s="105">
        <f>COUNTIF(AI13:AI200,"&gt;"&amp;0)</f>
        <v>123</v>
      </c>
      <c r="AJ11" s="34"/>
      <c r="AK11" s="106">
        <f>COUNTIF(AK13:AK200,"&gt;="&amp;Z5)</f>
        <v>123</v>
      </c>
      <c r="AL11" s="105">
        <f>COUNTIF(AL13:AL200,"&gt;"&amp;0)</f>
        <v>123</v>
      </c>
      <c r="AM11" s="34"/>
      <c r="AN11" s="107">
        <f>COUNTIF(AN13:AN200,"&gt;="&amp;Z5)</f>
        <v>123</v>
      </c>
      <c r="AO11" s="105">
        <f>COUNTIF(AO13:AO200,"&gt;"&amp;0)</f>
        <v>123</v>
      </c>
      <c r="AP11" s="34"/>
      <c r="AQ11" s="107">
        <f>COUNTIF(AQ13:AQ200,"&gt;="&amp;Z5)</f>
        <v>123</v>
      </c>
      <c r="AR11" s="105">
        <f>COUNTIF(AR13:AR200,"&gt;"&amp;0)</f>
        <v>123</v>
      </c>
      <c r="AS11" s="34"/>
      <c r="AT11" s="107">
        <f>COUNTIF(AT13:AT200,"&gt;="&amp;Z5)</f>
        <v>123</v>
      </c>
      <c r="AU11" s="105">
        <f>COUNTIF(AU13:AU200,"&gt;"&amp;0)</f>
        <v>123</v>
      </c>
      <c r="AV11" s="34"/>
      <c r="AW11" s="107">
        <f>COUNTIF(AW13:AW200,"&gt;="&amp;Z5)</f>
        <v>123</v>
      </c>
      <c r="AX11" s="105">
        <f>COUNTIF(AX13:AX200,"&gt;"&amp;0)</f>
        <v>123</v>
      </c>
      <c r="AY11" s="34"/>
      <c r="AZ11" s="107">
        <f>COUNTIF(AZ13:AZ200,"&gt;="&amp;Z5)</f>
        <v>123</v>
      </c>
    </row>
    <row r="12" ht="15.75" customHeight="1" spans="1:52" x14ac:dyDescent="0.25">
      <c r="A12" s="108"/>
      <c r="B12" s="108"/>
      <c r="C12" s="108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207"/>
      <c r="AB12" s="207"/>
      <c r="AC12" s="207"/>
      <c r="AD12" s="207"/>
      <c r="AE12" s="207"/>
      <c r="AF12" s="207"/>
      <c r="AG12" s="207"/>
      <c r="AH12" s="207"/>
      <c r="AI12" s="111" t="s">
        <v>68</v>
      </c>
      <c r="AJ12" s="112" t="s">
        <v>69</v>
      </c>
      <c r="AK12" s="112" t="s">
        <v>70</v>
      </c>
      <c r="AL12" s="113" t="s">
        <v>68</v>
      </c>
      <c r="AM12" s="113" t="s">
        <v>69</v>
      </c>
      <c r="AN12" s="114" t="s">
        <v>70</v>
      </c>
      <c r="AO12" s="113" t="s">
        <v>68</v>
      </c>
      <c r="AP12" s="113" t="s">
        <v>69</v>
      </c>
      <c r="AQ12" s="114" t="s">
        <v>70</v>
      </c>
      <c r="AR12" s="113" t="s">
        <v>68</v>
      </c>
      <c r="AS12" s="113" t="s">
        <v>69</v>
      </c>
      <c r="AT12" s="114" t="s">
        <v>70</v>
      </c>
      <c r="AU12" s="113" t="s">
        <v>68</v>
      </c>
      <c r="AV12" s="113" t="s">
        <v>69</v>
      </c>
      <c r="AW12" s="114" t="s">
        <v>70</v>
      </c>
      <c r="AX12" s="113" t="s">
        <v>68</v>
      </c>
      <c r="AY12" s="113" t="s">
        <v>69</v>
      </c>
      <c r="AZ12" s="114" t="s">
        <v>70</v>
      </c>
    </row>
    <row r="13" ht="15.75" customHeight="1" spans="1:52" x14ac:dyDescent="0.25">
      <c r="A13" s="214" t="str">
        <f>'IA Marks'!A13</f>
        <v>23N81A6201</v>
      </c>
      <c r="B13" s="215">
        <f>'IA Marks'!B13</f>
        <v>0</v>
      </c>
      <c r="C13" s="117"/>
      <c r="D13" s="117">
        <v>45</v>
      </c>
      <c r="E13" s="117">
        <v>45</v>
      </c>
      <c r="F13" s="117">
        <v>45</v>
      </c>
      <c r="G13" s="117">
        <v>45</v>
      </c>
      <c r="H13" s="117">
        <v>45</v>
      </c>
      <c r="I13" s="117">
        <v>45</v>
      </c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207"/>
      <c r="AB13" s="207"/>
      <c r="AC13" s="207"/>
      <c r="AD13" s="207"/>
      <c r="AE13" s="207"/>
      <c r="AF13" s="207"/>
      <c r="AG13" s="207"/>
      <c r="AH13" s="207"/>
      <c r="AI13" s="128">
        <f>SUMIF($D$7:$Z$7,"1",D13:Z13)</f>
        <v>45</v>
      </c>
      <c r="AJ13" s="129">
        <f>SUMIFS($D$9:$Z$9,$D$7:$Z$7,"1",D13:Z13,"&gt;"&amp;-1)</f>
        <v>60</v>
      </c>
      <c r="AK13" s="130">
        <f t="shared" ref="AK13:AK44" si="0">ROUNDUP(IF(AJ13,AI13/AJ13%,0),2)</f>
        <v>75</v>
      </c>
      <c r="AL13" s="131">
        <f>SUMIF($D$7:$Z$7,"2",D13:Z13)</f>
        <v>45</v>
      </c>
      <c r="AM13" s="129">
        <f>SUMIFS($D$9:$Z$9,$D$7:$Z$7,"2",D13:Z13,"&gt;"&amp;-1)</f>
        <v>60</v>
      </c>
      <c r="AN13" s="130">
        <f t="shared" ref="AN13:AN44" si="1">ROUNDUP(IF(AM13,AL13/AM13%,0),2)</f>
        <v>75</v>
      </c>
      <c r="AO13" s="131">
        <f>SUMIF($D$7:$Z$7,"3",D13:Z13)</f>
        <v>45</v>
      </c>
      <c r="AP13" s="129">
        <f>SUMIFS($D$9:$Z$9,$D$7:$Z$7,"3",D13:Z13,"&gt;"&amp;-1)</f>
        <v>60</v>
      </c>
      <c r="AQ13" s="130">
        <f t="shared" ref="AQ13:AQ44" si="2">ROUNDUP(IF(AP13,AO13/AP13%,0),2)</f>
        <v>75</v>
      </c>
      <c r="AR13" s="131">
        <f>SUMIF($D$7:$Z$7,"4",D13:Z13)</f>
        <v>45</v>
      </c>
      <c r="AS13" s="129">
        <f>SUMIFS($D$9:$Z$9,$D$7:$Z$7,"4",D13:Z13,"&gt;"&amp;-1)</f>
        <v>60</v>
      </c>
      <c r="AT13" s="130">
        <f t="shared" ref="AT13:AT44" si="3">ROUNDUP(IF(AS13,AR13/AS13%,0),2)</f>
        <v>75</v>
      </c>
      <c r="AU13" s="131">
        <f>SUMIF($D$7:$Z$7,"5",D13:Z13)</f>
        <v>45</v>
      </c>
      <c r="AV13" s="129">
        <f>SUMIFS($D$9:$Z$9,$D$7:$Z$7,"5",D13:Z13,"&gt;"&amp;-1)</f>
        <v>60</v>
      </c>
      <c r="AW13" s="130">
        <f t="shared" ref="AW13:AW44" si="4">ROUNDUP(IF(AV13,AU13/AV13%,0),2)</f>
        <v>75</v>
      </c>
      <c r="AX13" s="131">
        <f>SUMIF($D$7:$Z$7,"6",D13:Z13)</f>
        <v>45</v>
      </c>
      <c r="AY13" s="129">
        <f>SUMIFS($D$9:$Z$9,$D$7:$Z$7,"6",D13:Z13,"&gt;"&amp;-1)</f>
        <v>60</v>
      </c>
      <c r="AZ13" s="130">
        <f t="shared" ref="AZ13:AZ44" si="5">ROUNDUP(IF(AY13,AX13/AY13%,0),2)</f>
        <v>75</v>
      </c>
    </row>
    <row r="14" ht="15.75" customHeight="1" spans="1:52" x14ac:dyDescent="0.25">
      <c r="A14" s="214" t="str">
        <f>'IA Marks'!A14</f>
        <v>23N81A6202</v>
      </c>
      <c r="B14" s="215">
        <f>'IA Marks'!B14</f>
        <v>0</v>
      </c>
      <c r="C14" s="117"/>
      <c r="D14" s="117">
        <v>45</v>
      </c>
      <c r="E14" s="117">
        <v>45</v>
      </c>
      <c r="F14" s="117">
        <v>45</v>
      </c>
      <c r="G14" s="117">
        <v>45</v>
      </c>
      <c r="H14" s="117">
        <v>45</v>
      </c>
      <c r="I14" s="117">
        <v>45</v>
      </c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207"/>
      <c r="AB14" s="207"/>
      <c r="AC14" s="207"/>
      <c r="AD14" s="207"/>
      <c r="AE14" s="207"/>
      <c r="AF14" s="207"/>
      <c r="AG14" s="207"/>
      <c r="AH14" s="207"/>
      <c r="AI14" s="128">
        <f t="shared" ref="AI14:AI77" si="6">SUMIF($D$7:$Z$7,"1",D14:Z14)</f>
        <v>45</v>
      </c>
      <c r="AJ14" s="129">
        <f t="shared" ref="AJ14:AJ77" si="7">SUMIFS($D$9:$Z$9,$D$7:$Z$7,"1",D14:Z14,"&gt;"&amp;-1)</f>
        <v>60</v>
      </c>
      <c r="AK14" s="141">
        <f t="shared" si="0"/>
        <v>75</v>
      </c>
      <c r="AL14" s="131">
        <f t="shared" ref="AL14:AL77" si="8">SUMIF($D$7:$Z$7,"2",D14:Z14)</f>
        <v>45</v>
      </c>
      <c r="AM14" s="129">
        <f t="shared" ref="AM14:AM77" si="9">SUMIFS($D$9:$Z$9,$D$7:$Z$7,"2",D14:Z14,"&gt;"&amp;-1)</f>
        <v>60</v>
      </c>
      <c r="AN14" s="141">
        <f t="shared" si="1"/>
        <v>75</v>
      </c>
      <c r="AO14" s="131">
        <f t="shared" ref="AO14:AO77" si="10">SUMIF($D$7:$Z$7,"3",D14:Z14)</f>
        <v>45</v>
      </c>
      <c r="AP14" s="129">
        <f t="shared" ref="AP14:AP77" si="11">SUMIFS($D$9:$Z$9,$D$7:$Z$7,"3",D14:Z14,"&gt;"&amp;-1)</f>
        <v>60</v>
      </c>
      <c r="AQ14" s="141">
        <f t="shared" si="2"/>
        <v>75</v>
      </c>
      <c r="AR14" s="131">
        <f t="shared" ref="AR14:AR77" si="12">SUMIF($D$7:$Z$7,"4",D14:Z14)</f>
        <v>45</v>
      </c>
      <c r="AS14" s="129">
        <f t="shared" ref="AS14:AS77" si="13">SUMIFS($D$9:$Z$9,$D$7:$Z$7,"4",D14:Z14,"&gt;"&amp;-1)</f>
        <v>60</v>
      </c>
      <c r="AT14" s="141">
        <f t="shared" si="3"/>
        <v>75</v>
      </c>
      <c r="AU14" s="131">
        <f t="shared" ref="AU14:AU77" si="14">SUMIF($D$7:$Z$7,"5",D14:Z14)</f>
        <v>45</v>
      </c>
      <c r="AV14" s="129">
        <f t="shared" ref="AV14:AV77" si="15">SUMIFS($D$9:$Z$9,$D$7:$Z$7,"5",D14:Z14,"&gt;"&amp;-1)</f>
        <v>60</v>
      </c>
      <c r="AW14" s="141">
        <f t="shared" si="4"/>
        <v>75</v>
      </c>
      <c r="AX14" s="131">
        <f t="shared" ref="AX14:AX77" si="16">SUMIF($D$7:$Z$7,"6",D14:Z14)</f>
        <v>45</v>
      </c>
      <c r="AY14" s="129">
        <f t="shared" ref="AY14:AY77" si="17">SUMIFS($D$9:$Z$9,$D$7:$Z$7,"6",D14:Z14,"&gt;"&amp;-1)</f>
        <v>60</v>
      </c>
      <c r="AZ14" s="141">
        <f>ROUNDUP(IF(AY14,AX14/AY14%,0),2)</f>
        <v>75</v>
      </c>
    </row>
    <row r="15" ht="15.75" customHeight="1" spans="1:52" x14ac:dyDescent="0.25">
      <c r="A15" s="214" t="str">
        <f>'IA Marks'!A15</f>
        <v>23N81A6203</v>
      </c>
      <c r="B15" s="215">
        <f>'IA Marks'!B15</f>
        <v>0</v>
      </c>
      <c r="C15" s="117"/>
      <c r="D15" s="117">
        <v>45</v>
      </c>
      <c r="E15" s="117">
        <v>45</v>
      </c>
      <c r="F15" s="117">
        <v>45</v>
      </c>
      <c r="G15" s="117">
        <v>45</v>
      </c>
      <c r="H15" s="117">
        <v>45</v>
      </c>
      <c r="I15" s="117">
        <v>45</v>
      </c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207"/>
      <c r="AB15" s="207"/>
      <c r="AC15" s="207"/>
      <c r="AD15" s="207"/>
      <c r="AE15" s="207"/>
      <c r="AF15" s="207"/>
      <c r="AG15" s="207"/>
      <c r="AH15" s="207"/>
      <c r="AI15" s="128">
        <f>SUMIF($D$7:$Z$7,"1",D15:Z15)</f>
        <v>45</v>
      </c>
      <c r="AJ15" s="129">
        <f t="shared" si="7"/>
        <v>60</v>
      </c>
      <c r="AK15" s="141">
        <f t="shared" si="0"/>
        <v>75</v>
      </c>
      <c r="AL15" s="131">
        <f t="shared" si="8"/>
        <v>45</v>
      </c>
      <c r="AM15" s="129">
        <f t="shared" si="9"/>
        <v>60</v>
      </c>
      <c r="AN15" s="141">
        <f t="shared" si="1"/>
        <v>75</v>
      </c>
      <c r="AO15" s="131">
        <f t="shared" si="10"/>
        <v>45</v>
      </c>
      <c r="AP15" s="129">
        <f t="shared" si="11"/>
        <v>60</v>
      </c>
      <c r="AQ15" s="141">
        <f t="shared" si="2"/>
        <v>75</v>
      </c>
      <c r="AR15" s="131">
        <f t="shared" si="12"/>
        <v>45</v>
      </c>
      <c r="AS15" s="129">
        <f t="shared" si="13"/>
        <v>60</v>
      </c>
      <c r="AT15" s="141">
        <f t="shared" si="3"/>
        <v>75</v>
      </c>
      <c r="AU15" s="131">
        <f t="shared" si="14"/>
        <v>45</v>
      </c>
      <c r="AV15" s="129">
        <f t="shared" si="15"/>
        <v>60</v>
      </c>
      <c r="AW15" s="141">
        <f t="shared" si="4"/>
        <v>75</v>
      </c>
      <c r="AX15" s="131">
        <f t="shared" si="16"/>
        <v>45</v>
      </c>
      <c r="AY15" s="129">
        <f t="shared" si="17"/>
        <v>60</v>
      </c>
      <c r="AZ15" s="141">
        <f t="shared" si="5"/>
        <v>75</v>
      </c>
    </row>
    <row r="16" ht="15.75" customHeight="1" spans="1:52" x14ac:dyDescent="0.25">
      <c r="A16" s="214" t="str">
        <f>'IA Marks'!A16</f>
        <v>23N81A6204</v>
      </c>
      <c r="B16" s="215">
        <f>'IA Marks'!B16</f>
        <v>0</v>
      </c>
      <c r="C16" s="117"/>
      <c r="D16" s="117">
        <v>45</v>
      </c>
      <c r="E16" s="117">
        <v>45</v>
      </c>
      <c r="F16" s="117">
        <v>45</v>
      </c>
      <c r="G16" s="117">
        <v>45</v>
      </c>
      <c r="H16" s="117">
        <v>45</v>
      </c>
      <c r="I16" s="117">
        <v>45</v>
      </c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207"/>
      <c r="AB16" s="207"/>
      <c r="AC16" s="207"/>
      <c r="AD16" s="207"/>
      <c r="AE16" s="207"/>
      <c r="AF16" s="207"/>
      <c r="AG16" s="207"/>
      <c r="AH16" s="207"/>
      <c r="AI16" s="128">
        <f t="shared" si="6"/>
        <v>45</v>
      </c>
      <c r="AJ16" s="129">
        <f t="shared" si="7"/>
        <v>60</v>
      </c>
      <c r="AK16" s="141">
        <f t="shared" si="0"/>
        <v>75</v>
      </c>
      <c r="AL16" s="131">
        <f t="shared" si="8"/>
        <v>45</v>
      </c>
      <c r="AM16" s="129">
        <f t="shared" si="9"/>
        <v>60</v>
      </c>
      <c r="AN16" s="141">
        <f t="shared" si="1"/>
        <v>75</v>
      </c>
      <c r="AO16" s="131">
        <f t="shared" si="10"/>
        <v>45</v>
      </c>
      <c r="AP16" s="129">
        <f t="shared" si="11"/>
        <v>60</v>
      </c>
      <c r="AQ16" s="141">
        <f t="shared" si="2"/>
        <v>75</v>
      </c>
      <c r="AR16" s="131">
        <f t="shared" si="12"/>
        <v>45</v>
      </c>
      <c r="AS16" s="129">
        <f t="shared" si="13"/>
        <v>60</v>
      </c>
      <c r="AT16" s="141">
        <f t="shared" si="3"/>
        <v>75</v>
      </c>
      <c r="AU16" s="131">
        <f t="shared" si="14"/>
        <v>45</v>
      </c>
      <c r="AV16" s="129">
        <f t="shared" si="15"/>
        <v>60</v>
      </c>
      <c r="AW16" s="141">
        <f t="shared" si="4"/>
        <v>75</v>
      </c>
      <c r="AX16" s="131">
        <f t="shared" si="16"/>
        <v>45</v>
      </c>
      <c r="AY16" s="129">
        <f t="shared" si="17"/>
        <v>60</v>
      </c>
      <c r="AZ16" s="141">
        <f t="shared" si="5"/>
        <v>75</v>
      </c>
    </row>
    <row r="17" ht="15.75" customHeight="1" spans="1:52" x14ac:dyDescent="0.25">
      <c r="A17" s="214" t="str">
        <f>'IA Marks'!A17</f>
        <v>23N81A6205</v>
      </c>
      <c r="B17" s="215">
        <f>'IA Marks'!B17</f>
        <v>0</v>
      </c>
      <c r="C17" s="117"/>
      <c r="D17" s="117">
        <v>45</v>
      </c>
      <c r="E17" s="117">
        <v>45</v>
      </c>
      <c r="F17" s="117">
        <v>45</v>
      </c>
      <c r="G17" s="117">
        <v>45</v>
      </c>
      <c r="H17" s="117">
        <v>45</v>
      </c>
      <c r="I17" s="117">
        <v>45</v>
      </c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207"/>
      <c r="AB17" s="207"/>
      <c r="AC17" s="207"/>
      <c r="AD17" s="207"/>
      <c r="AE17" s="207"/>
      <c r="AF17" s="207"/>
      <c r="AG17" s="207"/>
      <c r="AH17" s="207"/>
      <c r="AI17" s="128">
        <f t="shared" si="6"/>
        <v>45</v>
      </c>
      <c r="AJ17" s="129">
        <f t="shared" si="7"/>
        <v>60</v>
      </c>
      <c r="AK17" s="141">
        <f t="shared" si="0"/>
        <v>75</v>
      </c>
      <c r="AL17" s="131">
        <f t="shared" si="8"/>
        <v>45</v>
      </c>
      <c r="AM17" s="129">
        <f t="shared" si="9"/>
        <v>60</v>
      </c>
      <c r="AN17" s="141">
        <f t="shared" si="1"/>
        <v>75</v>
      </c>
      <c r="AO17" s="131">
        <f t="shared" si="10"/>
        <v>45</v>
      </c>
      <c r="AP17" s="129">
        <f t="shared" si="11"/>
        <v>60</v>
      </c>
      <c r="AQ17" s="141">
        <f t="shared" si="2"/>
        <v>75</v>
      </c>
      <c r="AR17" s="131">
        <f t="shared" si="12"/>
        <v>45</v>
      </c>
      <c r="AS17" s="129">
        <f t="shared" si="13"/>
        <v>60</v>
      </c>
      <c r="AT17" s="141">
        <f t="shared" si="3"/>
        <v>75</v>
      </c>
      <c r="AU17" s="131">
        <f t="shared" si="14"/>
        <v>45</v>
      </c>
      <c r="AV17" s="129">
        <f t="shared" si="15"/>
        <v>60</v>
      </c>
      <c r="AW17" s="141">
        <f t="shared" si="4"/>
        <v>75</v>
      </c>
      <c r="AX17" s="131">
        <f t="shared" si="16"/>
        <v>45</v>
      </c>
      <c r="AY17" s="129">
        <f t="shared" si="17"/>
        <v>60</v>
      </c>
      <c r="AZ17" s="141">
        <f t="shared" si="5"/>
        <v>75</v>
      </c>
    </row>
    <row r="18" ht="15.75" customHeight="1" spans="1:52" x14ac:dyDescent="0.25">
      <c r="A18" s="214" t="str">
        <f>'IA Marks'!A18</f>
        <v>23N81A6206</v>
      </c>
      <c r="B18" s="215">
        <f>'IA Marks'!B18</f>
        <v>0</v>
      </c>
      <c r="C18" s="117"/>
      <c r="D18" s="117">
        <v>45</v>
      </c>
      <c r="E18" s="117">
        <v>45</v>
      </c>
      <c r="F18" s="117">
        <v>45</v>
      </c>
      <c r="G18" s="117">
        <v>45</v>
      </c>
      <c r="H18" s="117">
        <v>45</v>
      </c>
      <c r="I18" s="117">
        <v>45</v>
      </c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207"/>
      <c r="AB18" s="207"/>
      <c r="AC18" s="207"/>
      <c r="AD18" s="207"/>
      <c r="AE18" s="207"/>
      <c r="AF18" s="207"/>
      <c r="AG18" s="207"/>
      <c r="AH18" s="207"/>
      <c r="AI18" s="128">
        <f t="shared" si="6"/>
        <v>45</v>
      </c>
      <c r="AJ18" s="129">
        <f t="shared" si="7"/>
        <v>60</v>
      </c>
      <c r="AK18" s="141">
        <f t="shared" si="0"/>
        <v>75</v>
      </c>
      <c r="AL18" s="131">
        <f t="shared" si="8"/>
        <v>45</v>
      </c>
      <c r="AM18" s="129">
        <f t="shared" si="9"/>
        <v>60</v>
      </c>
      <c r="AN18" s="141">
        <f t="shared" si="1"/>
        <v>75</v>
      </c>
      <c r="AO18" s="131">
        <f t="shared" si="10"/>
        <v>45</v>
      </c>
      <c r="AP18" s="129">
        <f t="shared" si="11"/>
        <v>60</v>
      </c>
      <c r="AQ18" s="141">
        <f t="shared" si="2"/>
        <v>75</v>
      </c>
      <c r="AR18" s="131">
        <f t="shared" si="12"/>
        <v>45</v>
      </c>
      <c r="AS18" s="129">
        <f t="shared" si="13"/>
        <v>60</v>
      </c>
      <c r="AT18" s="141">
        <f t="shared" si="3"/>
        <v>75</v>
      </c>
      <c r="AU18" s="131">
        <f t="shared" si="14"/>
        <v>45</v>
      </c>
      <c r="AV18" s="129">
        <f t="shared" si="15"/>
        <v>60</v>
      </c>
      <c r="AW18" s="141">
        <f t="shared" si="4"/>
        <v>75</v>
      </c>
      <c r="AX18" s="131">
        <f t="shared" si="16"/>
        <v>45</v>
      </c>
      <c r="AY18" s="129">
        <f t="shared" si="17"/>
        <v>60</v>
      </c>
      <c r="AZ18" s="141">
        <f t="shared" si="5"/>
        <v>75</v>
      </c>
    </row>
    <row r="19" ht="15.75" customHeight="1" spans="1:52" x14ac:dyDescent="0.25">
      <c r="A19" s="214" t="str">
        <f>'IA Marks'!A19</f>
        <v>23N81A6207</v>
      </c>
      <c r="B19" s="215">
        <f>'IA Marks'!B19</f>
        <v>0</v>
      </c>
      <c r="C19" s="117"/>
      <c r="D19" s="117">
        <v>45</v>
      </c>
      <c r="E19" s="117">
        <v>45</v>
      </c>
      <c r="F19" s="117">
        <v>45</v>
      </c>
      <c r="G19" s="117">
        <v>45</v>
      </c>
      <c r="H19" s="117">
        <v>45</v>
      </c>
      <c r="I19" s="117">
        <v>45</v>
      </c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207"/>
      <c r="AB19" s="207"/>
      <c r="AC19" s="207"/>
      <c r="AD19" s="207"/>
      <c r="AE19" s="207"/>
      <c r="AF19" s="207"/>
      <c r="AG19" s="207"/>
      <c r="AH19" s="207"/>
      <c r="AI19" s="128">
        <f t="shared" si="6"/>
        <v>45</v>
      </c>
      <c r="AJ19" s="129">
        <f t="shared" si="7"/>
        <v>60</v>
      </c>
      <c r="AK19" s="141">
        <f t="shared" si="0"/>
        <v>75</v>
      </c>
      <c r="AL19" s="131">
        <f t="shared" si="8"/>
        <v>45</v>
      </c>
      <c r="AM19" s="129">
        <f t="shared" si="9"/>
        <v>60</v>
      </c>
      <c r="AN19" s="141">
        <f t="shared" si="1"/>
        <v>75</v>
      </c>
      <c r="AO19" s="131">
        <f t="shared" si="10"/>
        <v>45</v>
      </c>
      <c r="AP19" s="129">
        <f t="shared" si="11"/>
        <v>60</v>
      </c>
      <c r="AQ19" s="141">
        <f t="shared" si="2"/>
        <v>75</v>
      </c>
      <c r="AR19" s="131">
        <f t="shared" si="12"/>
        <v>45</v>
      </c>
      <c r="AS19" s="129">
        <f t="shared" si="13"/>
        <v>60</v>
      </c>
      <c r="AT19" s="141">
        <f t="shared" si="3"/>
        <v>75</v>
      </c>
      <c r="AU19" s="131">
        <f t="shared" si="14"/>
        <v>45</v>
      </c>
      <c r="AV19" s="129">
        <f t="shared" si="15"/>
        <v>60</v>
      </c>
      <c r="AW19" s="141">
        <f t="shared" si="4"/>
        <v>75</v>
      </c>
      <c r="AX19" s="131">
        <f t="shared" si="16"/>
        <v>45</v>
      </c>
      <c r="AY19" s="129">
        <f t="shared" si="17"/>
        <v>60</v>
      </c>
      <c r="AZ19" s="141">
        <f t="shared" si="5"/>
        <v>75</v>
      </c>
    </row>
    <row r="20" ht="15.75" customHeight="1" spans="1:52" x14ac:dyDescent="0.25">
      <c r="A20" s="214" t="str">
        <f>'IA Marks'!A20</f>
        <v>23N81A6208</v>
      </c>
      <c r="B20" s="215">
        <f>'IA Marks'!B20</f>
        <v>0</v>
      </c>
      <c r="C20" s="117"/>
      <c r="D20" s="117">
        <v>45</v>
      </c>
      <c r="E20" s="117">
        <v>45</v>
      </c>
      <c r="F20" s="117">
        <v>45</v>
      </c>
      <c r="G20" s="117">
        <v>45</v>
      </c>
      <c r="H20" s="117">
        <v>45</v>
      </c>
      <c r="I20" s="117">
        <v>45</v>
      </c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207"/>
      <c r="AB20" s="207"/>
      <c r="AC20" s="207"/>
      <c r="AD20" s="207"/>
      <c r="AE20" s="207"/>
      <c r="AF20" s="207"/>
      <c r="AG20" s="207"/>
      <c r="AH20" s="207"/>
      <c r="AI20" s="128">
        <f t="shared" si="6"/>
        <v>45</v>
      </c>
      <c r="AJ20" s="129">
        <f t="shared" si="7"/>
        <v>60</v>
      </c>
      <c r="AK20" s="141">
        <f t="shared" si="0"/>
        <v>75</v>
      </c>
      <c r="AL20" s="131">
        <f t="shared" si="8"/>
        <v>45</v>
      </c>
      <c r="AM20" s="129">
        <f t="shared" si="9"/>
        <v>60</v>
      </c>
      <c r="AN20" s="141">
        <f t="shared" si="1"/>
        <v>75</v>
      </c>
      <c r="AO20" s="131">
        <f t="shared" si="10"/>
        <v>45</v>
      </c>
      <c r="AP20" s="129">
        <f t="shared" si="11"/>
        <v>60</v>
      </c>
      <c r="AQ20" s="141">
        <f t="shared" si="2"/>
        <v>75</v>
      </c>
      <c r="AR20" s="131">
        <f t="shared" si="12"/>
        <v>45</v>
      </c>
      <c r="AS20" s="129">
        <f t="shared" si="13"/>
        <v>60</v>
      </c>
      <c r="AT20" s="141">
        <f t="shared" si="3"/>
        <v>75</v>
      </c>
      <c r="AU20" s="131">
        <f t="shared" si="14"/>
        <v>45</v>
      </c>
      <c r="AV20" s="129">
        <f t="shared" si="15"/>
        <v>60</v>
      </c>
      <c r="AW20" s="141">
        <f t="shared" si="4"/>
        <v>75</v>
      </c>
      <c r="AX20" s="131">
        <f t="shared" si="16"/>
        <v>45</v>
      </c>
      <c r="AY20" s="129">
        <f t="shared" si="17"/>
        <v>60</v>
      </c>
      <c r="AZ20" s="141">
        <f t="shared" si="5"/>
        <v>75</v>
      </c>
    </row>
    <row r="21" ht="15.75" customHeight="1" spans="1:52" x14ac:dyDescent="0.25">
      <c r="A21" s="214" t="str">
        <f>'IA Marks'!A21</f>
        <v>23N81A6209</v>
      </c>
      <c r="B21" s="215">
        <f>'IA Marks'!B21</f>
        <v>0</v>
      </c>
      <c r="C21" s="117"/>
      <c r="D21" s="117">
        <v>45</v>
      </c>
      <c r="E21" s="117">
        <v>45</v>
      </c>
      <c r="F21" s="117">
        <v>45</v>
      </c>
      <c r="G21" s="117">
        <v>45</v>
      </c>
      <c r="H21" s="117">
        <v>45</v>
      </c>
      <c r="I21" s="117">
        <v>45</v>
      </c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207"/>
      <c r="AB21" s="207"/>
      <c r="AC21" s="207"/>
      <c r="AD21" s="207"/>
      <c r="AE21" s="207"/>
      <c r="AF21" s="207"/>
      <c r="AG21" s="207"/>
      <c r="AH21" s="207"/>
      <c r="AI21" s="128">
        <f t="shared" si="6"/>
        <v>45</v>
      </c>
      <c r="AJ21" s="129">
        <f t="shared" si="7"/>
        <v>60</v>
      </c>
      <c r="AK21" s="141">
        <f t="shared" si="0"/>
        <v>75</v>
      </c>
      <c r="AL21" s="131">
        <f t="shared" si="8"/>
        <v>45</v>
      </c>
      <c r="AM21" s="129">
        <f t="shared" si="9"/>
        <v>60</v>
      </c>
      <c r="AN21" s="141">
        <f t="shared" si="1"/>
        <v>75</v>
      </c>
      <c r="AO21" s="131">
        <f t="shared" si="10"/>
        <v>45</v>
      </c>
      <c r="AP21" s="129">
        <f t="shared" si="11"/>
        <v>60</v>
      </c>
      <c r="AQ21" s="141">
        <f t="shared" si="2"/>
        <v>75</v>
      </c>
      <c r="AR21" s="131">
        <f t="shared" si="12"/>
        <v>45</v>
      </c>
      <c r="AS21" s="129">
        <f t="shared" si="13"/>
        <v>60</v>
      </c>
      <c r="AT21" s="141">
        <f t="shared" si="3"/>
        <v>75</v>
      </c>
      <c r="AU21" s="131">
        <f t="shared" si="14"/>
        <v>45</v>
      </c>
      <c r="AV21" s="129">
        <f t="shared" si="15"/>
        <v>60</v>
      </c>
      <c r="AW21" s="141">
        <f t="shared" si="4"/>
        <v>75</v>
      </c>
      <c r="AX21" s="131">
        <f t="shared" si="16"/>
        <v>45</v>
      </c>
      <c r="AY21" s="129">
        <f t="shared" si="17"/>
        <v>60</v>
      </c>
      <c r="AZ21" s="141">
        <f t="shared" si="5"/>
        <v>75</v>
      </c>
    </row>
    <row r="22" ht="15.75" customHeight="1" spans="1:52" x14ac:dyDescent="0.25">
      <c r="A22" s="214" t="str">
        <f>'IA Marks'!A22</f>
        <v>23N81A6210</v>
      </c>
      <c r="B22" s="215">
        <f>'IA Marks'!B22</f>
        <v>0</v>
      </c>
      <c r="C22" s="117"/>
      <c r="D22" s="117">
        <v>45</v>
      </c>
      <c r="E22" s="117">
        <v>45</v>
      </c>
      <c r="F22" s="117">
        <v>45</v>
      </c>
      <c r="G22" s="117">
        <v>45</v>
      </c>
      <c r="H22" s="117">
        <v>45</v>
      </c>
      <c r="I22" s="117">
        <v>45</v>
      </c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207"/>
      <c r="AB22" s="207"/>
      <c r="AC22" s="207"/>
      <c r="AD22" s="207"/>
      <c r="AE22" s="207"/>
      <c r="AF22" s="207"/>
      <c r="AG22" s="207"/>
      <c r="AH22" s="207"/>
      <c r="AI22" s="128">
        <f t="shared" si="6"/>
        <v>45</v>
      </c>
      <c r="AJ22" s="129">
        <f t="shared" si="7"/>
        <v>60</v>
      </c>
      <c r="AK22" s="141">
        <f t="shared" si="0"/>
        <v>75</v>
      </c>
      <c r="AL22" s="131">
        <f t="shared" si="8"/>
        <v>45</v>
      </c>
      <c r="AM22" s="129">
        <f t="shared" si="9"/>
        <v>60</v>
      </c>
      <c r="AN22" s="141">
        <f t="shared" si="1"/>
        <v>75</v>
      </c>
      <c r="AO22" s="131">
        <f t="shared" si="10"/>
        <v>45</v>
      </c>
      <c r="AP22" s="129">
        <f t="shared" si="11"/>
        <v>60</v>
      </c>
      <c r="AQ22" s="141">
        <f t="shared" si="2"/>
        <v>75</v>
      </c>
      <c r="AR22" s="131">
        <f t="shared" si="12"/>
        <v>45</v>
      </c>
      <c r="AS22" s="129">
        <f t="shared" si="13"/>
        <v>60</v>
      </c>
      <c r="AT22" s="141">
        <f t="shared" si="3"/>
        <v>75</v>
      </c>
      <c r="AU22" s="131">
        <f t="shared" si="14"/>
        <v>45</v>
      </c>
      <c r="AV22" s="129">
        <f t="shared" si="15"/>
        <v>60</v>
      </c>
      <c r="AW22" s="141">
        <f t="shared" si="4"/>
        <v>75</v>
      </c>
      <c r="AX22" s="131">
        <f t="shared" si="16"/>
        <v>45</v>
      </c>
      <c r="AY22" s="129">
        <f t="shared" si="17"/>
        <v>60</v>
      </c>
      <c r="AZ22" s="141">
        <f t="shared" si="5"/>
        <v>75</v>
      </c>
    </row>
    <row r="23" ht="15.75" customHeight="1" spans="1:52" x14ac:dyDescent="0.25">
      <c r="A23" s="214" t="str">
        <f>'IA Marks'!A23</f>
        <v>23N81A6211</v>
      </c>
      <c r="B23" s="215">
        <f>'IA Marks'!B23</f>
        <v>0</v>
      </c>
      <c r="C23" s="117"/>
      <c r="D23" s="117">
        <v>45</v>
      </c>
      <c r="E23" s="117">
        <v>45</v>
      </c>
      <c r="F23" s="117">
        <v>45</v>
      </c>
      <c r="G23" s="117">
        <v>45</v>
      </c>
      <c r="H23" s="117">
        <v>45</v>
      </c>
      <c r="I23" s="117">
        <v>45</v>
      </c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207"/>
      <c r="AB23" s="207"/>
      <c r="AC23" s="207"/>
      <c r="AD23" s="207"/>
      <c r="AE23" s="207"/>
      <c r="AF23" s="207"/>
      <c r="AG23" s="207"/>
      <c r="AH23" s="207"/>
      <c r="AI23" s="128">
        <f t="shared" si="6"/>
        <v>45</v>
      </c>
      <c r="AJ23" s="129">
        <f t="shared" si="7"/>
        <v>60</v>
      </c>
      <c r="AK23" s="141">
        <f t="shared" si="0"/>
        <v>75</v>
      </c>
      <c r="AL23" s="131">
        <f t="shared" si="8"/>
        <v>45</v>
      </c>
      <c r="AM23" s="129">
        <f t="shared" si="9"/>
        <v>60</v>
      </c>
      <c r="AN23" s="141">
        <f t="shared" si="1"/>
        <v>75</v>
      </c>
      <c r="AO23" s="131">
        <f t="shared" si="10"/>
        <v>45</v>
      </c>
      <c r="AP23" s="129">
        <f t="shared" si="11"/>
        <v>60</v>
      </c>
      <c r="AQ23" s="141">
        <f t="shared" si="2"/>
        <v>75</v>
      </c>
      <c r="AR23" s="131">
        <f t="shared" si="12"/>
        <v>45</v>
      </c>
      <c r="AS23" s="129">
        <f t="shared" si="13"/>
        <v>60</v>
      </c>
      <c r="AT23" s="141">
        <f t="shared" si="3"/>
        <v>75</v>
      </c>
      <c r="AU23" s="131">
        <f t="shared" si="14"/>
        <v>45</v>
      </c>
      <c r="AV23" s="129">
        <f t="shared" si="15"/>
        <v>60</v>
      </c>
      <c r="AW23" s="141">
        <f t="shared" si="4"/>
        <v>75</v>
      </c>
      <c r="AX23" s="131">
        <f t="shared" si="16"/>
        <v>45</v>
      </c>
      <c r="AY23" s="129">
        <f t="shared" si="17"/>
        <v>60</v>
      </c>
      <c r="AZ23" s="141">
        <f t="shared" si="5"/>
        <v>75</v>
      </c>
    </row>
    <row r="24" ht="15.75" customHeight="1" spans="1:52" x14ac:dyDescent="0.25">
      <c r="A24" s="214" t="str">
        <f>'IA Marks'!A24</f>
        <v>23N81A6212</v>
      </c>
      <c r="B24" s="215">
        <f>'IA Marks'!B24</f>
        <v>0</v>
      </c>
      <c r="C24" s="117"/>
      <c r="D24" s="117">
        <v>45</v>
      </c>
      <c r="E24" s="117">
        <v>45</v>
      </c>
      <c r="F24" s="117">
        <v>45</v>
      </c>
      <c r="G24" s="117">
        <v>45</v>
      </c>
      <c r="H24" s="117">
        <v>45</v>
      </c>
      <c r="I24" s="117">
        <v>45</v>
      </c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207"/>
      <c r="AB24" s="207"/>
      <c r="AC24" s="207"/>
      <c r="AD24" s="207"/>
      <c r="AE24" s="207"/>
      <c r="AF24" s="207"/>
      <c r="AG24" s="207"/>
      <c r="AH24" s="207"/>
      <c r="AI24" s="128">
        <f t="shared" si="6"/>
        <v>45</v>
      </c>
      <c r="AJ24" s="129">
        <f t="shared" si="7"/>
        <v>60</v>
      </c>
      <c r="AK24" s="141">
        <f t="shared" si="0"/>
        <v>75</v>
      </c>
      <c r="AL24" s="131">
        <f t="shared" si="8"/>
        <v>45</v>
      </c>
      <c r="AM24" s="129">
        <f t="shared" si="9"/>
        <v>60</v>
      </c>
      <c r="AN24" s="141">
        <f t="shared" si="1"/>
        <v>75</v>
      </c>
      <c r="AO24" s="131">
        <f t="shared" si="10"/>
        <v>45</v>
      </c>
      <c r="AP24" s="129">
        <f t="shared" si="11"/>
        <v>60</v>
      </c>
      <c r="AQ24" s="141">
        <f t="shared" si="2"/>
        <v>75</v>
      </c>
      <c r="AR24" s="131">
        <f t="shared" si="12"/>
        <v>45</v>
      </c>
      <c r="AS24" s="129">
        <f t="shared" si="13"/>
        <v>60</v>
      </c>
      <c r="AT24" s="141">
        <f t="shared" si="3"/>
        <v>75</v>
      </c>
      <c r="AU24" s="131">
        <f t="shared" si="14"/>
        <v>45</v>
      </c>
      <c r="AV24" s="129">
        <f t="shared" si="15"/>
        <v>60</v>
      </c>
      <c r="AW24" s="141">
        <f t="shared" si="4"/>
        <v>75</v>
      </c>
      <c r="AX24" s="131">
        <f t="shared" si="16"/>
        <v>45</v>
      </c>
      <c r="AY24" s="129">
        <f t="shared" si="17"/>
        <v>60</v>
      </c>
      <c r="AZ24" s="141">
        <f t="shared" si="5"/>
        <v>75</v>
      </c>
    </row>
    <row r="25" ht="15.75" customHeight="1" spans="1:52" x14ac:dyDescent="0.25">
      <c r="A25" s="214" t="str">
        <f>'IA Marks'!A25</f>
        <v>23N81A6213</v>
      </c>
      <c r="B25" s="215">
        <f>'IA Marks'!B25</f>
        <v>0</v>
      </c>
      <c r="C25" s="117"/>
      <c r="D25" s="117">
        <v>45</v>
      </c>
      <c r="E25" s="117">
        <v>45</v>
      </c>
      <c r="F25" s="117">
        <v>45</v>
      </c>
      <c r="G25" s="117">
        <v>45</v>
      </c>
      <c r="H25" s="117">
        <v>45</v>
      </c>
      <c r="I25" s="117">
        <v>45</v>
      </c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207"/>
      <c r="AB25" s="207"/>
      <c r="AC25" s="207"/>
      <c r="AD25" s="207"/>
      <c r="AE25" s="207"/>
      <c r="AF25" s="207"/>
      <c r="AG25" s="207"/>
      <c r="AH25" s="207"/>
      <c r="AI25" s="128">
        <f t="shared" si="6"/>
        <v>45</v>
      </c>
      <c r="AJ25" s="129">
        <f t="shared" si="7"/>
        <v>60</v>
      </c>
      <c r="AK25" s="141">
        <f t="shared" si="0"/>
        <v>75</v>
      </c>
      <c r="AL25" s="131">
        <f t="shared" si="8"/>
        <v>45</v>
      </c>
      <c r="AM25" s="129">
        <f t="shared" si="9"/>
        <v>60</v>
      </c>
      <c r="AN25" s="141">
        <f t="shared" si="1"/>
        <v>75</v>
      </c>
      <c r="AO25" s="131">
        <f t="shared" si="10"/>
        <v>45</v>
      </c>
      <c r="AP25" s="129">
        <f t="shared" si="11"/>
        <v>60</v>
      </c>
      <c r="AQ25" s="141">
        <f t="shared" si="2"/>
        <v>75</v>
      </c>
      <c r="AR25" s="131">
        <f t="shared" si="12"/>
        <v>45</v>
      </c>
      <c r="AS25" s="129">
        <f t="shared" si="13"/>
        <v>60</v>
      </c>
      <c r="AT25" s="141">
        <f t="shared" si="3"/>
        <v>75</v>
      </c>
      <c r="AU25" s="131">
        <f t="shared" si="14"/>
        <v>45</v>
      </c>
      <c r="AV25" s="129">
        <f t="shared" si="15"/>
        <v>60</v>
      </c>
      <c r="AW25" s="141">
        <f t="shared" si="4"/>
        <v>75</v>
      </c>
      <c r="AX25" s="131">
        <f t="shared" si="16"/>
        <v>45</v>
      </c>
      <c r="AY25" s="129">
        <f t="shared" si="17"/>
        <v>60</v>
      </c>
      <c r="AZ25" s="141">
        <f t="shared" si="5"/>
        <v>75</v>
      </c>
    </row>
    <row r="26" ht="15.75" customHeight="1" spans="1:52" x14ac:dyDescent="0.25">
      <c r="A26" s="214" t="str">
        <f>'IA Marks'!A26</f>
        <v>23N81A6214</v>
      </c>
      <c r="B26" s="215">
        <f>'IA Marks'!B26</f>
        <v>0</v>
      </c>
      <c r="C26" s="117"/>
      <c r="D26" s="117">
        <v>45</v>
      </c>
      <c r="E26" s="117">
        <v>45</v>
      </c>
      <c r="F26" s="117">
        <v>45</v>
      </c>
      <c r="G26" s="117">
        <v>45</v>
      </c>
      <c r="H26" s="117">
        <v>45</v>
      </c>
      <c r="I26" s="117">
        <v>45</v>
      </c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207"/>
      <c r="AB26" s="207"/>
      <c r="AC26" s="207"/>
      <c r="AD26" s="207"/>
      <c r="AE26" s="207"/>
      <c r="AF26" s="207"/>
      <c r="AG26" s="207"/>
      <c r="AH26" s="207"/>
      <c r="AI26" s="128">
        <f t="shared" si="6"/>
        <v>45</v>
      </c>
      <c r="AJ26" s="129">
        <f t="shared" si="7"/>
        <v>60</v>
      </c>
      <c r="AK26" s="141">
        <f t="shared" si="0"/>
        <v>75</v>
      </c>
      <c r="AL26" s="131">
        <f t="shared" si="8"/>
        <v>45</v>
      </c>
      <c r="AM26" s="129">
        <f t="shared" si="9"/>
        <v>60</v>
      </c>
      <c r="AN26" s="141">
        <f t="shared" si="1"/>
        <v>75</v>
      </c>
      <c r="AO26" s="131">
        <f t="shared" si="10"/>
        <v>45</v>
      </c>
      <c r="AP26" s="129">
        <f t="shared" si="11"/>
        <v>60</v>
      </c>
      <c r="AQ26" s="141">
        <f t="shared" si="2"/>
        <v>75</v>
      </c>
      <c r="AR26" s="131">
        <f t="shared" si="12"/>
        <v>45</v>
      </c>
      <c r="AS26" s="129">
        <f t="shared" si="13"/>
        <v>60</v>
      </c>
      <c r="AT26" s="141">
        <f t="shared" si="3"/>
        <v>75</v>
      </c>
      <c r="AU26" s="131">
        <f t="shared" si="14"/>
        <v>45</v>
      </c>
      <c r="AV26" s="129">
        <f t="shared" si="15"/>
        <v>60</v>
      </c>
      <c r="AW26" s="141">
        <f t="shared" si="4"/>
        <v>75</v>
      </c>
      <c r="AX26" s="131">
        <f t="shared" si="16"/>
        <v>45</v>
      </c>
      <c r="AY26" s="129">
        <f t="shared" si="17"/>
        <v>60</v>
      </c>
      <c r="AZ26" s="141">
        <f t="shared" si="5"/>
        <v>75</v>
      </c>
    </row>
    <row r="27" ht="15.75" customHeight="1" spans="1:52" x14ac:dyDescent="0.25">
      <c r="A27" s="214" t="str">
        <f>'IA Marks'!A27</f>
        <v>23N81A6216</v>
      </c>
      <c r="B27" s="215">
        <f>'IA Marks'!B27</f>
        <v>0</v>
      </c>
      <c r="C27" s="117"/>
      <c r="D27" s="117">
        <v>45</v>
      </c>
      <c r="E27" s="117">
        <v>45</v>
      </c>
      <c r="F27" s="117">
        <v>45</v>
      </c>
      <c r="G27" s="117">
        <v>45</v>
      </c>
      <c r="H27" s="117">
        <v>45</v>
      </c>
      <c r="I27" s="117">
        <v>45</v>
      </c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207"/>
      <c r="AB27" s="207"/>
      <c r="AC27" s="207"/>
      <c r="AD27" s="207"/>
      <c r="AE27" s="207"/>
      <c r="AF27" s="207"/>
      <c r="AG27" s="207"/>
      <c r="AH27" s="207"/>
      <c r="AI27" s="128">
        <f t="shared" si="6"/>
        <v>45</v>
      </c>
      <c r="AJ27" s="129">
        <f t="shared" si="7"/>
        <v>60</v>
      </c>
      <c r="AK27" s="141">
        <f t="shared" si="0"/>
        <v>75</v>
      </c>
      <c r="AL27" s="131">
        <f t="shared" si="8"/>
        <v>45</v>
      </c>
      <c r="AM27" s="129">
        <f t="shared" si="9"/>
        <v>60</v>
      </c>
      <c r="AN27" s="141">
        <f t="shared" si="1"/>
        <v>75</v>
      </c>
      <c r="AO27" s="131">
        <f t="shared" si="10"/>
        <v>45</v>
      </c>
      <c r="AP27" s="129">
        <f t="shared" si="11"/>
        <v>60</v>
      </c>
      <c r="AQ27" s="141">
        <f t="shared" si="2"/>
        <v>75</v>
      </c>
      <c r="AR27" s="131">
        <f t="shared" si="12"/>
        <v>45</v>
      </c>
      <c r="AS27" s="129">
        <f t="shared" si="13"/>
        <v>60</v>
      </c>
      <c r="AT27" s="141">
        <f t="shared" si="3"/>
        <v>75</v>
      </c>
      <c r="AU27" s="131">
        <f t="shared" si="14"/>
        <v>45</v>
      </c>
      <c r="AV27" s="129">
        <f t="shared" si="15"/>
        <v>60</v>
      </c>
      <c r="AW27" s="141">
        <f t="shared" si="4"/>
        <v>75</v>
      </c>
      <c r="AX27" s="131">
        <f t="shared" si="16"/>
        <v>45</v>
      </c>
      <c r="AY27" s="129">
        <f t="shared" si="17"/>
        <v>60</v>
      </c>
      <c r="AZ27" s="141">
        <f t="shared" si="5"/>
        <v>75</v>
      </c>
    </row>
    <row r="28" ht="15.75" customHeight="1" spans="1:52" x14ac:dyDescent="0.25">
      <c r="A28" s="214" t="str">
        <f>'IA Marks'!A28</f>
        <v>23N81A6217</v>
      </c>
      <c r="B28" s="215">
        <f>'IA Marks'!B28</f>
        <v>0</v>
      </c>
      <c r="C28" s="117"/>
      <c r="D28" s="117">
        <v>45</v>
      </c>
      <c r="E28" s="117">
        <v>45</v>
      </c>
      <c r="F28" s="117">
        <v>45</v>
      </c>
      <c r="G28" s="117">
        <v>45</v>
      </c>
      <c r="H28" s="117">
        <v>45</v>
      </c>
      <c r="I28" s="117">
        <v>45</v>
      </c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207"/>
      <c r="AB28" s="207"/>
      <c r="AC28" s="207"/>
      <c r="AD28" s="207"/>
      <c r="AE28" s="207"/>
      <c r="AF28" s="207"/>
      <c r="AG28" s="207"/>
      <c r="AH28" s="207"/>
      <c r="AI28" s="128">
        <f t="shared" si="6"/>
        <v>45</v>
      </c>
      <c r="AJ28" s="129">
        <f t="shared" si="7"/>
        <v>60</v>
      </c>
      <c r="AK28" s="141">
        <f t="shared" si="0"/>
        <v>75</v>
      </c>
      <c r="AL28" s="131">
        <f t="shared" si="8"/>
        <v>45</v>
      </c>
      <c r="AM28" s="129">
        <f t="shared" si="9"/>
        <v>60</v>
      </c>
      <c r="AN28" s="141">
        <f t="shared" si="1"/>
        <v>75</v>
      </c>
      <c r="AO28" s="131">
        <f t="shared" si="10"/>
        <v>45</v>
      </c>
      <c r="AP28" s="129">
        <f t="shared" si="11"/>
        <v>60</v>
      </c>
      <c r="AQ28" s="141">
        <f t="shared" si="2"/>
        <v>75</v>
      </c>
      <c r="AR28" s="131">
        <f t="shared" si="12"/>
        <v>45</v>
      </c>
      <c r="AS28" s="129">
        <f t="shared" si="13"/>
        <v>60</v>
      </c>
      <c r="AT28" s="141">
        <f t="shared" si="3"/>
        <v>75</v>
      </c>
      <c r="AU28" s="131">
        <f t="shared" si="14"/>
        <v>45</v>
      </c>
      <c r="AV28" s="129">
        <f t="shared" si="15"/>
        <v>60</v>
      </c>
      <c r="AW28" s="141">
        <f t="shared" si="4"/>
        <v>75</v>
      </c>
      <c r="AX28" s="131">
        <f t="shared" si="16"/>
        <v>45</v>
      </c>
      <c r="AY28" s="129">
        <f t="shared" si="17"/>
        <v>60</v>
      </c>
      <c r="AZ28" s="141">
        <f t="shared" si="5"/>
        <v>75</v>
      </c>
    </row>
    <row r="29" ht="15.75" customHeight="1" spans="1:52" x14ac:dyDescent="0.25">
      <c r="A29" s="214" t="str">
        <f>'IA Marks'!A29</f>
        <v>23N81A6218</v>
      </c>
      <c r="B29" s="215">
        <f>'IA Marks'!B29</f>
        <v>0</v>
      </c>
      <c r="C29" s="117"/>
      <c r="D29" s="117">
        <v>45</v>
      </c>
      <c r="E29" s="117">
        <v>45</v>
      </c>
      <c r="F29" s="117">
        <v>45</v>
      </c>
      <c r="G29" s="117">
        <v>45</v>
      </c>
      <c r="H29" s="117">
        <v>45</v>
      </c>
      <c r="I29" s="117">
        <v>45</v>
      </c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207"/>
      <c r="AB29" s="207"/>
      <c r="AC29" s="207"/>
      <c r="AD29" s="207"/>
      <c r="AE29" s="207"/>
      <c r="AF29" s="207"/>
      <c r="AG29" s="207"/>
      <c r="AH29" s="207"/>
      <c r="AI29" s="128">
        <f t="shared" si="6"/>
        <v>45</v>
      </c>
      <c r="AJ29" s="129">
        <f t="shared" si="7"/>
        <v>60</v>
      </c>
      <c r="AK29" s="141">
        <f t="shared" si="0"/>
        <v>75</v>
      </c>
      <c r="AL29" s="131">
        <f t="shared" si="8"/>
        <v>45</v>
      </c>
      <c r="AM29" s="129">
        <f t="shared" si="9"/>
        <v>60</v>
      </c>
      <c r="AN29" s="141">
        <f t="shared" si="1"/>
        <v>75</v>
      </c>
      <c r="AO29" s="131">
        <f t="shared" si="10"/>
        <v>45</v>
      </c>
      <c r="AP29" s="129">
        <f t="shared" si="11"/>
        <v>60</v>
      </c>
      <c r="AQ29" s="141">
        <f t="shared" si="2"/>
        <v>75</v>
      </c>
      <c r="AR29" s="131">
        <f t="shared" si="12"/>
        <v>45</v>
      </c>
      <c r="AS29" s="129">
        <f t="shared" si="13"/>
        <v>60</v>
      </c>
      <c r="AT29" s="141">
        <f t="shared" si="3"/>
        <v>75</v>
      </c>
      <c r="AU29" s="131">
        <f t="shared" si="14"/>
        <v>45</v>
      </c>
      <c r="AV29" s="129">
        <f t="shared" si="15"/>
        <v>60</v>
      </c>
      <c r="AW29" s="141">
        <f t="shared" si="4"/>
        <v>75</v>
      </c>
      <c r="AX29" s="131">
        <f t="shared" si="16"/>
        <v>45</v>
      </c>
      <c r="AY29" s="129">
        <f t="shared" si="17"/>
        <v>60</v>
      </c>
      <c r="AZ29" s="141">
        <f t="shared" si="5"/>
        <v>75</v>
      </c>
    </row>
    <row r="30" ht="15.75" customHeight="1" spans="1:52" x14ac:dyDescent="0.25">
      <c r="A30" s="214" t="str">
        <f>'IA Marks'!A30</f>
        <v>23N81A6219</v>
      </c>
      <c r="B30" s="215">
        <f>'IA Marks'!B30</f>
        <v>0</v>
      </c>
      <c r="C30" s="117"/>
      <c r="D30" s="117">
        <v>45</v>
      </c>
      <c r="E30" s="117">
        <v>45</v>
      </c>
      <c r="F30" s="117">
        <v>45</v>
      </c>
      <c r="G30" s="117">
        <v>45</v>
      </c>
      <c r="H30" s="117">
        <v>45</v>
      </c>
      <c r="I30" s="117">
        <v>45</v>
      </c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207"/>
      <c r="AB30" s="207"/>
      <c r="AC30" s="207"/>
      <c r="AD30" s="207"/>
      <c r="AE30" s="207"/>
      <c r="AF30" s="207"/>
      <c r="AG30" s="207"/>
      <c r="AH30" s="207"/>
      <c r="AI30" s="128">
        <f t="shared" si="6"/>
        <v>45</v>
      </c>
      <c r="AJ30" s="129">
        <f t="shared" si="7"/>
        <v>60</v>
      </c>
      <c r="AK30" s="141">
        <f t="shared" si="0"/>
        <v>75</v>
      </c>
      <c r="AL30" s="131">
        <f t="shared" si="8"/>
        <v>45</v>
      </c>
      <c r="AM30" s="129">
        <f t="shared" si="9"/>
        <v>60</v>
      </c>
      <c r="AN30" s="141">
        <f t="shared" si="1"/>
        <v>75</v>
      </c>
      <c r="AO30" s="131">
        <f t="shared" si="10"/>
        <v>45</v>
      </c>
      <c r="AP30" s="129">
        <f t="shared" si="11"/>
        <v>60</v>
      </c>
      <c r="AQ30" s="141">
        <f t="shared" si="2"/>
        <v>75</v>
      </c>
      <c r="AR30" s="131">
        <f t="shared" si="12"/>
        <v>45</v>
      </c>
      <c r="AS30" s="129">
        <f t="shared" si="13"/>
        <v>60</v>
      </c>
      <c r="AT30" s="141">
        <f t="shared" si="3"/>
        <v>75</v>
      </c>
      <c r="AU30" s="131">
        <f t="shared" si="14"/>
        <v>45</v>
      </c>
      <c r="AV30" s="129">
        <f t="shared" si="15"/>
        <v>60</v>
      </c>
      <c r="AW30" s="141">
        <f t="shared" si="4"/>
        <v>75</v>
      </c>
      <c r="AX30" s="131">
        <f t="shared" si="16"/>
        <v>45</v>
      </c>
      <c r="AY30" s="129">
        <f t="shared" si="17"/>
        <v>60</v>
      </c>
      <c r="AZ30" s="141">
        <f t="shared" si="5"/>
        <v>75</v>
      </c>
    </row>
    <row r="31" ht="15.75" customHeight="1" spans="1:52" x14ac:dyDescent="0.25">
      <c r="A31" s="214" t="str">
        <f>'IA Marks'!A31</f>
        <v>23N81A6220</v>
      </c>
      <c r="B31" s="215">
        <f>'IA Marks'!B31</f>
        <v>0</v>
      </c>
      <c r="C31" s="117"/>
      <c r="D31" s="117">
        <v>45</v>
      </c>
      <c r="E31" s="117">
        <v>45</v>
      </c>
      <c r="F31" s="117">
        <v>45</v>
      </c>
      <c r="G31" s="117">
        <v>45</v>
      </c>
      <c r="H31" s="117">
        <v>45</v>
      </c>
      <c r="I31" s="117">
        <v>45</v>
      </c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207"/>
      <c r="AB31" s="207"/>
      <c r="AC31" s="207"/>
      <c r="AD31" s="207"/>
      <c r="AE31" s="207"/>
      <c r="AF31" s="207"/>
      <c r="AG31" s="207"/>
      <c r="AH31" s="207"/>
      <c r="AI31" s="128">
        <f t="shared" si="6"/>
        <v>45</v>
      </c>
      <c r="AJ31" s="129">
        <f t="shared" si="7"/>
        <v>60</v>
      </c>
      <c r="AK31" s="141">
        <f t="shared" si="0"/>
        <v>75</v>
      </c>
      <c r="AL31" s="131">
        <f t="shared" si="8"/>
        <v>45</v>
      </c>
      <c r="AM31" s="129">
        <f t="shared" si="9"/>
        <v>60</v>
      </c>
      <c r="AN31" s="141">
        <f t="shared" si="1"/>
        <v>75</v>
      </c>
      <c r="AO31" s="131">
        <f t="shared" si="10"/>
        <v>45</v>
      </c>
      <c r="AP31" s="129">
        <f t="shared" si="11"/>
        <v>60</v>
      </c>
      <c r="AQ31" s="141">
        <f t="shared" si="2"/>
        <v>75</v>
      </c>
      <c r="AR31" s="131">
        <f t="shared" si="12"/>
        <v>45</v>
      </c>
      <c r="AS31" s="129">
        <f t="shared" si="13"/>
        <v>60</v>
      </c>
      <c r="AT31" s="141">
        <f t="shared" si="3"/>
        <v>75</v>
      </c>
      <c r="AU31" s="131">
        <f t="shared" si="14"/>
        <v>45</v>
      </c>
      <c r="AV31" s="129">
        <f t="shared" si="15"/>
        <v>60</v>
      </c>
      <c r="AW31" s="141">
        <f t="shared" si="4"/>
        <v>75</v>
      </c>
      <c r="AX31" s="131">
        <f t="shared" si="16"/>
        <v>45</v>
      </c>
      <c r="AY31" s="129">
        <f t="shared" si="17"/>
        <v>60</v>
      </c>
      <c r="AZ31" s="141">
        <f t="shared" si="5"/>
        <v>75</v>
      </c>
    </row>
    <row r="32" ht="15.75" customHeight="1" spans="1:52" x14ac:dyDescent="0.25">
      <c r="A32" s="214" t="str">
        <f>'IA Marks'!A32</f>
        <v>23N81A6221</v>
      </c>
      <c r="B32" s="215">
        <f>'IA Marks'!B32</f>
        <v>0</v>
      </c>
      <c r="C32" s="117"/>
      <c r="D32" s="117">
        <v>45</v>
      </c>
      <c r="E32" s="117">
        <v>45</v>
      </c>
      <c r="F32" s="117">
        <v>45</v>
      </c>
      <c r="G32" s="117">
        <v>45</v>
      </c>
      <c r="H32" s="117">
        <v>45</v>
      </c>
      <c r="I32" s="117">
        <v>45</v>
      </c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207"/>
      <c r="AB32" s="207"/>
      <c r="AC32" s="207"/>
      <c r="AD32" s="207"/>
      <c r="AE32" s="207"/>
      <c r="AF32" s="207"/>
      <c r="AG32" s="207"/>
      <c r="AH32" s="207"/>
      <c r="AI32" s="128">
        <f t="shared" si="6"/>
        <v>45</v>
      </c>
      <c r="AJ32" s="129">
        <f t="shared" si="7"/>
        <v>60</v>
      </c>
      <c r="AK32" s="141">
        <f t="shared" si="0"/>
        <v>75</v>
      </c>
      <c r="AL32" s="131">
        <f t="shared" si="8"/>
        <v>45</v>
      </c>
      <c r="AM32" s="129">
        <f t="shared" si="9"/>
        <v>60</v>
      </c>
      <c r="AN32" s="141">
        <f t="shared" si="1"/>
        <v>75</v>
      </c>
      <c r="AO32" s="131">
        <f t="shared" si="10"/>
        <v>45</v>
      </c>
      <c r="AP32" s="129">
        <f t="shared" si="11"/>
        <v>60</v>
      </c>
      <c r="AQ32" s="141">
        <f t="shared" si="2"/>
        <v>75</v>
      </c>
      <c r="AR32" s="131">
        <f t="shared" si="12"/>
        <v>45</v>
      </c>
      <c r="AS32" s="129">
        <f t="shared" si="13"/>
        <v>60</v>
      </c>
      <c r="AT32" s="141">
        <f t="shared" si="3"/>
        <v>75</v>
      </c>
      <c r="AU32" s="131">
        <f t="shared" si="14"/>
        <v>45</v>
      </c>
      <c r="AV32" s="129">
        <f t="shared" si="15"/>
        <v>60</v>
      </c>
      <c r="AW32" s="141">
        <f t="shared" si="4"/>
        <v>75</v>
      </c>
      <c r="AX32" s="131">
        <f t="shared" si="16"/>
        <v>45</v>
      </c>
      <c r="AY32" s="129">
        <f t="shared" si="17"/>
        <v>60</v>
      </c>
      <c r="AZ32" s="141">
        <f t="shared" si="5"/>
        <v>75</v>
      </c>
    </row>
    <row r="33" ht="15.75" customHeight="1" spans="1:52" x14ac:dyDescent="0.25">
      <c r="A33" s="214" t="str">
        <f>'IA Marks'!A33</f>
        <v>23N81A6222</v>
      </c>
      <c r="B33" s="215">
        <f>'IA Marks'!B33</f>
        <v>0</v>
      </c>
      <c r="C33" s="117"/>
      <c r="D33" s="117">
        <v>45</v>
      </c>
      <c r="E33" s="117">
        <v>45</v>
      </c>
      <c r="F33" s="117">
        <v>45</v>
      </c>
      <c r="G33" s="117">
        <v>45</v>
      </c>
      <c r="H33" s="117">
        <v>45</v>
      </c>
      <c r="I33" s="117">
        <v>45</v>
      </c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207"/>
      <c r="AB33" s="207"/>
      <c r="AC33" s="207"/>
      <c r="AD33" s="207"/>
      <c r="AE33" s="207"/>
      <c r="AF33" s="207"/>
      <c r="AG33" s="207"/>
      <c r="AH33" s="207"/>
      <c r="AI33" s="128">
        <f t="shared" si="6"/>
        <v>45</v>
      </c>
      <c r="AJ33" s="129">
        <f t="shared" si="7"/>
        <v>60</v>
      </c>
      <c r="AK33" s="141">
        <f t="shared" si="0"/>
        <v>75</v>
      </c>
      <c r="AL33" s="131">
        <f t="shared" si="8"/>
        <v>45</v>
      </c>
      <c r="AM33" s="129">
        <f t="shared" si="9"/>
        <v>60</v>
      </c>
      <c r="AN33" s="141">
        <f t="shared" si="1"/>
        <v>75</v>
      </c>
      <c r="AO33" s="131">
        <f t="shared" si="10"/>
        <v>45</v>
      </c>
      <c r="AP33" s="129">
        <f t="shared" si="11"/>
        <v>60</v>
      </c>
      <c r="AQ33" s="141">
        <f t="shared" si="2"/>
        <v>75</v>
      </c>
      <c r="AR33" s="131">
        <f t="shared" si="12"/>
        <v>45</v>
      </c>
      <c r="AS33" s="129">
        <f t="shared" si="13"/>
        <v>60</v>
      </c>
      <c r="AT33" s="141">
        <f t="shared" si="3"/>
        <v>75</v>
      </c>
      <c r="AU33" s="131">
        <f t="shared" si="14"/>
        <v>45</v>
      </c>
      <c r="AV33" s="129">
        <f t="shared" si="15"/>
        <v>60</v>
      </c>
      <c r="AW33" s="141">
        <f t="shared" si="4"/>
        <v>75</v>
      </c>
      <c r="AX33" s="131">
        <f t="shared" si="16"/>
        <v>45</v>
      </c>
      <c r="AY33" s="129">
        <f t="shared" si="17"/>
        <v>60</v>
      </c>
      <c r="AZ33" s="141">
        <f t="shared" si="5"/>
        <v>75</v>
      </c>
    </row>
    <row r="34" ht="15.75" customHeight="1" spans="1:52" x14ac:dyDescent="0.25">
      <c r="A34" s="214" t="str">
        <f>'IA Marks'!A34</f>
        <v>23N81A6223</v>
      </c>
      <c r="B34" s="215">
        <f>'IA Marks'!B34</f>
        <v>0</v>
      </c>
      <c r="C34" s="117"/>
      <c r="D34" s="117">
        <v>45</v>
      </c>
      <c r="E34" s="117">
        <v>45</v>
      </c>
      <c r="F34" s="117">
        <v>45</v>
      </c>
      <c r="G34" s="117">
        <v>45</v>
      </c>
      <c r="H34" s="117">
        <v>45</v>
      </c>
      <c r="I34" s="117">
        <v>45</v>
      </c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207"/>
      <c r="AB34" s="207"/>
      <c r="AC34" s="207"/>
      <c r="AD34" s="207"/>
      <c r="AE34" s="207"/>
      <c r="AF34" s="207"/>
      <c r="AG34" s="207"/>
      <c r="AH34" s="207"/>
      <c r="AI34" s="128">
        <f t="shared" si="6"/>
        <v>45</v>
      </c>
      <c r="AJ34" s="129">
        <f t="shared" si="7"/>
        <v>60</v>
      </c>
      <c r="AK34" s="141">
        <f t="shared" si="0"/>
        <v>75</v>
      </c>
      <c r="AL34" s="131">
        <f t="shared" si="8"/>
        <v>45</v>
      </c>
      <c r="AM34" s="129">
        <f t="shared" si="9"/>
        <v>60</v>
      </c>
      <c r="AN34" s="141">
        <f t="shared" si="1"/>
        <v>75</v>
      </c>
      <c r="AO34" s="131">
        <f t="shared" si="10"/>
        <v>45</v>
      </c>
      <c r="AP34" s="129">
        <f t="shared" si="11"/>
        <v>60</v>
      </c>
      <c r="AQ34" s="141">
        <f t="shared" si="2"/>
        <v>75</v>
      </c>
      <c r="AR34" s="131">
        <f t="shared" si="12"/>
        <v>45</v>
      </c>
      <c r="AS34" s="129">
        <f t="shared" si="13"/>
        <v>60</v>
      </c>
      <c r="AT34" s="141">
        <f t="shared" si="3"/>
        <v>75</v>
      </c>
      <c r="AU34" s="131">
        <f t="shared" si="14"/>
        <v>45</v>
      </c>
      <c r="AV34" s="129">
        <f t="shared" si="15"/>
        <v>60</v>
      </c>
      <c r="AW34" s="141">
        <f t="shared" si="4"/>
        <v>75</v>
      </c>
      <c r="AX34" s="131">
        <f t="shared" si="16"/>
        <v>45</v>
      </c>
      <c r="AY34" s="129">
        <f t="shared" si="17"/>
        <v>60</v>
      </c>
      <c r="AZ34" s="141">
        <f t="shared" si="5"/>
        <v>75</v>
      </c>
    </row>
    <row r="35" ht="15.75" customHeight="1" spans="1:52" x14ac:dyDescent="0.25">
      <c r="A35" s="214" t="str">
        <f>'IA Marks'!A35</f>
        <v>23N81A6226</v>
      </c>
      <c r="B35" s="215">
        <f>'IA Marks'!B35</f>
        <v>0</v>
      </c>
      <c r="C35" s="117"/>
      <c r="D35" s="117">
        <v>45</v>
      </c>
      <c r="E35" s="117">
        <v>45</v>
      </c>
      <c r="F35" s="117">
        <v>45</v>
      </c>
      <c r="G35" s="117">
        <v>45</v>
      </c>
      <c r="H35" s="117">
        <v>45</v>
      </c>
      <c r="I35" s="117">
        <v>45</v>
      </c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207"/>
      <c r="AB35" s="207"/>
      <c r="AC35" s="207"/>
      <c r="AD35" s="207"/>
      <c r="AE35" s="207"/>
      <c r="AF35" s="207"/>
      <c r="AG35" s="207"/>
      <c r="AH35" s="207"/>
      <c r="AI35" s="128">
        <f t="shared" si="6"/>
        <v>45</v>
      </c>
      <c r="AJ35" s="129">
        <f t="shared" si="7"/>
        <v>60</v>
      </c>
      <c r="AK35" s="141">
        <f t="shared" si="0"/>
        <v>75</v>
      </c>
      <c r="AL35" s="131">
        <f t="shared" si="8"/>
        <v>45</v>
      </c>
      <c r="AM35" s="129">
        <f t="shared" si="9"/>
        <v>60</v>
      </c>
      <c r="AN35" s="141">
        <f t="shared" si="1"/>
        <v>75</v>
      </c>
      <c r="AO35" s="131">
        <f t="shared" si="10"/>
        <v>45</v>
      </c>
      <c r="AP35" s="129">
        <f t="shared" si="11"/>
        <v>60</v>
      </c>
      <c r="AQ35" s="141">
        <f t="shared" si="2"/>
        <v>75</v>
      </c>
      <c r="AR35" s="131">
        <f t="shared" si="12"/>
        <v>45</v>
      </c>
      <c r="AS35" s="129">
        <f t="shared" si="13"/>
        <v>60</v>
      </c>
      <c r="AT35" s="141">
        <f t="shared" si="3"/>
        <v>75</v>
      </c>
      <c r="AU35" s="131">
        <f t="shared" si="14"/>
        <v>45</v>
      </c>
      <c r="AV35" s="129">
        <f t="shared" si="15"/>
        <v>60</v>
      </c>
      <c r="AW35" s="141">
        <f t="shared" si="4"/>
        <v>75</v>
      </c>
      <c r="AX35" s="131">
        <f t="shared" si="16"/>
        <v>45</v>
      </c>
      <c r="AY35" s="129">
        <f t="shared" si="17"/>
        <v>60</v>
      </c>
      <c r="AZ35" s="141">
        <f t="shared" si="5"/>
        <v>75</v>
      </c>
    </row>
    <row r="36" ht="15.75" customHeight="1" spans="1:52" x14ac:dyDescent="0.25">
      <c r="A36" s="214" t="str">
        <f>'IA Marks'!A36</f>
        <v>23N81A6227</v>
      </c>
      <c r="B36" s="215">
        <f>'IA Marks'!B36</f>
        <v>0</v>
      </c>
      <c r="C36" s="117"/>
      <c r="D36" s="117">
        <v>45</v>
      </c>
      <c r="E36" s="117">
        <v>45</v>
      </c>
      <c r="F36" s="117">
        <v>45</v>
      </c>
      <c r="G36" s="117">
        <v>45</v>
      </c>
      <c r="H36" s="117">
        <v>45</v>
      </c>
      <c r="I36" s="117">
        <v>45</v>
      </c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207"/>
      <c r="AB36" s="207"/>
      <c r="AC36" s="207"/>
      <c r="AD36" s="207"/>
      <c r="AE36" s="207"/>
      <c r="AF36" s="207"/>
      <c r="AG36" s="207"/>
      <c r="AH36" s="207"/>
      <c r="AI36" s="128">
        <f t="shared" si="6"/>
        <v>45</v>
      </c>
      <c r="AJ36" s="129">
        <f t="shared" si="7"/>
        <v>60</v>
      </c>
      <c r="AK36" s="141">
        <f t="shared" si="0"/>
        <v>75</v>
      </c>
      <c r="AL36" s="131">
        <f t="shared" si="8"/>
        <v>45</v>
      </c>
      <c r="AM36" s="129">
        <f t="shared" si="9"/>
        <v>60</v>
      </c>
      <c r="AN36" s="141">
        <f t="shared" si="1"/>
        <v>75</v>
      </c>
      <c r="AO36" s="131">
        <f t="shared" si="10"/>
        <v>45</v>
      </c>
      <c r="AP36" s="129">
        <f t="shared" si="11"/>
        <v>60</v>
      </c>
      <c r="AQ36" s="141">
        <f t="shared" si="2"/>
        <v>75</v>
      </c>
      <c r="AR36" s="131">
        <f t="shared" si="12"/>
        <v>45</v>
      </c>
      <c r="AS36" s="129">
        <f t="shared" si="13"/>
        <v>60</v>
      </c>
      <c r="AT36" s="141">
        <f t="shared" si="3"/>
        <v>75</v>
      </c>
      <c r="AU36" s="131">
        <f t="shared" si="14"/>
        <v>45</v>
      </c>
      <c r="AV36" s="129">
        <f t="shared" si="15"/>
        <v>60</v>
      </c>
      <c r="AW36" s="141">
        <f t="shared" si="4"/>
        <v>75</v>
      </c>
      <c r="AX36" s="131">
        <f t="shared" si="16"/>
        <v>45</v>
      </c>
      <c r="AY36" s="129">
        <f t="shared" si="17"/>
        <v>60</v>
      </c>
      <c r="AZ36" s="141">
        <f t="shared" si="5"/>
        <v>75</v>
      </c>
    </row>
    <row r="37" ht="15.75" customHeight="1" spans="1:52" x14ac:dyDescent="0.25">
      <c r="A37" s="214" t="str">
        <f>'IA Marks'!A37</f>
        <v>23N81A6228</v>
      </c>
      <c r="B37" s="215">
        <f>'IA Marks'!B37</f>
        <v>0</v>
      </c>
      <c r="C37" s="117"/>
      <c r="D37" s="117">
        <v>45</v>
      </c>
      <c r="E37" s="117">
        <v>45</v>
      </c>
      <c r="F37" s="117">
        <v>45</v>
      </c>
      <c r="G37" s="117">
        <v>45</v>
      </c>
      <c r="H37" s="117">
        <v>45</v>
      </c>
      <c r="I37" s="117">
        <v>45</v>
      </c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207"/>
      <c r="AB37" s="207"/>
      <c r="AC37" s="207"/>
      <c r="AD37" s="207"/>
      <c r="AE37" s="207"/>
      <c r="AF37" s="207"/>
      <c r="AG37" s="207"/>
      <c r="AH37" s="207"/>
      <c r="AI37" s="128">
        <f t="shared" si="6"/>
        <v>45</v>
      </c>
      <c r="AJ37" s="129">
        <f t="shared" si="7"/>
        <v>60</v>
      </c>
      <c r="AK37" s="141">
        <f t="shared" si="0"/>
        <v>75</v>
      </c>
      <c r="AL37" s="131">
        <f t="shared" si="8"/>
        <v>45</v>
      </c>
      <c r="AM37" s="129">
        <f t="shared" si="9"/>
        <v>60</v>
      </c>
      <c r="AN37" s="141">
        <f t="shared" si="1"/>
        <v>75</v>
      </c>
      <c r="AO37" s="131">
        <f t="shared" si="10"/>
        <v>45</v>
      </c>
      <c r="AP37" s="129">
        <f t="shared" si="11"/>
        <v>60</v>
      </c>
      <c r="AQ37" s="141">
        <f t="shared" si="2"/>
        <v>75</v>
      </c>
      <c r="AR37" s="131">
        <f t="shared" si="12"/>
        <v>45</v>
      </c>
      <c r="AS37" s="129">
        <f t="shared" si="13"/>
        <v>60</v>
      </c>
      <c r="AT37" s="141">
        <f t="shared" si="3"/>
        <v>75</v>
      </c>
      <c r="AU37" s="131">
        <f t="shared" si="14"/>
        <v>45</v>
      </c>
      <c r="AV37" s="129">
        <f t="shared" si="15"/>
        <v>60</v>
      </c>
      <c r="AW37" s="141">
        <f t="shared" si="4"/>
        <v>75</v>
      </c>
      <c r="AX37" s="131">
        <f t="shared" si="16"/>
        <v>45</v>
      </c>
      <c r="AY37" s="129">
        <f t="shared" si="17"/>
        <v>60</v>
      </c>
      <c r="AZ37" s="141">
        <f t="shared" si="5"/>
        <v>75</v>
      </c>
    </row>
    <row r="38" ht="15.75" customHeight="1" spans="1:52" x14ac:dyDescent="0.25">
      <c r="A38" s="214" t="str">
        <f>'IA Marks'!A38</f>
        <v>23N81A6229</v>
      </c>
      <c r="B38" s="215">
        <f>'IA Marks'!B38</f>
        <v>0</v>
      </c>
      <c r="C38" s="117"/>
      <c r="D38" s="117">
        <v>45</v>
      </c>
      <c r="E38" s="117">
        <v>45</v>
      </c>
      <c r="F38" s="117">
        <v>45</v>
      </c>
      <c r="G38" s="117">
        <v>45</v>
      </c>
      <c r="H38" s="117">
        <v>45</v>
      </c>
      <c r="I38" s="117">
        <v>45</v>
      </c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207"/>
      <c r="AB38" s="207"/>
      <c r="AC38" s="207"/>
      <c r="AD38" s="207"/>
      <c r="AE38" s="207"/>
      <c r="AF38" s="207"/>
      <c r="AG38" s="207"/>
      <c r="AH38" s="207"/>
      <c r="AI38" s="128">
        <f t="shared" si="6"/>
        <v>45</v>
      </c>
      <c r="AJ38" s="129">
        <f t="shared" si="7"/>
        <v>60</v>
      </c>
      <c r="AK38" s="141">
        <f t="shared" si="0"/>
        <v>75</v>
      </c>
      <c r="AL38" s="131">
        <f t="shared" si="8"/>
        <v>45</v>
      </c>
      <c r="AM38" s="129">
        <f t="shared" si="9"/>
        <v>60</v>
      </c>
      <c r="AN38" s="141">
        <f t="shared" si="1"/>
        <v>75</v>
      </c>
      <c r="AO38" s="131">
        <f t="shared" si="10"/>
        <v>45</v>
      </c>
      <c r="AP38" s="129">
        <f t="shared" si="11"/>
        <v>60</v>
      </c>
      <c r="AQ38" s="141">
        <f t="shared" si="2"/>
        <v>75</v>
      </c>
      <c r="AR38" s="131">
        <f t="shared" si="12"/>
        <v>45</v>
      </c>
      <c r="AS38" s="129">
        <f t="shared" si="13"/>
        <v>60</v>
      </c>
      <c r="AT38" s="141">
        <f t="shared" si="3"/>
        <v>75</v>
      </c>
      <c r="AU38" s="131">
        <f t="shared" si="14"/>
        <v>45</v>
      </c>
      <c r="AV38" s="129">
        <f t="shared" si="15"/>
        <v>60</v>
      </c>
      <c r="AW38" s="141">
        <f t="shared" si="4"/>
        <v>75</v>
      </c>
      <c r="AX38" s="131">
        <f t="shared" si="16"/>
        <v>45</v>
      </c>
      <c r="AY38" s="129">
        <f t="shared" si="17"/>
        <v>60</v>
      </c>
      <c r="AZ38" s="141">
        <f t="shared" si="5"/>
        <v>75</v>
      </c>
    </row>
    <row r="39" ht="15.75" customHeight="1" spans="1:52" x14ac:dyDescent="0.25">
      <c r="A39" s="214" t="str">
        <f>'IA Marks'!A39</f>
        <v>23N81A6230</v>
      </c>
      <c r="B39" s="215">
        <f>'IA Marks'!B39</f>
        <v>0</v>
      </c>
      <c r="C39" s="117"/>
      <c r="D39" s="117">
        <v>45</v>
      </c>
      <c r="E39" s="117">
        <v>45</v>
      </c>
      <c r="F39" s="117">
        <v>45</v>
      </c>
      <c r="G39" s="117">
        <v>45</v>
      </c>
      <c r="H39" s="117">
        <v>45</v>
      </c>
      <c r="I39" s="117">
        <v>45</v>
      </c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207"/>
      <c r="AB39" s="207"/>
      <c r="AC39" s="207"/>
      <c r="AD39" s="207"/>
      <c r="AE39" s="207"/>
      <c r="AF39" s="207"/>
      <c r="AG39" s="207"/>
      <c r="AH39" s="207"/>
      <c r="AI39" s="128">
        <f t="shared" si="6"/>
        <v>45</v>
      </c>
      <c r="AJ39" s="129">
        <f t="shared" si="7"/>
        <v>60</v>
      </c>
      <c r="AK39" s="141">
        <f t="shared" si="0"/>
        <v>75</v>
      </c>
      <c r="AL39" s="131">
        <f t="shared" si="8"/>
        <v>45</v>
      </c>
      <c r="AM39" s="129">
        <f t="shared" si="9"/>
        <v>60</v>
      </c>
      <c r="AN39" s="141">
        <f t="shared" si="1"/>
        <v>75</v>
      </c>
      <c r="AO39" s="131">
        <f t="shared" si="10"/>
        <v>45</v>
      </c>
      <c r="AP39" s="129">
        <f t="shared" si="11"/>
        <v>60</v>
      </c>
      <c r="AQ39" s="141">
        <f t="shared" si="2"/>
        <v>75</v>
      </c>
      <c r="AR39" s="131">
        <f t="shared" si="12"/>
        <v>45</v>
      </c>
      <c r="AS39" s="129">
        <f t="shared" si="13"/>
        <v>60</v>
      </c>
      <c r="AT39" s="141">
        <f t="shared" si="3"/>
        <v>75</v>
      </c>
      <c r="AU39" s="131">
        <f t="shared" si="14"/>
        <v>45</v>
      </c>
      <c r="AV39" s="129">
        <f t="shared" si="15"/>
        <v>60</v>
      </c>
      <c r="AW39" s="141">
        <f t="shared" si="4"/>
        <v>75</v>
      </c>
      <c r="AX39" s="131">
        <f t="shared" si="16"/>
        <v>45</v>
      </c>
      <c r="AY39" s="129">
        <f t="shared" si="17"/>
        <v>60</v>
      </c>
      <c r="AZ39" s="141">
        <f t="shared" si="5"/>
        <v>75</v>
      </c>
    </row>
    <row r="40" ht="15.75" customHeight="1" spans="1:52" x14ac:dyDescent="0.25">
      <c r="A40" s="214" t="str">
        <f>'IA Marks'!A40</f>
        <v>23N81A6231</v>
      </c>
      <c r="B40" s="215">
        <f>'IA Marks'!B40</f>
        <v>0</v>
      </c>
      <c r="C40" s="117"/>
      <c r="D40" s="117">
        <v>45</v>
      </c>
      <c r="E40" s="117">
        <v>45</v>
      </c>
      <c r="F40" s="117">
        <v>45</v>
      </c>
      <c r="G40" s="117">
        <v>45</v>
      </c>
      <c r="H40" s="117">
        <v>45</v>
      </c>
      <c r="I40" s="117">
        <v>45</v>
      </c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207"/>
      <c r="AB40" s="207"/>
      <c r="AC40" s="207"/>
      <c r="AD40" s="207"/>
      <c r="AE40" s="207"/>
      <c r="AF40" s="207"/>
      <c r="AG40" s="207"/>
      <c r="AH40" s="207"/>
      <c r="AI40" s="128">
        <f t="shared" si="6"/>
        <v>45</v>
      </c>
      <c r="AJ40" s="129">
        <f t="shared" si="7"/>
        <v>60</v>
      </c>
      <c r="AK40" s="141">
        <f t="shared" si="0"/>
        <v>75</v>
      </c>
      <c r="AL40" s="131">
        <f t="shared" si="8"/>
        <v>45</v>
      </c>
      <c r="AM40" s="129">
        <f t="shared" si="9"/>
        <v>60</v>
      </c>
      <c r="AN40" s="141">
        <f t="shared" si="1"/>
        <v>75</v>
      </c>
      <c r="AO40" s="131">
        <f t="shared" si="10"/>
        <v>45</v>
      </c>
      <c r="AP40" s="129">
        <f t="shared" si="11"/>
        <v>60</v>
      </c>
      <c r="AQ40" s="141">
        <f t="shared" si="2"/>
        <v>75</v>
      </c>
      <c r="AR40" s="131">
        <f t="shared" si="12"/>
        <v>45</v>
      </c>
      <c r="AS40" s="129">
        <f t="shared" si="13"/>
        <v>60</v>
      </c>
      <c r="AT40" s="141">
        <f t="shared" si="3"/>
        <v>75</v>
      </c>
      <c r="AU40" s="131">
        <f t="shared" si="14"/>
        <v>45</v>
      </c>
      <c r="AV40" s="129">
        <f t="shared" si="15"/>
        <v>60</v>
      </c>
      <c r="AW40" s="141">
        <f t="shared" si="4"/>
        <v>75</v>
      </c>
      <c r="AX40" s="131">
        <f t="shared" si="16"/>
        <v>45</v>
      </c>
      <c r="AY40" s="129">
        <f t="shared" si="17"/>
        <v>60</v>
      </c>
      <c r="AZ40" s="141">
        <f t="shared" si="5"/>
        <v>75</v>
      </c>
    </row>
    <row r="41" ht="15.75" customHeight="1" spans="1:52" x14ac:dyDescent="0.25">
      <c r="A41" s="214" t="str">
        <f>'IA Marks'!A41</f>
        <v>23N81A6232</v>
      </c>
      <c r="B41" s="215">
        <f>'IA Marks'!B41</f>
        <v>0</v>
      </c>
      <c r="C41" s="117"/>
      <c r="D41" s="117">
        <v>45</v>
      </c>
      <c r="E41" s="117">
        <v>45</v>
      </c>
      <c r="F41" s="117">
        <v>45</v>
      </c>
      <c r="G41" s="117">
        <v>45</v>
      </c>
      <c r="H41" s="117">
        <v>45</v>
      </c>
      <c r="I41" s="117">
        <v>45</v>
      </c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207"/>
      <c r="AB41" s="207"/>
      <c r="AC41" s="207"/>
      <c r="AD41" s="207"/>
      <c r="AE41" s="207"/>
      <c r="AF41" s="207"/>
      <c r="AG41" s="207"/>
      <c r="AH41" s="207"/>
      <c r="AI41" s="128">
        <f t="shared" si="6"/>
        <v>45</v>
      </c>
      <c r="AJ41" s="129">
        <f t="shared" si="7"/>
        <v>60</v>
      </c>
      <c r="AK41" s="141">
        <f t="shared" si="0"/>
        <v>75</v>
      </c>
      <c r="AL41" s="131">
        <f t="shared" si="8"/>
        <v>45</v>
      </c>
      <c r="AM41" s="129">
        <f t="shared" si="9"/>
        <v>60</v>
      </c>
      <c r="AN41" s="141">
        <f t="shared" si="1"/>
        <v>75</v>
      </c>
      <c r="AO41" s="131">
        <f t="shared" si="10"/>
        <v>45</v>
      </c>
      <c r="AP41" s="129">
        <f t="shared" si="11"/>
        <v>60</v>
      </c>
      <c r="AQ41" s="141">
        <f t="shared" si="2"/>
        <v>75</v>
      </c>
      <c r="AR41" s="131">
        <f t="shared" si="12"/>
        <v>45</v>
      </c>
      <c r="AS41" s="129">
        <f t="shared" si="13"/>
        <v>60</v>
      </c>
      <c r="AT41" s="141">
        <f t="shared" si="3"/>
        <v>75</v>
      </c>
      <c r="AU41" s="131">
        <f t="shared" si="14"/>
        <v>45</v>
      </c>
      <c r="AV41" s="129">
        <f t="shared" si="15"/>
        <v>60</v>
      </c>
      <c r="AW41" s="141">
        <f t="shared" si="4"/>
        <v>75</v>
      </c>
      <c r="AX41" s="131">
        <f t="shared" si="16"/>
        <v>45</v>
      </c>
      <c r="AY41" s="129">
        <f t="shared" si="17"/>
        <v>60</v>
      </c>
      <c r="AZ41" s="141">
        <f t="shared" si="5"/>
        <v>75</v>
      </c>
    </row>
    <row r="42" ht="15.75" customHeight="1" spans="1:52" x14ac:dyDescent="0.25">
      <c r="A42" s="214" t="str">
        <f>'IA Marks'!A42</f>
        <v>23N81A6233</v>
      </c>
      <c r="B42" s="215">
        <f>'IA Marks'!B42</f>
        <v>0</v>
      </c>
      <c r="C42" s="117"/>
      <c r="D42" s="117">
        <v>45</v>
      </c>
      <c r="E42" s="117">
        <v>45</v>
      </c>
      <c r="F42" s="117">
        <v>45</v>
      </c>
      <c r="G42" s="117">
        <v>45</v>
      </c>
      <c r="H42" s="117">
        <v>45</v>
      </c>
      <c r="I42" s="117">
        <v>45</v>
      </c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207"/>
      <c r="AB42" s="207"/>
      <c r="AC42" s="207"/>
      <c r="AD42" s="207"/>
      <c r="AE42" s="207"/>
      <c r="AF42" s="207"/>
      <c r="AG42" s="207"/>
      <c r="AH42" s="207"/>
      <c r="AI42" s="128">
        <f t="shared" si="6"/>
        <v>45</v>
      </c>
      <c r="AJ42" s="129">
        <f t="shared" si="7"/>
        <v>60</v>
      </c>
      <c r="AK42" s="141">
        <f t="shared" si="0"/>
        <v>75</v>
      </c>
      <c r="AL42" s="131">
        <f t="shared" si="8"/>
        <v>45</v>
      </c>
      <c r="AM42" s="129">
        <f t="shared" si="9"/>
        <v>60</v>
      </c>
      <c r="AN42" s="141">
        <f t="shared" si="1"/>
        <v>75</v>
      </c>
      <c r="AO42" s="131">
        <f t="shared" si="10"/>
        <v>45</v>
      </c>
      <c r="AP42" s="129">
        <f t="shared" si="11"/>
        <v>60</v>
      </c>
      <c r="AQ42" s="141">
        <f t="shared" si="2"/>
        <v>75</v>
      </c>
      <c r="AR42" s="131">
        <f t="shared" si="12"/>
        <v>45</v>
      </c>
      <c r="AS42" s="129">
        <f t="shared" si="13"/>
        <v>60</v>
      </c>
      <c r="AT42" s="141">
        <f t="shared" si="3"/>
        <v>75</v>
      </c>
      <c r="AU42" s="131">
        <f t="shared" si="14"/>
        <v>45</v>
      </c>
      <c r="AV42" s="129">
        <f t="shared" si="15"/>
        <v>60</v>
      </c>
      <c r="AW42" s="141">
        <f t="shared" si="4"/>
        <v>75</v>
      </c>
      <c r="AX42" s="131">
        <f t="shared" si="16"/>
        <v>45</v>
      </c>
      <c r="AY42" s="129">
        <f t="shared" si="17"/>
        <v>60</v>
      </c>
      <c r="AZ42" s="141">
        <f t="shared" si="5"/>
        <v>75</v>
      </c>
    </row>
    <row r="43" ht="15.75" customHeight="1" spans="1:52" x14ac:dyDescent="0.25">
      <c r="A43" s="214" t="str">
        <f>'IA Marks'!A43</f>
        <v>23N81A6234</v>
      </c>
      <c r="B43" s="215">
        <f>'IA Marks'!B43</f>
        <v>0</v>
      </c>
      <c r="C43" s="117"/>
      <c r="D43" s="117">
        <v>45</v>
      </c>
      <c r="E43" s="117">
        <v>45</v>
      </c>
      <c r="F43" s="117">
        <v>45</v>
      </c>
      <c r="G43" s="117">
        <v>45</v>
      </c>
      <c r="H43" s="117">
        <v>45</v>
      </c>
      <c r="I43" s="117">
        <v>45</v>
      </c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207"/>
      <c r="AB43" s="207"/>
      <c r="AC43" s="207"/>
      <c r="AD43" s="207"/>
      <c r="AE43" s="207"/>
      <c r="AF43" s="207"/>
      <c r="AG43" s="207"/>
      <c r="AH43" s="207"/>
      <c r="AI43" s="128">
        <f t="shared" si="6"/>
        <v>45</v>
      </c>
      <c r="AJ43" s="129">
        <f t="shared" si="7"/>
        <v>60</v>
      </c>
      <c r="AK43" s="141">
        <f t="shared" si="0"/>
        <v>75</v>
      </c>
      <c r="AL43" s="131">
        <f t="shared" si="8"/>
        <v>45</v>
      </c>
      <c r="AM43" s="129">
        <f t="shared" si="9"/>
        <v>60</v>
      </c>
      <c r="AN43" s="141">
        <f t="shared" si="1"/>
        <v>75</v>
      </c>
      <c r="AO43" s="131">
        <f t="shared" si="10"/>
        <v>45</v>
      </c>
      <c r="AP43" s="129">
        <f t="shared" si="11"/>
        <v>60</v>
      </c>
      <c r="AQ43" s="141">
        <f t="shared" si="2"/>
        <v>75</v>
      </c>
      <c r="AR43" s="131">
        <f t="shared" si="12"/>
        <v>45</v>
      </c>
      <c r="AS43" s="129">
        <f t="shared" si="13"/>
        <v>60</v>
      </c>
      <c r="AT43" s="141">
        <f t="shared" si="3"/>
        <v>75</v>
      </c>
      <c r="AU43" s="131">
        <f t="shared" si="14"/>
        <v>45</v>
      </c>
      <c r="AV43" s="129">
        <f t="shared" si="15"/>
        <v>60</v>
      </c>
      <c r="AW43" s="141">
        <f t="shared" si="4"/>
        <v>75</v>
      </c>
      <c r="AX43" s="131">
        <f t="shared" si="16"/>
        <v>45</v>
      </c>
      <c r="AY43" s="129">
        <f t="shared" si="17"/>
        <v>60</v>
      </c>
      <c r="AZ43" s="141">
        <f t="shared" si="5"/>
        <v>75</v>
      </c>
    </row>
    <row r="44" ht="15.75" customHeight="1" spans="1:52" x14ac:dyDescent="0.25">
      <c r="A44" s="214" t="str">
        <f>'IA Marks'!A44</f>
        <v>23N81A6235</v>
      </c>
      <c r="B44" s="215">
        <f>'IA Marks'!B44</f>
        <v>0</v>
      </c>
      <c r="C44" s="117"/>
      <c r="D44" s="117">
        <v>45</v>
      </c>
      <c r="E44" s="117">
        <v>45</v>
      </c>
      <c r="F44" s="117">
        <v>45</v>
      </c>
      <c r="G44" s="117">
        <v>45</v>
      </c>
      <c r="H44" s="117">
        <v>45</v>
      </c>
      <c r="I44" s="117">
        <v>45</v>
      </c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207"/>
      <c r="AB44" s="207"/>
      <c r="AC44" s="207"/>
      <c r="AD44" s="207"/>
      <c r="AE44" s="207"/>
      <c r="AF44" s="207"/>
      <c r="AG44" s="207"/>
      <c r="AH44" s="207"/>
      <c r="AI44" s="128">
        <f t="shared" si="6"/>
        <v>45</v>
      </c>
      <c r="AJ44" s="129">
        <f t="shared" si="7"/>
        <v>60</v>
      </c>
      <c r="AK44" s="141">
        <f t="shared" si="0"/>
        <v>75</v>
      </c>
      <c r="AL44" s="131">
        <f t="shared" si="8"/>
        <v>45</v>
      </c>
      <c r="AM44" s="129">
        <f t="shared" si="9"/>
        <v>60</v>
      </c>
      <c r="AN44" s="141">
        <f t="shared" si="1"/>
        <v>75</v>
      </c>
      <c r="AO44" s="131">
        <f t="shared" si="10"/>
        <v>45</v>
      </c>
      <c r="AP44" s="129">
        <f t="shared" si="11"/>
        <v>60</v>
      </c>
      <c r="AQ44" s="141">
        <f t="shared" si="2"/>
        <v>75</v>
      </c>
      <c r="AR44" s="131">
        <f t="shared" si="12"/>
        <v>45</v>
      </c>
      <c r="AS44" s="129">
        <f t="shared" si="13"/>
        <v>60</v>
      </c>
      <c r="AT44" s="141">
        <f t="shared" si="3"/>
        <v>75</v>
      </c>
      <c r="AU44" s="131">
        <f t="shared" si="14"/>
        <v>45</v>
      </c>
      <c r="AV44" s="129">
        <f t="shared" si="15"/>
        <v>60</v>
      </c>
      <c r="AW44" s="141">
        <f t="shared" si="4"/>
        <v>75</v>
      </c>
      <c r="AX44" s="131">
        <f t="shared" si="16"/>
        <v>45</v>
      </c>
      <c r="AY44" s="129">
        <f t="shared" si="17"/>
        <v>60</v>
      </c>
      <c r="AZ44" s="141">
        <f t="shared" si="5"/>
        <v>75</v>
      </c>
    </row>
    <row r="45" ht="15.75" customHeight="1" spans="1:52" x14ac:dyDescent="0.25">
      <c r="A45" s="214" t="str">
        <f>'IA Marks'!A45</f>
        <v>23N81A6236</v>
      </c>
      <c r="B45" s="215">
        <f>'IA Marks'!B45</f>
        <v>0</v>
      </c>
      <c r="C45" s="117"/>
      <c r="D45" s="117">
        <v>45</v>
      </c>
      <c r="E45" s="117">
        <v>45</v>
      </c>
      <c r="F45" s="117">
        <v>45</v>
      </c>
      <c r="G45" s="117">
        <v>45</v>
      </c>
      <c r="H45" s="117">
        <v>45</v>
      </c>
      <c r="I45" s="117">
        <v>45</v>
      </c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207"/>
      <c r="AB45" s="207"/>
      <c r="AC45" s="207"/>
      <c r="AD45" s="207"/>
      <c r="AE45" s="207"/>
      <c r="AF45" s="207"/>
      <c r="AG45" s="207"/>
      <c r="AH45" s="207"/>
      <c r="AI45" s="128">
        <f t="shared" si="6"/>
        <v>45</v>
      </c>
      <c r="AJ45" s="129">
        <f t="shared" si="7"/>
        <v>60</v>
      </c>
      <c r="AK45" s="141">
        <f t="shared" ref="AK45:AK76" si="18">ROUNDUP(IF(AJ45,AI45/AJ45%,0),2)</f>
        <v>75</v>
      </c>
      <c r="AL45" s="131">
        <f t="shared" si="8"/>
        <v>45</v>
      </c>
      <c r="AM45" s="129">
        <f t="shared" si="9"/>
        <v>60</v>
      </c>
      <c r="AN45" s="141">
        <f t="shared" ref="AN45:AN76" si="19">ROUNDUP(IF(AM45,AL45/AM45%,0),2)</f>
        <v>75</v>
      </c>
      <c r="AO45" s="131">
        <f t="shared" si="10"/>
        <v>45</v>
      </c>
      <c r="AP45" s="129">
        <f t="shared" si="11"/>
        <v>60</v>
      </c>
      <c r="AQ45" s="141">
        <f t="shared" ref="AQ45:AQ76" si="20">ROUNDUP(IF(AP45,AO45/AP45%,0),2)</f>
        <v>75</v>
      </c>
      <c r="AR45" s="131">
        <f t="shared" si="12"/>
        <v>45</v>
      </c>
      <c r="AS45" s="129">
        <f t="shared" si="13"/>
        <v>60</v>
      </c>
      <c r="AT45" s="141">
        <f t="shared" ref="AT45:AT76" si="21">ROUNDUP(IF(AS45,AR45/AS45%,0),2)</f>
        <v>75</v>
      </c>
      <c r="AU45" s="131">
        <f t="shared" si="14"/>
        <v>45</v>
      </c>
      <c r="AV45" s="129">
        <f t="shared" si="15"/>
        <v>60</v>
      </c>
      <c r="AW45" s="141">
        <f t="shared" ref="AW45:AW76" si="22">ROUNDUP(IF(AV45,AU45/AV45%,0),2)</f>
        <v>75</v>
      </c>
      <c r="AX45" s="131">
        <f t="shared" si="16"/>
        <v>45</v>
      </c>
      <c r="AY45" s="129">
        <f t="shared" si="17"/>
        <v>60</v>
      </c>
      <c r="AZ45" s="141">
        <f t="shared" ref="AZ45:AZ76" si="23">ROUNDUP(IF(AY45,AX45/AY45%,0),2)</f>
        <v>75</v>
      </c>
    </row>
    <row r="46" ht="15.75" customHeight="1" spans="1:52" x14ac:dyDescent="0.25">
      <c r="A46" s="214" t="str">
        <f>'IA Marks'!A46</f>
        <v>23N81A6237</v>
      </c>
      <c r="B46" s="215">
        <f>'IA Marks'!B46</f>
        <v>0</v>
      </c>
      <c r="C46" s="117"/>
      <c r="D46" s="117">
        <v>45</v>
      </c>
      <c r="E46" s="117">
        <v>45</v>
      </c>
      <c r="F46" s="117">
        <v>45</v>
      </c>
      <c r="G46" s="117">
        <v>45</v>
      </c>
      <c r="H46" s="117">
        <v>45</v>
      </c>
      <c r="I46" s="117">
        <v>45</v>
      </c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207"/>
      <c r="AB46" s="207"/>
      <c r="AC46" s="207"/>
      <c r="AD46" s="207"/>
      <c r="AE46" s="207"/>
      <c r="AF46" s="207"/>
      <c r="AG46" s="207"/>
      <c r="AH46" s="207"/>
      <c r="AI46" s="128">
        <f t="shared" si="6"/>
        <v>45</v>
      </c>
      <c r="AJ46" s="129">
        <f t="shared" si="7"/>
        <v>60</v>
      </c>
      <c r="AK46" s="141">
        <f t="shared" si="18"/>
        <v>75</v>
      </c>
      <c r="AL46" s="131">
        <f t="shared" si="8"/>
        <v>45</v>
      </c>
      <c r="AM46" s="129">
        <f t="shared" si="9"/>
        <v>60</v>
      </c>
      <c r="AN46" s="141">
        <f t="shared" si="19"/>
        <v>75</v>
      </c>
      <c r="AO46" s="131">
        <f t="shared" si="10"/>
        <v>45</v>
      </c>
      <c r="AP46" s="129">
        <f t="shared" si="11"/>
        <v>60</v>
      </c>
      <c r="AQ46" s="141">
        <f t="shared" si="20"/>
        <v>75</v>
      </c>
      <c r="AR46" s="131">
        <f t="shared" si="12"/>
        <v>45</v>
      </c>
      <c r="AS46" s="129">
        <f t="shared" si="13"/>
        <v>60</v>
      </c>
      <c r="AT46" s="141">
        <f t="shared" si="21"/>
        <v>75</v>
      </c>
      <c r="AU46" s="131">
        <f t="shared" si="14"/>
        <v>45</v>
      </c>
      <c r="AV46" s="129">
        <f t="shared" si="15"/>
        <v>60</v>
      </c>
      <c r="AW46" s="141">
        <f t="shared" si="22"/>
        <v>75</v>
      </c>
      <c r="AX46" s="131">
        <f t="shared" si="16"/>
        <v>45</v>
      </c>
      <c r="AY46" s="129">
        <f t="shared" si="17"/>
        <v>60</v>
      </c>
      <c r="AZ46" s="141">
        <f t="shared" si="23"/>
        <v>75</v>
      </c>
    </row>
    <row r="47" ht="15.75" customHeight="1" spans="1:52" x14ac:dyDescent="0.25">
      <c r="A47" s="214" t="str">
        <f>'IA Marks'!A47</f>
        <v>23N81A6238</v>
      </c>
      <c r="B47" s="215">
        <f>'IA Marks'!B47</f>
        <v>0</v>
      </c>
      <c r="C47" s="117"/>
      <c r="D47" s="117">
        <v>45</v>
      </c>
      <c r="E47" s="117">
        <v>45</v>
      </c>
      <c r="F47" s="117">
        <v>45</v>
      </c>
      <c r="G47" s="117">
        <v>45</v>
      </c>
      <c r="H47" s="117">
        <v>45</v>
      </c>
      <c r="I47" s="117">
        <v>45</v>
      </c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207"/>
      <c r="AB47" s="207"/>
      <c r="AC47" s="207"/>
      <c r="AD47" s="207"/>
      <c r="AE47" s="207"/>
      <c r="AF47" s="207"/>
      <c r="AG47" s="207"/>
      <c r="AH47" s="207"/>
      <c r="AI47" s="128">
        <f t="shared" si="6"/>
        <v>45</v>
      </c>
      <c r="AJ47" s="129">
        <f t="shared" si="7"/>
        <v>60</v>
      </c>
      <c r="AK47" s="141">
        <f t="shared" si="18"/>
        <v>75</v>
      </c>
      <c r="AL47" s="131">
        <f t="shared" si="8"/>
        <v>45</v>
      </c>
      <c r="AM47" s="129">
        <f t="shared" si="9"/>
        <v>60</v>
      </c>
      <c r="AN47" s="141">
        <f t="shared" si="19"/>
        <v>75</v>
      </c>
      <c r="AO47" s="131">
        <f t="shared" si="10"/>
        <v>45</v>
      </c>
      <c r="AP47" s="129">
        <f t="shared" si="11"/>
        <v>60</v>
      </c>
      <c r="AQ47" s="141">
        <f t="shared" si="20"/>
        <v>75</v>
      </c>
      <c r="AR47" s="131">
        <f t="shared" si="12"/>
        <v>45</v>
      </c>
      <c r="AS47" s="129">
        <f t="shared" si="13"/>
        <v>60</v>
      </c>
      <c r="AT47" s="141">
        <f t="shared" si="21"/>
        <v>75</v>
      </c>
      <c r="AU47" s="131">
        <f t="shared" si="14"/>
        <v>45</v>
      </c>
      <c r="AV47" s="129">
        <f t="shared" si="15"/>
        <v>60</v>
      </c>
      <c r="AW47" s="141">
        <f t="shared" si="22"/>
        <v>75</v>
      </c>
      <c r="AX47" s="131">
        <f t="shared" si="16"/>
        <v>45</v>
      </c>
      <c r="AY47" s="129">
        <f t="shared" si="17"/>
        <v>60</v>
      </c>
      <c r="AZ47" s="141">
        <f t="shared" si="23"/>
        <v>75</v>
      </c>
    </row>
    <row r="48" ht="15.75" customHeight="1" spans="1:52" x14ac:dyDescent="0.25">
      <c r="A48" s="214" t="str">
        <f>'IA Marks'!A48</f>
        <v>23N81A6239</v>
      </c>
      <c r="B48" s="215">
        <f>'IA Marks'!B48</f>
        <v>0</v>
      </c>
      <c r="C48" s="117"/>
      <c r="D48" s="117">
        <v>45</v>
      </c>
      <c r="E48" s="117">
        <v>45</v>
      </c>
      <c r="F48" s="117">
        <v>45</v>
      </c>
      <c r="G48" s="117">
        <v>45</v>
      </c>
      <c r="H48" s="117">
        <v>45</v>
      </c>
      <c r="I48" s="117">
        <v>45</v>
      </c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207"/>
      <c r="AB48" s="207"/>
      <c r="AC48" s="207"/>
      <c r="AD48" s="207"/>
      <c r="AE48" s="207"/>
      <c r="AF48" s="207"/>
      <c r="AG48" s="207"/>
      <c r="AH48" s="207"/>
      <c r="AI48" s="128">
        <f t="shared" si="6"/>
        <v>45</v>
      </c>
      <c r="AJ48" s="129">
        <f t="shared" si="7"/>
        <v>60</v>
      </c>
      <c r="AK48" s="141">
        <f t="shared" si="18"/>
        <v>75</v>
      </c>
      <c r="AL48" s="131">
        <f t="shared" si="8"/>
        <v>45</v>
      </c>
      <c r="AM48" s="129">
        <f t="shared" si="9"/>
        <v>60</v>
      </c>
      <c r="AN48" s="141">
        <f t="shared" si="19"/>
        <v>75</v>
      </c>
      <c r="AO48" s="131">
        <f t="shared" si="10"/>
        <v>45</v>
      </c>
      <c r="AP48" s="129">
        <f t="shared" si="11"/>
        <v>60</v>
      </c>
      <c r="AQ48" s="141">
        <f t="shared" si="20"/>
        <v>75</v>
      </c>
      <c r="AR48" s="131">
        <f t="shared" si="12"/>
        <v>45</v>
      </c>
      <c r="AS48" s="129">
        <f t="shared" si="13"/>
        <v>60</v>
      </c>
      <c r="AT48" s="141">
        <f t="shared" si="21"/>
        <v>75</v>
      </c>
      <c r="AU48" s="131">
        <f t="shared" si="14"/>
        <v>45</v>
      </c>
      <c r="AV48" s="129">
        <f t="shared" si="15"/>
        <v>60</v>
      </c>
      <c r="AW48" s="141">
        <f t="shared" si="22"/>
        <v>75</v>
      </c>
      <c r="AX48" s="131">
        <f t="shared" si="16"/>
        <v>45</v>
      </c>
      <c r="AY48" s="129">
        <f t="shared" si="17"/>
        <v>60</v>
      </c>
      <c r="AZ48" s="141">
        <f t="shared" si="23"/>
        <v>75</v>
      </c>
    </row>
    <row r="49" ht="15.75" customHeight="1" spans="1:52" x14ac:dyDescent="0.25">
      <c r="A49" s="214" t="str">
        <f>'IA Marks'!A49</f>
        <v>23N81A6240</v>
      </c>
      <c r="B49" s="215">
        <f>'IA Marks'!B49</f>
        <v>0</v>
      </c>
      <c r="C49" s="117"/>
      <c r="D49" s="117">
        <v>45</v>
      </c>
      <c r="E49" s="117">
        <v>45</v>
      </c>
      <c r="F49" s="117">
        <v>45</v>
      </c>
      <c r="G49" s="117">
        <v>45</v>
      </c>
      <c r="H49" s="117">
        <v>45</v>
      </c>
      <c r="I49" s="117">
        <v>45</v>
      </c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207"/>
      <c r="AB49" s="207"/>
      <c r="AC49" s="207"/>
      <c r="AD49" s="207"/>
      <c r="AE49" s="207"/>
      <c r="AF49" s="207"/>
      <c r="AG49" s="207"/>
      <c r="AH49" s="207"/>
      <c r="AI49" s="128">
        <f t="shared" si="6"/>
        <v>45</v>
      </c>
      <c r="AJ49" s="129">
        <f t="shared" si="7"/>
        <v>60</v>
      </c>
      <c r="AK49" s="141">
        <f t="shared" si="18"/>
        <v>75</v>
      </c>
      <c r="AL49" s="131">
        <f t="shared" si="8"/>
        <v>45</v>
      </c>
      <c r="AM49" s="129">
        <f t="shared" si="9"/>
        <v>60</v>
      </c>
      <c r="AN49" s="141">
        <f t="shared" si="19"/>
        <v>75</v>
      </c>
      <c r="AO49" s="131">
        <f t="shared" si="10"/>
        <v>45</v>
      </c>
      <c r="AP49" s="129">
        <f t="shared" si="11"/>
        <v>60</v>
      </c>
      <c r="AQ49" s="141">
        <f t="shared" si="20"/>
        <v>75</v>
      </c>
      <c r="AR49" s="131">
        <f t="shared" si="12"/>
        <v>45</v>
      </c>
      <c r="AS49" s="129">
        <f t="shared" si="13"/>
        <v>60</v>
      </c>
      <c r="AT49" s="141">
        <f t="shared" si="21"/>
        <v>75</v>
      </c>
      <c r="AU49" s="131">
        <f t="shared" si="14"/>
        <v>45</v>
      </c>
      <c r="AV49" s="129">
        <f t="shared" si="15"/>
        <v>60</v>
      </c>
      <c r="AW49" s="141">
        <f t="shared" si="22"/>
        <v>75</v>
      </c>
      <c r="AX49" s="131">
        <f t="shared" si="16"/>
        <v>45</v>
      </c>
      <c r="AY49" s="129">
        <f t="shared" si="17"/>
        <v>60</v>
      </c>
      <c r="AZ49" s="141">
        <f t="shared" si="23"/>
        <v>75</v>
      </c>
    </row>
    <row r="50" ht="15.75" customHeight="1" spans="1:52" x14ac:dyDescent="0.25">
      <c r="A50" s="214" t="str">
        <f>'IA Marks'!A50</f>
        <v>23N81A6241</v>
      </c>
      <c r="B50" s="215">
        <f>'IA Marks'!B50</f>
        <v>0</v>
      </c>
      <c r="C50" s="117"/>
      <c r="D50" s="117">
        <v>45</v>
      </c>
      <c r="E50" s="117">
        <v>45</v>
      </c>
      <c r="F50" s="117">
        <v>45</v>
      </c>
      <c r="G50" s="117">
        <v>45</v>
      </c>
      <c r="H50" s="117">
        <v>45</v>
      </c>
      <c r="I50" s="117">
        <v>45</v>
      </c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207"/>
      <c r="AB50" s="207"/>
      <c r="AC50" s="207"/>
      <c r="AD50" s="207"/>
      <c r="AE50" s="207"/>
      <c r="AF50" s="207"/>
      <c r="AG50" s="207"/>
      <c r="AH50" s="207"/>
      <c r="AI50" s="128">
        <f t="shared" si="6"/>
        <v>45</v>
      </c>
      <c r="AJ50" s="129">
        <f t="shared" si="7"/>
        <v>60</v>
      </c>
      <c r="AK50" s="141">
        <f t="shared" si="18"/>
        <v>75</v>
      </c>
      <c r="AL50" s="131">
        <f t="shared" si="8"/>
        <v>45</v>
      </c>
      <c r="AM50" s="129">
        <f t="shared" si="9"/>
        <v>60</v>
      </c>
      <c r="AN50" s="141">
        <f t="shared" si="19"/>
        <v>75</v>
      </c>
      <c r="AO50" s="131">
        <f t="shared" si="10"/>
        <v>45</v>
      </c>
      <c r="AP50" s="129">
        <f t="shared" si="11"/>
        <v>60</v>
      </c>
      <c r="AQ50" s="141">
        <f t="shared" si="20"/>
        <v>75</v>
      </c>
      <c r="AR50" s="131">
        <f t="shared" si="12"/>
        <v>45</v>
      </c>
      <c r="AS50" s="129">
        <f t="shared" si="13"/>
        <v>60</v>
      </c>
      <c r="AT50" s="141">
        <f t="shared" si="21"/>
        <v>75</v>
      </c>
      <c r="AU50" s="131">
        <f t="shared" si="14"/>
        <v>45</v>
      </c>
      <c r="AV50" s="129">
        <f t="shared" si="15"/>
        <v>60</v>
      </c>
      <c r="AW50" s="141">
        <f t="shared" si="22"/>
        <v>75</v>
      </c>
      <c r="AX50" s="131">
        <f t="shared" si="16"/>
        <v>45</v>
      </c>
      <c r="AY50" s="129">
        <f t="shared" si="17"/>
        <v>60</v>
      </c>
      <c r="AZ50" s="141">
        <f t="shared" si="23"/>
        <v>75</v>
      </c>
    </row>
    <row r="51" ht="15.75" customHeight="1" spans="1:52" x14ac:dyDescent="0.25">
      <c r="A51" s="214" t="str">
        <f>'IA Marks'!A51</f>
        <v>23N81A6242</v>
      </c>
      <c r="B51" s="215">
        <f>'IA Marks'!B51</f>
        <v>0</v>
      </c>
      <c r="C51" s="117"/>
      <c r="D51" s="117">
        <v>45</v>
      </c>
      <c r="E51" s="117">
        <v>45</v>
      </c>
      <c r="F51" s="117">
        <v>45</v>
      </c>
      <c r="G51" s="117">
        <v>45</v>
      </c>
      <c r="H51" s="117">
        <v>45</v>
      </c>
      <c r="I51" s="117">
        <v>45</v>
      </c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207"/>
      <c r="AB51" s="207"/>
      <c r="AC51" s="207"/>
      <c r="AD51" s="207"/>
      <c r="AE51" s="207"/>
      <c r="AF51" s="207"/>
      <c r="AG51" s="207"/>
      <c r="AH51" s="207"/>
      <c r="AI51" s="128">
        <f t="shared" si="6"/>
        <v>45</v>
      </c>
      <c r="AJ51" s="129">
        <f t="shared" si="7"/>
        <v>60</v>
      </c>
      <c r="AK51" s="141">
        <f t="shared" si="18"/>
        <v>75</v>
      </c>
      <c r="AL51" s="131">
        <f t="shared" si="8"/>
        <v>45</v>
      </c>
      <c r="AM51" s="129">
        <f t="shared" si="9"/>
        <v>60</v>
      </c>
      <c r="AN51" s="141">
        <f t="shared" si="19"/>
        <v>75</v>
      </c>
      <c r="AO51" s="131">
        <f t="shared" si="10"/>
        <v>45</v>
      </c>
      <c r="AP51" s="129">
        <f t="shared" si="11"/>
        <v>60</v>
      </c>
      <c r="AQ51" s="141">
        <f t="shared" si="20"/>
        <v>75</v>
      </c>
      <c r="AR51" s="131">
        <f t="shared" si="12"/>
        <v>45</v>
      </c>
      <c r="AS51" s="129">
        <f t="shared" si="13"/>
        <v>60</v>
      </c>
      <c r="AT51" s="141">
        <f t="shared" si="21"/>
        <v>75</v>
      </c>
      <c r="AU51" s="131">
        <f t="shared" si="14"/>
        <v>45</v>
      </c>
      <c r="AV51" s="129">
        <f t="shared" si="15"/>
        <v>60</v>
      </c>
      <c r="AW51" s="141">
        <f t="shared" si="22"/>
        <v>75</v>
      </c>
      <c r="AX51" s="131">
        <f t="shared" si="16"/>
        <v>45</v>
      </c>
      <c r="AY51" s="129">
        <f t="shared" si="17"/>
        <v>60</v>
      </c>
      <c r="AZ51" s="141">
        <f t="shared" si="23"/>
        <v>75</v>
      </c>
    </row>
    <row r="52" ht="15.75" customHeight="1" spans="1:52" x14ac:dyDescent="0.25">
      <c r="A52" s="214" t="str">
        <f>'IA Marks'!A52</f>
        <v>23N81A6243</v>
      </c>
      <c r="B52" s="215">
        <f>'IA Marks'!B52</f>
        <v>0</v>
      </c>
      <c r="C52" s="117"/>
      <c r="D52" s="117">
        <v>45</v>
      </c>
      <c r="E52" s="117">
        <v>45</v>
      </c>
      <c r="F52" s="117">
        <v>45</v>
      </c>
      <c r="G52" s="117">
        <v>45</v>
      </c>
      <c r="H52" s="117">
        <v>45</v>
      </c>
      <c r="I52" s="117">
        <v>45</v>
      </c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207"/>
      <c r="AB52" s="207"/>
      <c r="AC52" s="207"/>
      <c r="AD52" s="207"/>
      <c r="AE52" s="207"/>
      <c r="AF52" s="207"/>
      <c r="AG52" s="207"/>
      <c r="AH52" s="207"/>
      <c r="AI52" s="128">
        <f t="shared" si="6"/>
        <v>45</v>
      </c>
      <c r="AJ52" s="129">
        <f t="shared" si="7"/>
        <v>60</v>
      </c>
      <c r="AK52" s="141">
        <f t="shared" si="18"/>
        <v>75</v>
      </c>
      <c r="AL52" s="131">
        <f t="shared" si="8"/>
        <v>45</v>
      </c>
      <c r="AM52" s="129">
        <f t="shared" si="9"/>
        <v>60</v>
      </c>
      <c r="AN52" s="141">
        <f t="shared" si="19"/>
        <v>75</v>
      </c>
      <c r="AO52" s="131">
        <f t="shared" si="10"/>
        <v>45</v>
      </c>
      <c r="AP52" s="129">
        <f t="shared" si="11"/>
        <v>60</v>
      </c>
      <c r="AQ52" s="141">
        <f t="shared" si="20"/>
        <v>75</v>
      </c>
      <c r="AR52" s="131">
        <f t="shared" si="12"/>
        <v>45</v>
      </c>
      <c r="AS52" s="129">
        <f t="shared" si="13"/>
        <v>60</v>
      </c>
      <c r="AT52" s="141">
        <f t="shared" si="21"/>
        <v>75</v>
      </c>
      <c r="AU52" s="131">
        <f t="shared" si="14"/>
        <v>45</v>
      </c>
      <c r="AV52" s="129">
        <f t="shared" si="15"/>
        <v>60</v>
      </c>
      <c r="AW52" s="141">
        <f t="shared" si="22"/>
        <v>75</v>
      </c>
      <c r="AX52" s="131">
        <f t="shared" si="16"/>
        <v>45</v>
      </c>
      <c r="AY52" s="129">
        <f t="shared" si="17"/>
        <v>60</v>
      </c>
      <c r="AZ52" s="141">
        <f t="shared" si="23"/>
        <v>75</v>
      </c>
    </row>
    <row r="53" ht="15.75" customHeight="1" spans="1:52" x14ac:dyDescent="0.25">
      <c r="A53" s="214" t="str">
        <f>'IA Marks'!A53</f>
        <v>23N81A6244</v>
      </c>
      <c r="B53" s="215">
        <f>'IA Marks'!B53</f>
        <v>0</v>
      </c>
      <c r="C53" s="117"/>
      <c r="D53" s="117">
        <v>45</v>
      </c>
      <c r="E53" s="117">
        <v>45</v>
      </c>
      <c r="F53" s="117">
        <v>45</v>
      </c>
      <c r="G53" s="117">
        <v>45</v>
      </c>
      <c r="H53" s="117">
        <v>45</v>
      </c>
      <c r="I53" s="117">
        <v>45</v>
      </c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207"/>
      <c r="AB53" s="207"/>
      <c r="AC53" s="207"/>
      <c r="AD53" s="207"/>
      <c r="AE53" s="207"/>
      <c r="AF53" s="207"/>
      <c r="AG53" s="207"/>
      <c r="AH53" s="207"/>
      <c r="AI53" s="128">
        <f t="shared" si="6"/>
        <v>45</v>
      </c>
      <c r="AJ53" s="129">
        <f t="shared" si="7"/>
        <v>60</v>
      </c>
      <c r="AK53" s="141">
        <f t="shared" si="18"/>
        <v>75</v>
      </c>
      <c r="AL53" s="131">
        <f t="shared" si="8"/>
        <v>45</v>
      </c>
      <c r="AM53" s="129">
        <f t="shared" si="9"/>
        <v>60</v>
      </c>
      <c r="AN53" s="141">
        <f t="shared" si="19"/>
        <v>75</v>
      </c>
      <c r="AO53" s="131">
        <f t="shared" si="10"/>
        <v>45</v>
      </c>
      <c r="AP53" s="129">
        <f t="shared" si="11"/>
        <v>60</v>
      </c>
      <c r="AQ53" s="141">
        <f t="shared" si="20"/>
        <v>75</v>
      </c>
      <c r="AR53" s="131">
        <f t="shared" si="12"/>
        <v>45</v>
      </c>
      <c r="AS53" s="129">
        <f t="shared" si="13"/>
        <v>60</v>
      </c>
      <c r="AT53" s="141">
        <f t="shared" si="21"/>
        <v>75</v>
      </c>
      <c r="AU53" s="131">
        <f t="shared" si="14"/>
        <v>45</v>
      </c>
      <c r="AV53" s="129">
        <f t="shared" si="15"/>
        <v>60</v>
      </c>
      <c r="AW53" s="141">
        <f t="shared" si="22"/>
        <v>75</v>
      </c>
      <c r="AX53" s="131">
        <f t="shared" si="16"/>
        <v>45</v>
      </c>
      <c r="AY53" s="129">
        <f t="shared" si="17"/>
        <v>60</v>
      </c>
      <c r="AZ53" s="141">
        <f t="shared" si="23"/>
        <v>75</v>
      </c>
    </row>
    <row r="54" ht="15.75" customHeight="1" spans="1:52" x14ac:dyDescent="0.25">
      <c r="A54" s="214" t="str">
        <f>'IA Marks'!A54</f>
        <v>23N81A6245</v>
      </c>
      <c r="B54" s="215">
        <f>'IA Marks'!B54</f>
        <v>0</v>
      </c>
      <c r="C54" s="117"/>
      <c r="D54" s="117">
        <v>45</v>
      </c>
      <c r="E54" s="117">
        <v>45</v>
      </c>
      <c r="F54" s="117">
        <v>45</v>
      </c>
      <c r="G54" s="117">
        <v>45</v>
      </c>
      <c r="H54" s="117">
        <v>45</v>
      </c>
      <c r="I54" s="117">
        <v>45</v>
      </c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207"/>
      <c r="AB54" s="207"/>
      <c r="AC54" s="207"/>
      <c r="AD54" s="207"/>
      <c r="AE54" s="207"/>
      <c r="AF54" s="207"/>
      <c r="AG54" s="207"/>
      <c r="AH54" s="207"/>
      <c r="AI54" s="128">
        <f t="shared" si="6"/>
        <v>45</v>
      </c>
      <c r="AJ54" s="129">
        <f t="shared" si="7"/>
        <v>60</v>
      </c>
      <c r="AK54" s="141">
        <f t="shared" si="18"/>
        <v>75</v>
      </c>
      <c r="AL54" s="131">
        <f t="shared" si="8"/>
        <v>45</v>
      </c>
      <c r="AM54" s="129">
        <f t="shared" si="9"/>
        <v>60</v>
      </c>
      <c r="AN54" s="141">
        <f t="shared" si="19"/>
        <v>75</v>
      </c>
      <c r="AO54" s="131">
        <f t="shared" si="10"/>
        <v>45</v>
      </c>
      <c r="AP54" s="129">
        <f t="shared" si="11"/>
        <v>60</v>
      </c>
      <c r="AQ54" s="141">
        <f t="shared" si="20"/>
        <v>75</v>
      </c>
      <c r="AR54" s="131">
        <f t="shared" si="12"/>
        <v>45</v>
      </c>
      <c r="AS54" s="129">
        <f t="shared" si="13"/>
        <v>60</v>
      </c>
      <c r="AT54" s="141">
        <f t="shared" si="21"/>
        <v>75</v>
      </c>
      <c r="AU54" s="131">
        <f t="shared" si="14"/>
        <v>45</v>
      </c>
      <c r="AV54" s="129">
        <f t="shared" si="15"/>
        <v>60</v>
      </c>
      <c r="AW54" s="141">
        <f t="shared" si="22"/>
        <v>75</v>
      </c>
      <c r="AX54" s="131">
        <f t="shared" si="16"/>
        <v>45</v>
      </c>
      <c r="AY54" s="129">
        <f t="shared" si="17"/>
        <v>60</v>
      </c>
      <c r="AZ54" s="141">
        <f t="shared" si="23"/>
        <v>75</v>
      </c>
    </row>
    <row r="55" ht="15.75" customHeight="1" spans="1:52" x14ac:dyDescent="0.25">
      <c r="A55" s="214" t="str">
        <f>'IA Marks'!A55</f>
        <v>23N81A6246</v>
      </c>
      <c r="B55" s="215">
        <f>'IA Marks'!B55</f>
        <v>0</v>
      </c>
      <c r="C55" s="117"/>
      <c r="D55" s="117">
        <v>45</v>
      </c>
      <c r="E55" s="117">
        <v>45</v>
      </c>
      <c r="F55" s="117">
        <v>45</v>
      </c>
      <c r="G55" s="117">
        <v>45</v>
      </c>
      <c r="H55" s="117">
        <v>45</v>
      </c>
      <c r="I55" s="117">
        <v>45</v>
      </c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207"/>
      <c r="AB55" s="207"/>
      <c r="AC55" s="207"/>
      <c r="AD55" s="207"/>
      <c r="AE55" s="207"/>
      <c r="AF55" s="207"/>
      <c r="AG55" s="207"/>
      <c r="AH55" s="207"/>
      <c r="AI55" s="128">
        <f t="shared" si="6"/>
        <v>45</v>
      </c>
      <c r="AJ55" s="129">
        <f t="shared" si="7"/>
        <v>60</v>
      </c>
      <c r="AK55" s="141">
        <f t="shared" si="18"/>
        <v>75</v>
      </c>
      <c r="AL55" s="131">
        <f t="shared" si="8"/>
        <v>45</v>
      </c>
      <c r="AM55" s="129">
        <f t="shared" si="9"/>
        <v>60</v>
      </c>
      <c r="AN55" s="141">
        <f t="shared" si="19"/>
        <v>75</v>
      </c>
      <c r="AO55" s="131">
        <f t="shared" si="10"/>
        <v>45</v>
      </c>
      <c r="AP55" s="129">
        <f t="shared" si="11"/>
        <v>60</v>
      </c>
      <c r="AQ55" s="141">
        <f t="shared" si="20"/>
        <v>75</v>
      </c>
      <c r="AR55" s="131">
        <f t="shared" si="12"/>
        <v>45</v>
      </c>
      <c r="AS55" s="129">
        <f t="shared" si="13"/>
        <v>60</v>
      </c>
      <c r="AT55" s="141">
        <f t="shared" si="21"/>
        <v>75</v>
      </c>
      <c r="AU55" s="131">
        <f t="shared" si="14"/>
        <v>45</v>
      </c>
      <c r="AV55" s="129">
        <f t="shared" si="15"/>
        <v>60</v>
      </c>
      <c r="AW55" s="141">
        <f t="shared" si="22"/>
        <v>75</v>
      </c>
      <c r="AX55" s="131">
        <f t="shared" si="16"/>
        <v>45</v>
      </c>
      <c r="AY55" s="129">
        <f t="shared" si="17"/>
        <v>60</v>
      </c>
      <c r="AZ55" s="141">
        <f t="shared" si="23"/>
        <v>75</v>
      </c>
    </row>
    <row r="56" ht="15.75" customHeight="1" spans="1:52" x14ac:dyDescent="0.25">
      <c r="A56" s="214" t="str">
        <f>'IA Marks'!A56</f>
        <v>23N81A6247</v>
      </c>
      <c r="B56" s="215">
        <f>'IA Marks'!B56</f>
        <v>0</v>
      </c>
      <c r="C56" s="117"/>
      <c r="D56" s="117">
        <v>45</v>
      </c>
      <c r="E56" s="117">
        <v>45</v>
      </c>
      <c r="F56" s="117">
        <v>45</v>
      </c>
      <c r="G56" s="117">
        <v>45</v>
      </c>
      <c r="H56" s="117">
        <v>45</v>
      </c>
      <c r="I56" s="117">
        <v>45</v>
      </c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207"/>
      <c r="AB56" s="207"/>
      <c r="AC56" s="207"/>
      <c r="AD56" s="207"/>
      <c r="AE56" s="207"/>
      <c r="AF56" s="207"/>
      <c r="AG56" s="207"/>
      <c r="AH56" s="207"/>
      <c r="AI56" s="128">
        <f t="shared" si="6"/>
        <v>45</v>
      </c>
      <c r="AJ56" s="129">
        <f t="shared" si="7"/>
        <v>60</v>
      </c>
      <c r="AK56" s="141">
        <f t="shared" si="18"/>
        <v>75</v>
      </c>
      <c r="AL56" s="131">
        <f t="shared" si="8"/>
        <v>45</v>
      </c>
      <c r="AM56" s="129">
        <f t="shared" si="9"/>
        <v>60</v>
      </c>
      <c r="AN56" s="141">
        <f t="shared" si="19"/>
        <v>75</v>
      </c>
      <c r="AO56" s="131">
        <f t="shared" si="10"/>
        <v>45</v>
      </c>
      <c r="AP56" s="129">
        <f t="shared" si="11"/>
        <v>60</v>
      </c>
      <c r="AQ56" s="141">
        <f t="shared" si="20"/>
        <v>75</v>
      </c>
      <c r="AR56" s="131">
        <f t="shared" si="12"/>
        <v>45</v>
      </c>
      <c r="AS56" s="129">
        <f t="shared" si="13"/>
        <v>60</v>
      </c>
      <c r="AT56" s="141">
        <f t="shared" si="21"/>
        <v>75</v>
      </c>
      <c r="AU56" s="131">
        <f t="shared" si="14"/>
        <v>45</v>
      </c>
      <c r="AV56" s="129">
        <f t="shared" si="15"/>
        <v>60</v>
      </c>
      <c r="AW56" s="141">
        <f t="shared" si="22"/>
        <v>75</v>
      </c>
      <c r="AX56" s="131">
        <f t="shared" si="16"/>
        <v>45</v>
      </c>
      <c r="AY56" s="129">
        <f t="shared" si="17"/>
        <v>60</v>
      </c>
      <c r="AZ56" s="141">
        <f t="shared" si="23"/>
        <v>75</v>
      </c>
    </row>
    <row r="57" ht="15.75" customHeight="1" spans="1:52" x14ac:dyDescent="0.25">
      <c r="A57" s="214" t="str">
        <f>'IA Marks'!A57</f>
        <v>23N81A6248</v>
      </c>
      <c r="B57" s="215">
        <f>'IA Marks'!B57</f>
        <v>0</v>
      </c>
      <c r="C57" s="117"/>
      <c r="D57" s="117">
        <v>45</v>
      </c>
      <c r="E57" s="117">
        <v>45</v>
      </c>
      <c r="F57" s="117">
        <v>45</v>
      </c>
      <c r="G57" s="117">
        <v>45</v>
      </c>
      <c r="H57" s="117">
        <v>45</v>
      </c>
      <c r="I57" s="117">
        <v>45</v>
      </c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207"/>
      <c r="AB57" s="207"/>
      <c r="AC57" s="207"/>
      <c r="AD57" s="207"/>
      <c r="AE57" s="207"/>
      <c r="AF57" s="207"/>
      <c r="AG57" s="207"/>
      <c r="AH57" s="207"/>
      <c r="AI57" s="128">
        <f t="shared" si="6"/>
        <v>45</v>
      </c>
      <c r="AJ57" s="129">
        <f t="shared" si="7"/>
        <v>60</v>
      </c>
      <c r="AK57" s="141">
        <f t="shared" si="18"/>
        <v>75</v>
      </c>
      <c r="AL57" s="131">
        <f t="shared" si="8"/>
        <v>45</v>
      </c>
      <c r="AM57" s="129">
        <f t="shared" si="9"/>
        <v>60</v>
      </c>
      <c r="AN57" s="141">
        <f t="shared" si="19"/>
        <v>75</v>
      </c>
      <c r="AO57" s="131">
        <f t="shared" si="10"/>
        <v>45</v>
      </c>
      <c r="AP57" s="129">
        <f t="shared" si="11"/>
        <v>60</v>
      </c>
      <c r="AQ57" s="141">
        <f t="shared" si="20"/>
        <v>75</v>
      </c>
      <c r="AR57" s="131">
        <f t="shared" si="12"/>
        <v>45</v>
      </c>
      <c r="AS57" s="129">
        <f t="shared" si="13"/>
        <v>60</v>
      </c>
      <c r="AT57" s="141">
        <f t="shared" si="21"/>
        <v>75</v>
      </c>
      <c r="AU57" s="131">
        <f t="shared" si="14"/>
        <v>45</v>
      </c>
      <c r="AV57" s="129">
        <f t="shared" si="15"/>
        <v>60</v>
      </c>
      <c r="AW57" s="141">
        <f t="shared" si="22"/>
        <v>75</v>
      </c>
      <c r="AX57" s="131">
        <f t="shared" si="16"/>
        <v>45</v>
      </c>
      <c r="AY57" s="129">
        <f t="shared" si="17"/>
        <v>60</v>
      </c>
      <c r="AZ57" s="141">
        <f t="shared" si="23"/>
        <v>75</v>
      </c>
    </row>
    <row r="58" ht="15.75" customHeight="1" spans="1:52" x14ac:dyDescent="0.25">
      <c r="A58" s="214" t="str">
        <f>'IA Marks'!A58</f>
        <v>23N81A6249</v>
      </c>
      <c r="B58" s="215">
        <f>'IA Marks'!B58</f>
        <v>0</v>
      </c>
      <c r="C58" s="117"/>
      <c r="D58" s="117">
        <v>45</v>
      </c>
      <c r="E58" s="117">
        <v>45</v>
      </c>
      <c r="F58" s="117">
        <v>45</v>
      </c>
      <c r="G58" s="117">
        <v>45</v>
      </c>
      <c r="H58" s="117">
        <v>45</v>
      </c>
      <c r="I58" s="117">
        <v>45</v>
      </c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207"/>
      <c r="AB58" s="207"/>
      <c r="AC58" s="207"/>
      <c r="AD58" s="207"/>
      <c r="AE58" s="207"/>
      <c r="AF58" s="207"/>
      <c r="AG58" s="207"/>
      <c r="AH58" s="207"/>
      <c r="AI58" s="128">
        <f t="shared" si="6"/>
        <v>45</v>
      </c>
      <c r="AJ58" s="129">
        <f t="shared" si="7"/>
        <v>60</v>
      </c>
      <c r="AK58" s="141">
        <f t="shared" si="18"/>
        <v>75</v>
      </c>
      <c r="AL58" s="131">
        <f t="shared" si="8"/>
        <v>45</v>
      </c>
      <c r="AM58" s="129">
        <f t="shared" si="9"/>
        <v>60</v>
      </c>
      <c r="AN58" s="141">
        <f t="shared" si="19"/>
        <v>75</v>
      </c>
      <c r="AO58" s="131">
        <f t="shared" si="10"/>
        <v>45</v>
      </c>
      <c r="AP58" s="129">
        <f t="shared" si="11"/>
        <v>60</v>
      </c>
      <c r="AQ58" s="141">
        <f t="shared" si="20"/>
        <v>75</v>
      </c>
      <c r="AR58" s="131">
        <f t="shared" si="12"/>
        <v>45</v>
      </c>
      <c r="AS58" s="129">
        <f t="shared" si="13"/>
        <v>60</v>
      </c>
      <c r="AT58" s="141">
        <f t="shared" si="21"/>
        <v>75</v>
      </c>
      <c r="AU58" s="131">
        <f t="shared" si="14"/>
        <v>45</v>
      </c>
      <c r="AV58" s="129">
        <f t="shared" si="15"/>
        <v>60</v>
      </c>
      <c r="AW58" s="141">
        <f t="shared" si="22"/>
        <v>75</v>
      </c>
      <c r="AX58" s="131">
        <f t="shared" si="16"/>
        <v>45</v>
      </c>
      <c r="AY58" s="129">
        <f t="shared" si="17"/>
        <v>60</v>
      </c>
      <c r="AZ58" s="141">
        <f t="shared" si="23"/>
        <v>75</v>
      </c>
    </row>
    <row r="59" ht="15.75" customHeight="1" spans="1:52" x14ac:dyDescent="0.25">
      <c r="A59" s="214" t="str">
        <f>'IA Marks'!A59</f>
        <v>23N81A6250</v>
      </c>
      <c r="B59" s="215">
        <f>'IA Marks'!B59</f>
        <v>0</v>
      </c>
      <c r="C59" s="117"/>
      <c r="D59" s="117">
        <v>45</v>
      </c>
      <c r="E59" s="117">
        <v>45</v>
      </c>
      <c r="F59" s="117">
        <v>45</v>
      </c>
      <c r="G59" s="117">
        <v>45</v>
      </c>
      <c r="H59" s="117">
        <v>45</v>
      </c>
      <c r="I59" s="117">
        <v>45</v>
      </c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207"/>
      <c r="AB59" s="207"/>
      <c r="AC59" s="207"/>
      <c r="AD59" s="207"/>
      <c r="AE59" s="207"/>
      <c r="AF59" s="207"/>
      <c r="AG59" s="207"/>
      <c r="AH59" s="207"/>
      <c r="AI59" s="128">
        <f t="shared" si="6"/>
        <v>45</v>
      </c>
      <c r="AJ59" s="129">
        <f t="shared" si="7"/>
        <v>60</v>
      </c>
      <c r="AK59" s="141">
        <f t="shared" si="18"/>
        <v>75</v>
      </c>
      <c r="AL59" s="131">
        <f t="shared" si="8"/>
        <v>45</v>
      </c>
      <c r="AM59" s="129">
        <f t="shared" si="9"/>
        <v>60</v>
      </c>
      <c r="AN59" s="141">
        <f t="shared" si="19"/>
        <v>75</v>
      </c>
      <c r="AO59" s="131">
        <f t="shared" si="10"/>
        <v>45</v>
      </c>
      <c r="AP59" s="129">
        <f t="shared" si="11"/>
        <v>60</v>
      </c>
      <c r="AQ59" s="141">
        <f t="shared" si="20"/>
        <v>75</v>
      </c>
      <c r="AR59" s="131">
        <f t="shared" si="12"/>
        <v>45</v>
      </c>
      <c r="AS59" s="129">
        <f t="shared" si="13"/>
        <v>60</v>
      </c>
      <c r="AT59" s="141">
        <f t="shared" si="21"/>
        <v>75</v>
      </c>
      <c r="AU59" s="131">
        <f t="shared" si="14"/>
        <v>45</v>
      </c>
      <c r="AV59" s="129">
        <f t="shared" si="15"/>
        <v>60</v>
      </c>
      <c r="AW59" s="141">
        <f t="shared" si="22"/>
        <v>75</v>
      </c>
      <c r="AX59" s="131">
        <f t="shared" si="16"/>
        <v>45</v>
      </c>
      <c r="AY59" s="129">
        <f t="shared" si="17"/>
        <v>60</v>
      </c>
      <c r="AZ59" s="141">
        <f t="shared" si="23"/>
        <v>75</v>
      </c>
    </row>
    <row r="60" ht="15.75" customHeight="1" spans="1:52" x14ac:dyDescent="0.25">
      <c r="A60" s="214" t="str">
        <f>'IA Marks'!A60</f>
        <v>23N81A6251</v>
      </c>
      <c r="B60" s="215">
        <f>'IA Marks'!B60</f>
        <v>0</v>
      </c>
      <c r="C60" s="117"/>
      <c r="D60" s="117">
        <v>45</v>
      </c>
      <c r="E60" s="117">
        <v>45</v>
      </c>
      <c r="F60" s="117">
        <v>45</v>
      </c>
      <c r="G60" s="117">
        <v>45</v>
      </c>
      <c r="H60" s="117">
        <v>45</v>
      </c>
      <c r="I60" s="117">
        <v>45</v>
      </c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207"/>
      <c r="AB60" s="207"/>
      <c r="AC60" s="207"/>
      <c r="AD60" s="207"/>
      <c r="AE60" s="207"/>
      <c r="AF60" s="207"/>
      <c r="AG60" s="207"/>
      <c r="AH60" s="207"/>
      <c r="AI60" s="128">
        <f t="shared" si="6"/>
        <v>45</v>
      </c>
      <c r="AJ60" s="129">
        <f t="shared" si="7"/>
        <v>60</v>
      </c>
      <c r="AK60" s="141">
        <f t="shared" si="18"/>
        <v>75</v>
      </c>
      <c r="AL60" s="131">
        <f t="shared" si="8"/>
        <v>45</v>
      </c>
      <c r="AM60" s="129">
        <f t="shared" si="9"/>
        <v>60</v>
      </c>
      <c r="AN60" s="141">
        <f t="shared" si="19"/>
        <v>75</v>
      </c>
      <c r="AO60" s="131">
        <f t="shared" si="10"/>
        <v>45</v>
      </c>
      <c r="AP60" s="129">
        <f t="shared" si="11"/>
        <v>60</v>
      </c>
      <c r="AQ60" s="141">
        <f t="shared" si="20"/>
        <v>75</v>
      </c>
      <c r="AR60" s="131">
        <f t="shared" si="12"/>
        <v>45</v>
      </c>
      <c r="AS60" s="129">
        <f t="shared" si="13"/>
        <v>60</v>
      </c>
      <c r="AT60" s="141">
        <f t="shared" si="21"/>
        <v>75</v>
      </c>
      <c r="AU60" s="131">
        <f t="shared" si="14"/>
        <v>45</v>
      </c>
      <c r="AV60" s="129">
        <f t="shared" si="15"/>
        <v>60</v>
      </c>
      <c r="AW60" s="141">
        <f t="shared" si="22"/>
        <v>75</v>
      </c>
      <c r="AX60" s="131">
        <f t="shared" si="16"/>
        <v>45</v>
      </c>
      <c r="AY60" s="129">
        <f t="shared" si="17"/>
        <v>60</v>
      </c>
      <c r="AZ60" s="141">
        <f t="shared" si="23"/>
        <v>75</v>
      </c>
    </row>
    <row r="61" ht="15.75" customHeight="1" spans="1:52" x14ac:dyDescent="0.25">
      <c r="A61" s="214" t="str">
        <f>'IA Marks'!A61</f>
        <v>23N81A6252</v>
      </c>
      <c r="B61" s="215">
        <f>'IA Marks'!B61</f>
        <v>0</v>
      </c>
      <c r="C61" s="117"/>
      <c r="D61" s="117">
        <v>45</v>
      </c>
      <c r="E61" s="117">
        <v>45</v>
      </c>
      <c r="F61" s="117">
        <v>45</v>
      </c>
      <c r="G61" s="117">
        <v>45</v>
      </c>
      <c r="H61" s="117">
        <v>45</v>
      </c>
      <c r="I61" s="117">
        <v>45</v>
      </c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207"/>
      <c r="AB61" s="207"/>
      <c r="AC61" s="207"/>
      <c r="AD61" s="207"/>
      <c r="AE61" s="207"/>
      <c r="AF61" s="207"/>
      <c r="AG61" s="207"/>
      <c r="AH61" s="207"/>
      <c r="AI61" s="128">
        <f t="shared" si="6"/>
        <v>45</v>
      </c>
      <c r="AJ61" s="129">
        <f t="shared" si="7"/>
        <v>60</v>
      </c>
      <c r="AK61" s="141">
        <f t="shared" si="18"/>
        <v>75</v>
      </c>
      <c r="AL61" s="131">
        <f t="shared" si="8"/>
        <v>45</v>
      </c>
      <c r="AM61" s="129">
        <f t="shared" si="9"/>
        <v>60</v>
      </c>
      <c r="AN61" s="141">
        <f t="shared" si="19"/>
        <v>75</v>
      </c>
      <c r="AO61" s="131">
        <f t="shared" si="10"/>
        <v>45</v>
      </c>
      <c r="AP61" s="129">
        <f t="shared" si="11"/>
        <v>60</v>
      </c>
      <c r="AQ61" s="141">
        <f t="shared" si="20"/>
        <v>75</v>
      </c>
      <c r="AR61" s="131">
        <f t="shared" si="12"/>
        <v>45</v>
      </c>
      <c r="AS61" s="129">
        <f t="shared" si="13"/>
        <v>60</v>
      </c>
      <c r="AT61" s="141">
        <f t="shared" si="21"/>
        <v>75</v>
      </c>
      <c r="AU61" s="131">
        <f t="shared" si="14"/>
        <v>45</v>
      </c>
      <c r="AV61" s="129">
        <f t="shared" si="15"/>
        <v>60</v>
      </c>
      <c r="AW61" s="141">
        <f t="shared" si="22"/>
        <v>75</v>
      </c>
      <c r="AX61" s="131">
        <f t="shared" si="16"/>
        <v>45</v>
      </c>
      <c r="AY61" s="129">
        <f t="shared" si="17"/>
        <v>60</v>
      </c>
      <c r="AZ61" s="141">
        <f t="shared" si="23"/>
        <v>75</v>
      </c>
    </row>
    <row r="62" ht="15.75" customHeight="1" spans="1:52" x14ac:dyDescent="0.25">
      <c r="A62" s="214" t="str">
        <f>'IA Marks'!A62</f>
        <v>23N81A6253</v>
      </c>
      <c r="B62" s="215">
        <f>'IA Marks'!B62</f>
        <v>0</v>
      </c>
      <c r="C62" s="117"/>
      <c r="D62" s="117">
        <v>45</v>
      </c>
      <c r="E62" s="117">
        <v>45</v>
      </c>
      <c r="F62" s="117">
        <v>45</v>
      </c>
      <c r="G62" s="117">
        <v>45</v>
      </c>
      <c r="H62" s="117">
        <v>45</v>
      </c>
      <c r="I62" s="117">
        <v>45</v>
      </c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207"/>
      <c r="AB62" s="207"/>
      <c r="AC62" s="207"/>
      <c r="AD62" s="207"/>
      <c r="AE62" s="207"/>
      <c r="AF62" s="207"/>
      <c r="AG62" s="207"/>
      <c r="AH62" s="207"/>
      <c r="AI62" s="128">
        <f t="shared" si="6"/>
        <v>45</v>
      </c>
      <c r="AJ62" s="129">
        <f t="shared" si="7"/>
        <v>60</v>
      </c>
      <c r="AK62" s="141">
        <f t="shared" si="18"/>
        <v>75</v>
      </c>
      <c r="AL62" s="131">
        <f t="shared" si="8"/>
        <v>45</v>
      </c>
      <c r="AM62" s="129">
        <f t="shared" si="9"/>
        <v>60</v>
      </c>
      <c r="AN62" s="141">
        <f t="shared" si="19"/>
        <v>75</v>
      </c>
      <c r="AO62" s="131">
        <f t="shared" si="10"/>
        <v>45</v>
      </c>
      <c r="AP62" s="129">
        <f t="shared" si="11"/>
        <v>60</v>
      </c>
      <c r="AQ62" s="141">
        <f t="shared" si="20"/>
        <v>75</v>
      </c>
      <c r="AR62" s="131">
        <f t="shared" si="12"/>
        <v>45</v>
      </c>
      <c r="AS62" s="129">
        <f t="shared" si="13"/>
        <v>60</v>
      </c>
      <c r="AT62" s="141">
        <f t="shared" si="21"/>
        <v>75</v>
      </c>
      <c r="AU62" s="131">
        <f t="shared" si="14"/>
        <v>45</v>
      </c>
      <c r="AV62" s="129">
        <f t="shared" si="15"/>
        <v>60</v>
      </c>
      <c r="AW62" s="141">
        <f t="shared" si="22"/>
        <v>75</v>
      </c>
      <c r="AX62" s="131">
        <f t="shared" si="16"/>
        <v>45</v>
      </c>
      <c r="AY62" s="129">
        <f t="shared" si="17"/>
        <v>60</v>
      </c>
      <c r="AZ62" s="141">
        <f t="shared" si="23"/>
        <v>75</v>
      </c>
    </row>
    <row r="63" ht="15.75" customHeight="1" spans="1:52" x14ac:dyDescent="0.25">
      <c r="A63" s="214" t="str">
        <f>'IA Marks'!A63</f>
        <v>23N81A6254</v>
      </c>
      <c r="B63" s="215">
        <f>'IA Marks'!B63</f>
        <v>0</v>
      </c>
      <c r="C63" s="117"/>
      <c r="D63" s="117">
        <v>45</v>
      </c>
      <c r="E63" s="117">
        <v>45</v>
      </c>
      <c r="F63" s="117">
        <v>45</v>
      </c>
      <c r="G63" s="117">
        <v>45</v>
      </c>
      <c r="H63" s="117">
        <v>45</v>
      </c>
      <c r="I63" s="117">
        <v>45</v>
      </c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207"/>
      <c r="AB63" s="207"/>
      <c r="AC63" s="207"/>
      <c r="AD63" s="207"/>
      <c r="AE63" s="207"/>
      <c r="AF63" s="207"/>
      <c r="AG63" s="207"/>
      <c r="AH63" s="207"/>
      <c r="AI63" s="128">
        <f t="shared" si="6"/>
        <v>45</v>
      </c>
      <c r="AJ63" s="129">
        <f t="shared" si="7"/>
        <v>60</v>
      </c>
      <c r="AK63" s="141">
        <f t="shared" si="18"/>
        <v>75</v>
      </c>
      <c r="AL63" s="131">
        <f t="shared" si="8"/>
        <v>45</v>
      </c>
      <c r="AM63" s="129">
        <f t="shared" si="9"/>
        <v>60</v>
      </c>
      <c r="AN63" s="141">
        <f t="shared" si="19"/>
        <v>75</v>
      </c>
      <c r="AO63" s="131">
        <f t="shared" si="10"/>
        <v>45</v>
      </c>
      <c r="AP63" s="129">
        <f t="shared" si="11"/>
        <v>60</v>
      </c>
      <c r="AQ63" s="141">
        <f t="shared" si="20"/>
        <v>75</v>
      </c>
      <c r="AR63" s="131">
        <f t="shared" si="12"/>
        <v>45</v>
      </c>
      <c r="AS63" s="129">
        <f t="shared" si="13"/>
        <v>60</v>
      </c>
      <c r="AT63" s="141">
        <f t="shared" si="21"/>
        <v>75</v>
      </c>
      <c r="AU63" s="131">
        <f t="shared" si="14"/>
        <v>45</v>
      </c>
      <c r="AV63" s="129">
        <f t="shared" si="15"/>
        <v>60</v>
      </c>
      <c r="AW63" s="141">
        <f t="shared" si="22"/>
        <v>75</v>
      </c>
      <c r="AX63" s="131">
        <f t="shared" si="16"/>
        <v>45</v>
      </c>
      <c r="AY63" s="129">
        <f t="shared" si="17"/>
        <v>60</v>
      </c>
      <c r="AZ63" s="141">
        <f t="shared" si="23"/>
        <v>75</v>
      </c>
    </row>
    <row r="64" ht="15.75" customHeight="1" spans="1:52" x14ac:dyDescent="0.25">
      <c r="A64" s="214" t="str">
        <f>'IA Marks'!A64</f>
        <v>23N81A6255</v>
      </c>
      <c r="B64" s="215">
        <f>'IA Marks'!B64</f>
        <v>0</v>
      </c>
      <c r="C64" s="117"/>
      <c r="D64" s="117">
        <v>45</v>
      </c>
      <c r="E64" s="117">
        <v>45</v>
      </c>
      <c r="F64" s="117">
        <v>45</v>
      </c>
      <c r="G64" s="117">
        <v>45</v>
      </c>
      <c r="H64" s="117">
        <v>45</v>
      </c>
      <c r="I64" s="117">
        <v>45</v>
      </c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207"/>
      <c r="AB64" s="207"/>
      <c r="AC64" s="207"/>
      <c r="AD64" s="207"/>
      <c r="AE64" s="207"/>
      <c r="AF64" s="207"/>
      <c r="AG64" s="207"/>
      <c r="AH64" s="207"/>
      <c r="AI64" s="128">
        <f t="shared" si="6"/>
        <v>45</v>
      </c>
      <c r="AJ64" s="129">
        <f t="shared" si="7"/>
        <v>60</v>
      </c>
      <c r="AK64" s="141">
        <f t="shared" si="18"/>
        <v>75</v>
      </c>
      <c r="AL64" s="131">
        <f t="shared" si="8"/>
        <v>45</v>
      </c>
      <c r="AM64" s="129">
        <f t="shared" si="9"/>
        <v>60</v>
      </c>
      <c r="AN64" s="141">
        <f t="shared" si="19"/>
        <v>75</v>
      </c>
      <c r="AO64" s="131">
        <f t="shared" si="10"/>
        <v>45</v>
      </c>
      <c r="AP64" s="129">
        <f t="shared" si="11"/>
        <v>60</v>
      </c>
      <c r="AQ64" s="141">
        <f t="shared" si="20"/>
        <v>75</v>
      </c>
      <c r="AR64" s="131">
        <f t="shared" si="12"/>
        <v>45</v>
      </c>
      <c r="AS64" s="129">
        <f t="shared" si="13"/>
        <v>60</v>
      </c>
      <c r="AT64" s="141">
        <f t="shared" si="21"/>
        <v>75</v>
      </c>
      <c r="AU64" s="131">
        <f t="shared" si="14"/>
        <v>45</v>
      </c>
      <c r="AV64" s="129">
        <f t="shared" si="15"/>
        <v>60</v>
      </c>
      <c r="AW64" s="141">
        <f t="shared" si="22"/>
        <v>75</v>
      </c>
      <c r="AX64" s="131">
        <f t="shared" si="16"/>
        <v>45</v>
      </c>
      <c r="AY64" s="129">
        <f t="shared" si="17"/>
        <v>60</v>
      </c>
      <c r="AZ64" s="141">
        <f t="shared" si="23"/>
        <v>75</v>
      </c>
    </row>
    <row r="65" ht="15.75" customHeight="1" spans="1:52" x14ac:dyDescent="0.25">
      <c r="A65" s="214" t="str">
        <f>'IA Marks'!A65</f>
        <v>23N81A6256</v>
      </c>
      <c r="B65" s="215">
        <f>'IA Marks'!B65</f>
        <v>0</v>
      </c>
      <c r="C65" s="117"/>
      <c r="D65" s="117">
        <v>45</v>
      </c>
      <c r="E65" s="117">
        <v>45</v>
      </c>
      <c r="F65" s="117">
        <v>45</v>
      </c>
      <c r="G65" s="117">
        <v>45</v>
      </c>
      <c r="H65" s="117">
        <v>45</v>
      </c>
      <c r="I65" s="117">
        <v>45</v>
      </c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207"/>
      <c r="AB65" s="207"/>
      <c r="AC65" s="207"/>
      <c r="AD65" s="207"/>
      <c r="AE65" s="207"/>
      <c r="AF65" s="207"/>
      <c r="AG65" s="207"/>
      <c r="AH65" s="207"/>
      <c r="AI65" s="128">
        <f t="shared" si="6"/>
        <v>45</v>
      </c>
      <c r="AJ65" s="129">
        <f t="shared" si="7"/>
        <v>60</v>
      </c>
      <c r="AK65" s="141">
        <f t="shared" si="18"/>
        <v>75</v>
      </c>
      <c r="AL65" s="131">
        <f t="shared" si="8"/>
        <v>45</v>
      </c>
      <c r="AM65" s="129">
        <f t="shared" si="9"/>
        <v>60</v>
      </c>
      <c r="AN65" s="141">
        <f t="shared" si="19"/>
        <v>75</v>
      </c>
      <c r="AO65" s="131">
        <f t="shared" si="10"/>
        <v>45</v>
      </c>
      <c r="AP65" s="129">
        <f t="shared" si="11"/>
        <v>60</v>
      </c>
      <c r="AQ65" s="141">
        <f t="shared" si="20"/>
        <v>75</v>
      </c>
      <c r="AR65" s="131">
        <f t="shared" si="12"/>
        <v>45</v>
      </c>
      <c r="AS65" s="129">
        <f t="shared" si="13"/>
        <v>60</v>
      </c>
      <c r="AT65" s="141">
        <f t="shared" si="21"/>
        <v>75</v>
      </c>
      <c r="AU65" s="131">
        <f t="shared" si="14"/>
        <v>45</v>
      </c>
      <c r="AV65" s="129">
        <f t="shared" si="15"/>
        <v>60</v>
      </c>
      <c r="AW65" s="141">
        <f t="shared" si="22"/>
        <v>75</v>
      </c>
      <c r="AX65" s="131">
        <f t="shared" si="16"/>
        <v>45</v>
      </c>
      <c r="AY65" s="129">
        <f t="shared" si="17"/>
        <v>60</v>
      </c>
      <c r="AZ65" s="141">
        <f t="shared" si="23"/>
        <v>75</v>
      </c>
    </row>
    <row r="66" ht="15.75" customHeight="1" spans="1:52" x14ac:dyDescent="0.25">
      <c r="A66" s="214" t="str">
        <f>'IA Marks'!A66</f>
        <v>23N81A6257</v>
      </c>
      <c r="B66" s="215">
        <f>'IA Marks'!B66</f>
        <v>0</v>
      </c>
      <c r="C66" s="117"/>
      <c r="D66" s="117">
        <v>45</v>
      </c>
      <c r="E66" s="117">
        <v>45</v>
      </c>
      <c r="F66" s="117">
        <v>45</v>
      </c>
      <c r="G66" s="117">
        <v>45</v>
      </c>
      <c r="H66" s="117">
        <v>45</v>
      </c>
      <c r="I66" s="117">
        <v>45</v>
      </c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207"/>
      <c r="AB66" s="207"/>
      <c r="AC66" s="207"/>
      <c r="AD66" s="207"/>
      <c r="AE66" s="207"/>
      <c r="AF66" s="207"/>
      <c r="AG66" s="207"/>
      <c r="AH66" s="207"/>
      <c r="AI66" s="128">
        <f t="shared" si="6"/>
        <v>45</v>
      </c>
      <c r="AJ66" s="129">
        <f t="shared" si="7"/>
        <v>60</v>
      </c>
      <c r="AK66" s="141">
        <f t="shared" si="18"/>
        <v>75</v>
      </c>
      <c r="AL66" s="131">
        <f t="shared" si="8"/>
        <v>45</v>
      </c>
      <c r="AM66" s="129">
        <f t="shared" si="9"/>
        <v>60</v>
      </c>
      <c r="AN66" s="141">
        <f t="shared" si="19"/>
        <v>75</v>
      </c>
      <c r="AO66" s="131">
        <f t="shared" si="10"/>
        <v>45</v>
      </c>
      <c r="AP66" s="129">
        <f t="shared" si="11"/>
        <v>60</v>
      </c>
      <c r="AQ66" s="141">
        <f t="shared" si="20"/>
        <v>75</v>
      </c>
      <c r="AR66" s="131">
        <f t="shared" si="12"/>
        <v>45</v>
      </c>
      <c r="AS66" s="129">
        <f t="shared" si="13"/>
        <v>60</v>
      </c>
      <c r="AT66" s="141">
        <f t="shared" si="21"/>
        <v>75</v>
      </c>
      <c r="AU66" s="131">
        <f t="shared" si="14"/>
        <v>45</v>
      </c>
      <c r="AV66" s="129">
        <f t="shared" si="15"/>
        <v>60</v>
      </c>
      <c r="AW66" s="141">
        <f t="shared" si="22"/>
        <v>75</v>
      </c>
      <c r="AX66" s="131">
        <f t="shared" si="16"/>
        <v>45</v>
      </c>
      <c r="AY66" s="129">
        <f t="shared" si="17"/>
        <v>60</v>
      </c>
      <c r="AZ66" s="141">
        <f t="shared" si="23"/>
        <v>75</v>
      </c>
    </row>
    <row r="67" ht="15.75" customHeight="1" spans="1:52" x14ac:dyDescent="0.25">
      <c r="A67" s="214" t="str">
        <f>'IA Marks'!A67</f>
        <v>23N81A6258</v>
      </c>
      <c r="B67" s="215">
        <f>'IA Marks'!B67</f>
        <v>0</v>
      </c>
      <c r="C67" s="117"/>
      <c r="D67" s="117">
        <v>45</v>
      </c>
      <c r="E67" s="117">
        <v>45</v>
      </c>
      <c r="F67" s="117">
        <v>45</v>
      </c>
      <c r="G67" s="117">
        <v>45</v>
      </c>
      <c r="H67" s="117">
        <v>45</v>
      </c>
      <c r="I67" s="117">
        <v>45</v>
      </c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207"/>
      <c r="AB67" s="207"/>
      <c r="AC67" s="207"/>
      <c r="AD67" s="207"/>
      <c r="AE67" s="207"/>
      <c r="AF67" s="207"/>
      <c r="AG67" s="207"/>
      <c r="AH67" s="207"/>
      <c r="AI67" s="128">
        <f t="shared" si="6"/>
        <v>45</v>
      </c>
      <c r="AJ67" s="129">
        <f t="shared" si="7"/>
        <v>60</v>
      </c>
      <c r="AK67" s="141">
        <f t="shared" si="18"/>
        <v>75</v>
      </c>
      <c r="AL67" s="131">
        <f t="shared" si="8"/>
        <v>45</v>
      </c>
      <c r="AM67" s="129">
        <f t="shared" si="9"/>
        <v>60</v>
      </c>
      <c r="AN67" s="141">
        <f t="shared" si="19"/>
        <v>75</v>
      </c>
      <c r="AO67" s="131">
        <f t="shared" si="10"/>
        <v>45</v>
      </c>
      <c r="AP67" s="129">
        <f t="shared" si="11"/>
        <v>60</v>
      </c>
      <c r="AQ67" s="141">
        <f t="shared" si="20"/>
        <v>75</v>
      </c>
      <c r="AR67" s="131">
        <f t="shared" si="12"/>
        <v>45</v>
      </c>
      <c r="AS67" s="129">
        <f t="shared" si="13"/>
        <v>60</v>
      </c>
      <c r="AT67" s="141">
        <f t="shared" si="21"/>
        <v>75</v>
      </c>
      <c r="AU67" s="131">
        <f t="shared" si="14"/>
        <v>45</v>
      </c>
      <c r="AV67" s="129">
        <f t="shared" si="15"/>
        <v>60</v>
      </c>
      <c r="AW67" s="141">
        <f t="shared" si="22"/>
        <v>75</v>
      </c>
      <c r="AX67" s="131">
        <f t="shared" si="16"/>
        <v>45</v>
      </c>
      <c r="AY67" s="129">
        <f t="shared" si="17"/>
        <v>60</v>
      </c>
      <c r="AZ67" s="141">
        <f t="shared" si="23"/>
        <v>75</v>
      </c>
    </row>
    <row r="68" ht="15.75" customHeight="1" spans="1:52" x14ac:dyDescent="0.25">
      <c r="A68" s="214" t="str">
        <f>'IA Marks'!A68</f>
        <v>23N81A6259</v>
      </c>
      <c r="B68" s="215">
        <f>'IA Marks'!B68</f>
        <v>0</v>
      </c>
      <c r="C68" s="117"/>
      <c r="D68" s="117">
        <v>45</v>
      </c>
      <c r="E68" s="117">
        <v>45</v>
      </c>
      <c r="F68" s="117">
        <v>45</v>
      </c>
      <c r="G68" s="117">
        <v>45</v>
      </c>
      <c r="H68" s="117">
        <v>45</v>
      </c>
      <c r="I68" s="117">
        <v>45</v>
      </c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207"/>
      <c r="AB68" s="207"/>
      <c r="AC68" s="207"/>
      <c r="AD68" s="207"/>
      <c r="AE68" s="207"/>
      <c r="AF68" s="207"/>
      <c r="AG68" s="207"/>
      <c r="AH68" s="207"/>
      <c r="AI68" s="128">
        <f t="shared" si="6"/>
        <v>45</v>
      </c>
      <c r="AJ68" s="129">
        <f t="shared" si="7"/>
        <v>60</v>
      </c>
      <c r="AK68" s="141">
        <f t="shared" si="18"/>
        <v>75</v>
      </c>
      <c r="AL68" s="131">
        <f t="shared" si="8"/>
        <v>45</v>
      </c>
      <c r="AM68" s="129">
        <f t="shared" si="9"/>
        <v>60</v>
      </c>
      <c r="AN68" s="141">
        <f t="shared" si="19"/>
        <v>75</v>
      </c>
      <c r="AO68" s="131">
        <f t="shared" si="10"/>
        <v>45</v>
      </c>
      <c r="AP68" s="129">
        <f t="shared" si="11"/>
        <v>60</v>
      </c>
      <c r="AQ68" s="141">
        <f t="shared" si="20"/>
        <v>75</v>
      </c>
      <c r="AR68" s="131">
        <f t="shared" si="12"/>
        <v>45</v>
      </c>
      <c r="AS68" s="129">
        <f t="shared" si="13"/>
        <v>60</v>
      </c>
      <c r="AT68" s="141">
        <f t="shared" si="21"/>
        <v>75</v>
      </c>
      <c r="AU68" s="131">
        <f t="shared" si="14"/>
        <v>45</v>
      </c>
      <c r="AV68" s="129">
        <f t="shared" si="15"/>
        <v>60</v>
      </c>
      <c r="AW68" s="141">
        <f t="shared" si="22"/>
        <v>75</v>
      </c>
      <c r="AX68" s="131">
        <f t="shared" si="16"/>
        <v>45</v>
      </c>
      <c r="AY68" s="129">
        <f t="shared" si="17"/>
        <v>60</v>
      </c>
      <c r="AZ68" s="141">
        <f t="shared" si="23"/>
        <v>75</v>
      </c>
    </row>
    <row r="69" ht="15.75" customHeight="1" spans="1:52" x14ac:dyDescent="0.25">
      <c r="A69" s="214" t="str">
        <f>'IA Marks'!A69</f>
        <v>23N81A6260</v>
      </c>
      <c r="B69" s="215">
        <f>'IA Marks'!B69</f>
        <v>0</v>
      </c>
      <c r="C69" s="117"/>
      <c r="D69" s="117">
        <v>45</v>
      </c>
      <c r="E69" s="117">
        <v>45</v>
      </c>
      <c r="F69" s="117">
        <v>45</v>
      </c>
      <c r="G69" s="117">
        <v>45</v>
      </c>
      <c r="H69" s="117">
        <v>45</v>
      </c>
      <c r="I69" s="117">
        <v>45</v>
      </c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207"/>
      <c r="AB69" s="207"/>
      <c r="AC69" s="207"/>
      <c r="AD69" s="207"/>
      <c r="AE69" s="207"/>
      <c r="AF69" s="207"/>
      <c r="AG69" s="207"/>
      <c r="AH69" s="207"/>
      <c r="AI69" s="128">
        <f t="shared" si="6"/>
        <v>45</v>
      </c>
      <c r="AJ69" s="129">
        <f t="shared" si="7"/>
        <v>60</v>
      </c>
      <c r="AK69" s="141">
        <f t="shared" si="18"/>
        <v>75</v>
      </c>
      <c r="AL69" s="131">
        <f t="shared" si="8"/>
        <v>45</v>
      </c>
      <c r="AM69" s="129">
        <f t="shared" si="9"/>
        <v>60</v>
      </c>
      <c r="AN69" s="141">
        <f t="shared" si="19"/>
        <v>75</v>
      </c>
      <c r="AO69" s="131">
        <f t="shared" si="10"/>
        <v>45</v>
      </c>
      <c r="AP69" s="129">
        <f t="shared" si="11"/>
        <v>60</v>
      </c>
      <c r="AQ69" s="141">
        <f t="shared" si="20"/>
        <v>75</v>
      </c>
      <c r="AR69" s="131">
        <f t="shared" si="12"/>
        <v>45</v>
      </c>
      <c r="AS69" s="129">
        <f t="shared" si="13"/>
        <v>60</v>
      </c>
      <c r="AT69" s="141">
        <f t="shared" si="21"/>
        <v>75</v>
      </c>
      <c r="AU69" s="131">
        <f t="shared" si="14"/>
        <v>45</v>
      </c>
      <c r="AV69" s="129">
        <f t="shared" si="15"/>
        <v>60</v>
      </c>
      <c r="AW69" s="141">
        <f t="shared" si="22"/>
        <v>75</v>
      </c>
      <c r="AX69" s="131">
        <f t="shared" si="16"/>
        <v>45</v>
      </c>
      <c r="AY69" s="129">
        <f t="shared" si="17"/>
        <v>60</v>
      </c>
      <c r="AZ69" s="141">
        <f t="shared" si="23"/>
        <v>75</v>
      </c>
    </row>
    <row r="70" ht="15.75" customHeight="1" spans="1:52" x14ac:dyDescent="0.25">
      <c r="A70" s="214" t="str">
        <f>'IA Marks'!A70</f>
        <v>23N81A6261</v>
      </c>
      <c r="B70" s="215">
        <f>'IA Marks'!B70</f>
        <v>0</v>
      </c>
      <c r="C70" s="117"/>
      <c r="D70" s="117">
        <v>45</v>
      </c>
      <c r="E70" s="117">
        <v>45</v>
      </c>
      <c r="F70" s="117">
        <v>45</v>
      </c>
      <c r="G70" s="117">
        <v>45</v>
      </c>
      <c r="H70" s="117">
        <v>45</v>
      </c>
      <c r="I70" s="117">
        <v>45</v>
      </c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207"/>
      <c r="AB70" s="207"/>
      <c r="AC70" s="207"/>
      <c r="AD70" s="207"/>
      <c r="AE70" s="207"/>
      <c r="AF70" s="207"/>
      <c r="AG70" s="207"/>
      <c r="AH70" s="207"/>
      <c r="AI70" s="128">
        <f t="shared" si="6"/>
        <v>45</v>
      </c>
      <c r="AJ70" s="129">
        <f t="shared" si="7"/>
        <v>60</v>
      </c>
      <c r="AK70" s="141">
        <f t="shared" si="18"/>
        <v>75</v>
      </c>
      <c r="AL70" s="131">
        <f t="shared" si="8"/>
        <v>45</v>
      </c>
      <c r="AM70" s="129">
        <f t="shared" si="9"/>
        <v>60</v>
      </c>
      <c r="AN70" s="141">
        <f t="shared" si="19"/>
        <v>75</v>
      </c>
      <c r="AO70" s="131">
        <f t="shared" si="10"/>
        <v>45</v>
      </c>
      <c r="AP70" s="129">
        <f t="shared" si="11"/>
        <v>60</v>
      </c>
      <c r="AQ70" s="141">
        <f t="shared" si="20"/>
        <v>75</v>
      </c>
      <c r="AR70" s="131">
        <f t="shared" si="12"/>
        <v>45</v>
      </c>
      <c r="AS70" s="129">
        <f t="shared" si="13"/>
        <v>60</v>
      </c>
      <c r="AT70" s="141">
        <f t="shared" si="21"/>
        <v>75</v>
      </c>
      <c r="AU70" s="131">
        <f t="shared" si="14"/>
        <v>45</v>
      </c>
      <c r="AV70" s="129">
        <f t="shared" si="15"/>
        <v>60</v>
      </c>
      <c r="AW70" s="141">
        <f t="shared" si="22"/>
        <v>75</v>
      </c>
      <c r="AX70" s="131">
        <f t="shared" si="16"/>
        <v>45</v>
      </c>
      <c r="AY70" s="129">
        <f t="shared" si="17"/>
        <v>60</v>
      </c>
      <c r="AZ70" s="141">
        <f t="shared" si="23"/>
        <v>75</v>
      </c>
    </row>
    <row r="71" ht="15.75" customHeight="1" spans="1:52" x14ac:dyDescent="0.25">
      <c r="A71" s="214" t="str">
        <f>'IA Marks'!A71</f>
        <v>23N81A6262</v>
      </c>
      <c r="B71" s="215">
        <f>'IA Marks'!B71</f>
        <v>0</v>
      </c>
      <c r="C71" s="117"/>
      <c r="D71" s="117">
        <v>45</v>
      </c>
      <c r="E71" s="117">
        <v>45</v>
      </c>
      <c r="F71" s="117">
        <v>45</v>
      </c>
      <c r="G71" s="117">
        <v>45</v>
      </c>
      <c r="H71" s="117">
        <v>45</v>
      </c>
      <c r="I71" s="117">
        <v>45</v>
      </c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207"/>
      <c r="AB71" s="207"/>
      <c r="AC71" s="207"/>
      <c r="AD71" s="207"/>
      <c r="AE71" s="207"/>
      <c r="AF71" s="207"/>
      <c r="AG71" s="207"/>
      <c r="AH71" s="207"/>
      <c r="AI71" s="128">
        <f t="shared" si="6"/>
        <v>45</v>
      </c>
      <c r="AJ71" s="129">
        <f t="shared" si="7"/>
        <v>60</v>
      </c>
      <c r="AK71" s="141">
        <f t="shared" si="18"/>
        <v>75</v>
      </c>
      <c r="AL71" s="131">
        <f t="shared" si="8"/>
        <v>45</v>
      </c>
      <c r="AM71" s="129">
        <f t="shared" si="9"/>
        <v>60</v>
      </c>
      <c r="AN71" s="141">
        <f t="shared" si="19"/>
        <v>75</v>
      </c>
      <c r="AO71" s="131">
        <f t="shared" si="10"/>
        <v>45</v>
      </c>
      <c r="AP71" s="129">
        <f t="shared" si="11"/>
        <v>60</v>
      </c>
      <c r="AQ71" s="141">
        <f t="shared" si="20"/>
        <v>75</v>
      </c>
      <c r="AR71" s="131">
        <f t="shared" si="12"/>
        <v>45</v>
      </c>
      <c r="AS71" s="129">
        <f t="shared" si="13"/>
        <v>60</v>
      </c>
      <c r="AT71" s="141">
        <f t="shared" si="21"/>
        <v>75</v>
      </c>
      <c r="AU71" s="131">
        <f t="shared" si="14"/>
        <v>45</v>
      </c>
      <c r="AV71" s="129">
        <f t="shared" si="15"/>
        <v>60</v>
      </c>
      <c r="AW71" s="141">
        <f t="shared" si="22"/>
        <v>75</v>
      </c>
      <c r="AX71" s="131">
        <f t="shared" si="16"/>
        <v>45</v>
      </c>
      <c r="AY71" s="129">
        <f t="shared" si="17"/>
        <v>60</v>
      </c>
      <c r="AZ71" s="141">
        <f t="shared" si="23"/>
        <v>75</v>
      </c>
    </row>
    <row r="72" ht="15.75" customHeight="1" spans="1:52" x14ac:dyDescent="0.25">
      <c r="A72" s="214" t="str">
        <f>'IA Marks'!A72</f>
        <v>23N81A6263</v>
      </c>
      <c r="B72" s="215">
        <f>'IA Marks'!B72</f>
        <v>0</v>
      </c>
      <c r="C72" s="117"/>
      <c r="D72" s="117">
        <v>45</v>
      </c>
      <c r="E72" s="117">
        <v>45</v>
      </c>
      <c r="F72" s="117">
        <v>45</v>
      </c>
      <c r="G72" s="117">
        <v>45</v>
      </c>
      <c r="H72" s="117">
        <v>45</v>
      </c>
      <c r="I72" s="117">
        <v>45</v>
      </c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207"/>
      <c r="AB72" s="207"/>
      <c r="AC72" s="207"/>
      <c r="AD72" s="207"/>
      <c r="AE72" s="207"/>
      <c r="AF72" s="207"/>
      <c r="AG72" s="207"/>
      <c r="AH72" s="207"/>
      <c r="AI72" s="128">
        <f t="shared" si="6"/>
        <v>45</v>
      </c>
      <c r="AJ72" s="129">
        <f t="shared" si="7"/>
        <v>60</v>
      </c>
      <c r="AK72" s="141">
        <f t="shared" si="18"/>
        <v>75</v>
      </c>
      <c r="AL72" s="131">
        <f t="shared" si="8"/>
        <v>45</v>
      </c>
      <c r="AM72" s="129">
        <f t="shared" si="9"/>
        <v>60</v>
      </c>
      <c r="AN72" s="141">
        <f t="shared" si="19"/>
        <v>75</v>
      </c>
      <c r="AO72" s="131">
        <f t="shared" si="10"/>
        <v>45</v>
      </c>
      <c r="AP72" s="129">
        <f t="shared" si="11"/>
        <v>60</v>
      </c>
      <c r="AQ72" s="141">
        <f t="shared" si="20"/>
        <v>75</v>
      </c>
      <c r="AR72" s="131">
        <f t="shared" si="12"/>
        <v>45</v>
      </c>
      <c r="AS72" s="129">
        <f t="shared" si="13"/>
        <v>60</v>
      </c>
      <c r="AT72" s="141">
        <f t="shared" si="21"/>
        <v>75</v>
      </c>
      <c r="AU72" s="131">
        <f t="shared" si="14"/>
        <v>45</v>
      </c>
      <c r="AV72" s="129">
        <f t="shared" si="15"/>
        <v>60</v>
      </c>
      <c r="AW72" s="141">
        <f t="shared" si="22"/>
        <v>75</v>
      </c>
      <c r="AX72" s="131">
        <f t="shared" si="16"/>
        <v>45</v>
      </c>
      <c r="AY72" s="129">
        <f t="shared" si="17"/>
        <v>60</v>
      </c>
      <c r="AZ72" s="141">
        <f t="shared" si="23"/>
        <v>75</v>
      </c>
    </row>
    <row r="73" ht="15.75" customHeight="1" spans="1:52" x14ac:dyDescent="0.25">
      <c r="A73" s="214" t="str">
        <f>'IA Marks'!A73</f>
        <v>23N81A6264</v>
      </c>
      <c r="B73" s="215">
        <f>'IA Marks'!B73</f>
        <v>0</v>
      </c>
      <c r="C73" s="117"/>
      <c r="D73" s="117">
        <v>45</v>
      </c>
      <c r="E73" s="117">
        <v>45</v>
      </c>
      <c r="F73" s="117">
        <v>45</v>
      </c>
      <c r="G73" s="117">
        <v>45</v>
      </c>
      <c r="H73" s="117">
        <v>45</v>
      </c>
      <c r="I73" s="117">
        <v>45</v>
      </c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207"/>
      <c r="AB73" s="207"/>
      <c r="AC73" s="207"/>
      <c r="AD73" s="207"/>
      <c r="AE73" s="207"/>
      <c r="AF73" s="207"/>
      <c r="AG73" s="207"/>
      <c r="AH73" s="207"/>
      <c r="AI73" s="128">
        <f t="shared" si="6"/>
        <v>45</v>
      </c>
      <c r="AJ73" s="129">
        <f t="shared" si="7"/>
        <v>60</v>
      </c>
      <c r="AK73" s="141">
        <f t="shared" si="18"/>
        <v>75</v>
      </c>
      <c r="AL73" s="131">
        <f t="shared" si="8"/>
        <v>45</v>
      </c>
      <c r="AM73" s="129">
        <f t="shared" si="9"/>
        <v>60</v>
      </c>
      <c r="AN73" s="141">
        <f t="shared" si="19"/>
        <v>75</v>
      </c>
      <c r="AO73" s="131">
        <f t="shared" si="10"/>
        <v>45</v>
      </c>
      <c r="AP73" s="129">
        <f t="shared" si="11"/>
        <v>60</v>
      </c>
      <c r="AQ73" s="141">
        <f t="shared" si="20"/>
        <v>75</v>
      </c>
      <c r="AR73" s="131">
        <f t="shared" si="12"/>
        <v>45</v>
      </c>
      <c r="AS73" s="129">
        <f t="shared" si="13"/>
        <v>60</v>
      </c>
      <c r="AT73" s="141">
        <f t="shared" si="21"/>
        <v>75</v>
      </c>
      <c r="AU73" s="131">
        <f t="shared" si="14"/>
        <v>45</v>
      </c>
      <c r="AV73" s="129">
        <f t="shared" si="15"/>
        <v>60</v>
      </c>
      <c r="AW73" s="141">
        <f t="shared" si="22"/>
        <v>75</v>
      </c>
      <c r="AX73" s="131">
        <f t="shared" si="16"/>
        <v>45</v>
      </c>
      <c r="AY73" s="129">
        <f t="shared" si="17"/>
        <v>60</v>
      </c>
      <c r="AZ73" s="141">
        <f t="shared" si="23"/>
        <v>75</v>
      </c>
    </row>
    <row r="74" ht="15.75" customHeight="1" spans="1:52" x14ac:dyDescent="0.25">
      <c r="A74" s="214" t="str">
        <f>'IA Marks'!A74</f>
        <v>23N81A6266</v>
      </c>
      <c r="B74" s="215">
        <f>'IA Marks'!B74</f>
        <v>0</v>
      </c>
      <c r="C74" s="117"/>
      <c r="D74" s="117">
        <v>45</v>
      </c>
      <c r="E74" s="117">
        <v>45</v>
      </c>
      <c r="F74" s="117">
        <v>45</v>
      </c>
      <c r="G74" s="117">
        <v>45</v>
      </c>
      <c r="H74" s="117">
        <v>45</v>
      </c>
      <c r="I74" s="117">
        <v>45</v>
      </c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207"/>
      <c r="AB74" s="207"/>
      <c r="AC74" s="207"/>
      <c r="AD74" s="207"/>
      <c r="AE74" s="207"/>
      <c r="AF74" s="207"/>
      <c r="AG74" s="207"/>
      <c r="AH74" s="207"/>
      <c r="AI74" s="128">
        <f t="shared" si="6"/>
        <v>45</v>
      </c>
      <c r="AJ74" s="129">
        <f t="shared" si="7"/>
        <v>60</v>
      </c>
      <c r="AK74" s="141">
        <f t="shared" si="18"/>
        <v>75</v>
      </c>
      <c r="AL74" s="131">
        <f t="shared" si="8"/>
        <v>45</v>
      </c>
      <c r="AM74" s="129">
        <f t="shared" si="9"/>
        <v>60</v>
      </c>
      <c r="AN74" s="141">
        <f t="shared" si="19"/>
        <v>75</v>
      </c>
      <c r="AO74" s="131">
        <f t="shared" si="10"/>
        <v>45</v>
      </c>
      <c r="AP74" s="129">
        <f t="shared" si="11"/>
        <v>60</v>
      </c>
      <c r="AQ74" s="141">
        <f t="shared" si="20"/>
        <v>75</v>
      </c>
      <c r="AR74" s="131">
        <f t="shared" si="12"/>
        <v>45</v>
      </c>
      <c r="AS74" s="129">
        <f t="shared" si="13"/>
        <v>60</v>
      </c>
      <c r="AT74" s="141">
        <f t="shared" si="21"/>
        <v>75</v>
      </c>
      <c r="AU74" s="131">
        <f t="shared" si="14"/>
        <v>45</v>
      </c>
      <c r="AV74" s="129">
        <f t="shared" si="15"/>
        <v>60</v>
      </c>
      <c r="AW74" s="141">
        <f t="shared" si="22"/>
        <v>75</v>
      </c>
      <c r="AX74" s="131">
        <f t="shared" si="16"/>
        <v>45</v>
      </c>
      <c r="AY74" s="129">
        <f t="shared" si="17"/>
        <v>60</v>
      </c>
      <c r="AZ74" s="141">
        <f t="shared" si="23"/>
        <v>75</v>
      </c>
    </row>
    <row r="75" ht="15.75" customHeight="1" spans="1:52" x14ac:dyDescent="0.25">
      <c r="A75" s="214" t="str">
        <f>'IA Marks'!A75</f>
        <v>23N81A6267</v>
      </c>
      <c r="B75" s="215">
        <f>'IA Marks'!B75</f>
        <v>0</v>
      </c>
      <c r="C75" s="117"/>
      <c r="D75" s="117">
        <v>45</v>
      </c>
      <c r="E75" s="117">
        <v>45</v>
      </c>
      <c r="F75" s="117">
        <v>45</v>
      </c>
      <c r="G75" s="117">
        <v>45</v>
      </c>
      <c r="H75" s="117">
        <v>45</v>
      </c>
      <c r="I75" s="117">
        <v>45</v>
      </c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207"/>
      <c r="AB75" s="207"/>
      <c r="AC75" s="207"/>
      <c r="AD75" s="207"/>
      <c r="AE75" s="207"/>
      <c r="AF75" s="207"/>
      <c r="AG75" s="207"/>
      <c r="AH75" s="207"/>
      <c r="AI75" s="128">
        <f t="shared" si="6"/>
        <v>45</v>
      </c>
      <c r="AJ75" s="129">
        <f t="shared" si="7"/>
        <v>60</v>
      </c>
      <c r="AK75" s="141">
        <f t="shared" si="18"/>
        <v>75</v>
      </c>
      <c r="AL75" s="131">
        <f t="shared" si="8"/>
        <v>45</v>
      </c>
      <c r="AM75" s="129">
        <f t="shared" si="9"/>
        <v>60</v>
      </c>
      <c r="AN75" s="141">
        <f t="shared" si="19"/>
        <v>75</v>
      </c>
      <c r="AO75" s="131">
        <f t="shared" si="10"/>
        <v>45</v>
      </c>
      <c r="AP75" s="129">
        <f t="shared" si="11"/>
        <v>60</v>
      </c>
      <c r="AQ75" s="141">
        <f t="shared" si="20"/>
        <v>75</v>
      </c>
      <c r="AR75" s="131">
        <f t="shared" si="12"/>
        <v>45</v>
      </c>
      <c r="AS75" s="129">
        <f t="shared" si="13"/>
        <v>60</v>
      </c>
      <c r="AT75" s="141">
        <f t="shared" si="21"/>
        <v>75</v>
      </c>
      <c r="AU75" s="131">
        <f t="shared" si="14"/>
        <v>45</v>
      </c>
      <c r="AV75" s="129">
        <f t="shared" si="15"/>
        <v>60</v>
      </c>
      <c r="AW75" s="141">
        <f t="shared" si="22"/>
        <v>75</v>
      </c>
      <c r="AX75" s="131">
        <f t="shared" si="16"/>
        <v>45</v>
      </c>
      <c r="AY75" s="129">
        <f t="shared" si="17"/>
        <v>60</v>
      </c>
      <c r="AZ75" s="141">
        <f t="shared" si="23"/>
        <v>75</v>
      </c>
    </row>
    <row r="76" ht="15.75" customHeight="1" spans="1:52" x14ac:dyDescent="0.25">
      <c r="A76" s="214" t="str">
        <f>'IA Marks'!A76</f>
        <v>23N81A6268</v>
      </c>
      <c r="B76" s="215">
        <f>'IA Marks'!B76</f>
        <v>0</v>
      </c>
      <c r="C76" s="117"/>
      <c r="D76" s="117">
        <v>45</v>
      </c>
      <c r="E76" s="117">
        <v>45</v>
      </c>
      <c r="F76" s="117">
        <v>45</v>
      </c>
      <c r="G76" s="117">
        <v>45</v>
      </c>
      <c r="H76" s="117">
        <v>45</v>
      </c>
      <c r="I76" s="117">
        <v>45</v>
      </c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207"/>
      <c r="AB76" s="207"/>
      <c r="AC76" s="207"/>
      <c r="AD76" s="207"/>
      <c r="AE76" s="207"/>
      <c r="AF76" s="207"/>
      <c r="AG76" s="207"/>
      <c r="AH76" s="207"/>
      <c r="AI76" s="128">
        <f t="shared" si="6"/>
        <v>45</v>
      </c>
      <c r="AJ76" s="129">
        <f t="shared" si="7"/>
        <v>60</v>
      </c>
      <c r="AK76" s="141">
        <f t="shared" si="18"/>
        <v>75</v>
      </c>
      <c r="AL76" s="131">
        <f t="shared" si="8"/>
        <v>45</v>
      </c>
      <c r="AM76" s="129">
        <f t="shared" si="9"/>
        <v>60</v>
      </c>
      <c r="AN76" s="141">
        <f t="shared" si="19"/>
        <v>75</v>
      </c>
      <c r="AO76" s="131">
        <f t="shared" si="10"/>
        <v>45</v>
      </c>
      <c r="AP76" s="129">
        <f t="shared" si="11"/>
        <v>60</v>
      </c>
      <c r="AQ76" s="141">
        <f t="shared" si="20"/>
        <v>75</v>
      </c>
      <c r="AR76" s="131">
        <f t="shared" si="12"/>
        <v>45</v>
      </c>
      <c r="AS76" s="129">
        <f t="shared" si="13"/>
        <v>60</v>
      </c>
      <c r="AT76" s="141">
        <f t="shared" si="21"/>
        <v>75</v>
      </c>
      <c r="AU76" s="131">
        <f t="shared" si="14"/>
        <v>45</v>
      </c>
      <c r="AV76" s="129">
        <f t="shared" si="15"/>
        <v>60</v>
      </c>
      <c r="AW76" s="141">
        <f t="shared" si="22"/>
        <v>75</v>
      </c>
      <c r="AX76" s="131">
        <f t="shared" si="16"/>
        <v>45</v>
      </c>
      <c r="AY76" s="129">
        <f t="shared" si="17"/>
        <v>60</v>
      </c>
      <c r="AZ76" s="141">
        <f t="shared" si="23"/>
        <v>75</v>
      </c>
    </row>
    <row r="77" ht="15.75" customHeight="1" spans="1:52" x14ac:dyDescent="0.25">
      <c r="A77" s="214" t="str">
        <f>'IA Marks'!A77</f>
        <v>23N81A6269</v>
      </c>
      <c r="B77" s="215">
        <f>'IA Marks'!B77</f>
        <v>0</v>
      </c>
      <c r="C77" s="117"/>
      <c r="D77" s="117">
        <v>45</v>
      </c>
      <c r="E77" s="117">
        <v>45</v>
      </c>
      <c r="F77" s="117">
        <v>45</v>
      </c>
      <c r="G77" s="117">
        <v>45</v>
      </c>
      <c r="H77" s="117">
        <v>45</v>
      </c>
      <c r="I77" s="117">
        <v>45</v>
      </c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207"/>
      <c r="AB77" s="207"/>
      <c r="AC77" s="207"/>
      <c r="AD77" s="207"/>
      <c r="AE77" s="207"/>
      <c r="AF77" s="207"/>
      <c r="AG77" s="207"/>
      <c r="AH77" s="207"/>
      <c r="AI77" s="128">
        <f t="shared" si="6"/>
        <v>45</v>
      </c>
      <c r="AJ77" s="129">
        <f t="shared" si="7"/>
        <v>60</v>
      </c>
      <c r="AK77" s="141">
        <f t="shared" ref="AK77:AK108" si="24">ROUNDUP(IF(AJ77,AI77/AJ77%,0),2)</f>
        <v>75</v>
      </c>
      <c r="AL77" s="131">
        <f t="shared" si="8"/>
        <v>45</v>
      </c>
      <c r="AM77" s="129">
        <f t="shared" si="9"/>
        <v>60</v>
      </c>
      <c r="AN77" s="141">
        <f t="shared" ref="AN77:AN108" si="25">ROUNDUP(IF(AM77,AL77/AM77%,0),2)</f>
        <v>75</v>
      </c>
      <c r="AO77" s="131">
        <f t="shared" si="10"/>
        <v>45</v>
      </c>
      <c r="AP77" s="129">
        <f t="shared" si="11"/>
        <v>60</v>
      </c>
      <c r="AQ77" s="141">
        <f t="shared" ref="AQ77:AQ108" si="26">ROUNDUP(IF(AP77,AO77/AP77%,0),2)</f>
        <v>75</v>
      </c>
      <c r="AR77" s="131">
        <f t="shared" si="12"/>
        <v>45</v>
      </c>
      <c r="AS77" s="129">
        <f t="shared" si="13"/>
        <v>60</v>
      </c>
      <c r="AT77" s="141">
        <f t="shared" ref="AT77:AT108" si="27">ROUNDUP(IF(AS77,AR77/AS77%,0),2)</f>
        <v>75</v>
      </c>
      <c r="AU77" s="131">
        <f t="shared" si="14"/>
        <v>45</v>
      </c>
      <c r="AV77" s="129">
        <f t="shared" si="15"/>
        <v>60</v>
      </c>
      <c r="AW77" s="141">
        <f t="shared" ref="AW77:AW108" si="28">ROUNDUP(IF(AV77,AU77/AV77%,0),2)</f>
        <v>75</v>
      </c>
      <c r="AX77" s="131">
        <f t="shared" si="16"/>
        <v>45</v>
      </c>
      <c r="AY77" s="129">
        <f t="shared" si="17"/>
        <v>60</v>
      </c>
      <c r="AZ77" s="141">
        <f t="shared" ref="AZ77:AZ108" si="29">ROUNDUP(IF(AY77,AX77/AY77%,0),2)</f>
        <v>75</v>
      </c>
    </row>
    <row r="78" ht="15.75" customHeight="1" spans="1:52" x14ac:dyDescent="0.25">
      <c r="A78" s="214" t="str">
        <f>'IA Marks'!A78</f>
        <v>23N81A6270</v>
      </c>
      <c r="B78" s="215">
        <f>'IA Marks'!B78</f>
        <v>0</v>
      </c>
      <c r="C78" s="117"/>
      <c r="D78" s="117">
        <v>45</v>
      </c>
      <c r="E78" s="117">
        <v>45</v>
      </c>
      <c r="F78" s="117">
        <v>45</v>
      </c>
      <c r="G78" s="117">
        <v>45</v>
      </c>
      <c r="H78" s="117">
        <v>45</v>
      </c>
      <c r="I78" s="117">
        <v>45</v>
      </c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207"/>
      <c r="AB78" s="207"/>
      <c r="AC78" s="207"/>
      <c r="AD78" s="207"/>
      <c r="AE78" s="207"/>
      <c r="AF78" s="207"/>
      <c r="AG78" s="207"/>
      <c r="AH78" s="207"/>
      <c r="AI78" s="128">
        <f t="shared" ref="AI78:AI135" si="30">SUMIF($D$7:$Z$7,"1",D78:Z78)</f>
        <v>45</v>
      </c>
      <c r="AJ78" s="129">
        <f t="shared" ref="AJ78:AJ135" si="31">SUMIFS($D$9:$Z$9,$D$7:$Z$7,"1",D78:Z78,"&gt;"&amp;-1)</f>
        <v>60</v>
      </c>
      <c r="AK78" s="141">
        <f t="shared" si="24"/>
        <v>75</v>
      </c>
      <c r="AL78" s="131">
        <f t="shared" ref="AL78:AL135" si="32">SUMIF($D$7:$Z$7,"2",D78:Z78)</f>
        <v>45</v>
      </c>
      <c r="AM78" s="129">
        <f t="shared" ref="AM78:AM135" si="33">SUMIFS($D$9:$Z$9,$D$7:$Z$7,"2",D78:Z78,"&gt;"&amp;-1)</f>
        <v>60</v>
      </c>
      <c r="AN78" s="141">
        <f t="shared" si="25"/>
        <v>75</v>
      </c>
      <c r="AO78" s="131">
        <f t="shared" ref="AO78:AO135" si="34">SUMIF($D$7:$Z$7,"3",D78:Z78)</f>
        <v>45</v>
      </c>
      <c r="AP78" s="129">
        <f t="shared" ref="AP78:AP135" si="35">SUMIFS($D$9:$Z$9,$D$7:$Z$7,"3",D78:Z78,"&gt;"&amp;-1)</f>
        <v>60</v>
      </c>
      <c r="AQ78" s="141">
        <f t="shared" si="26"/>
        <v>75</v>
      </c>
      <c r="AR78" s="131">
        <f t="shared" ref="AR78:AR135" si="36">SUMIF($D$7:$Z$7,"4",D78:Z78)</f>
        <v>45</v>
      </c>
      <c r="AS78" s="129">
        <f t="shared" ref="AS78:AS135" si="37">SUMIFS($D$9:$Z$9,$D$7:$Z$7,"4",D78:Z78,"&gt;"&amp;-1)</f>
        <v>60</v>
      </c>
      <c r="AT78" s="141">
        <f t="shared" si="27"/>
        <v>75</v>
      </c>
      <c r="AU78" s="131">
        <f t="shared" ref="AU78:AU135" si="38">SUMIF($D$7:$Z$7,"5",D78:Z78)</f>
        <v>45</v>
      </c>
      <c r="AV78" s="129">
        <f t="shared" ref="AV78:AV135" si="39">SUMIFS($D$9:$Z$9,$D$7:$Z$7,"5",D78:Z78,"&gt;"&amp;-1)</f>
        <v>60</v>
      </c>
      <c r="AW78" s="141">
        <f t="shared" si="28"/>
        <v>75</v>
      </c>
      <c r="AX78" s="131">
        <f t="shared" ref="AX78:AX135" si="40">SUMIF($D$7:$Z$7,"6",D78:Z78)</f>
        <v>45</v>
      </c>
      <c r="AY78" s="129">
        <f t="shared" ref="AY78:AY135" si="41">SUMIFS($D$9:$Z$9,$D$7:$Z$7,"6",D78:Z78,"&gt;"&amp;-1)</f>
        <v>60</v>
      </c>
      <c r="AZ78" s="141">
        <f t="shared" si="29"/>
        <v>75</v>
      </c>
    </row>
    <row r="79" ht="15.75" customHeight="1" spans="1:52" x14ac:dyDescent="0.25">
      <c r="A79" s="214" t="str">
        <f>'IA Marks'!A79</f>
        <v>23N81A6271</v>
      </c>
      <c r="B79" s="215">
        <f>'IA Marks'!B79</f>
        <v>0</v>
      </c>
      <c r="C79" s="117"/>
      <c r="D79" s="117">
        <v>45</v>
      </c>
      <c r="E79" s="117">
        <v>45</v>
      </c>
      <c r="F79" s="117">
        <v>45</v>
      </c>
      <c r="G79" s="117">
        <v>45</v>
      </c>
      <c r="H79" s="117">
        <v>45</v>
      </c>
      <c r="I79" s="117">
        <v>45</v>
      </c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207"/>
      <c r="AB79" s="207"/>
      <c r="AC79" s="207"/>
      <c r="AD79" s="207"/>
      <c r="AE79" s="207"/>
      <c r="AF79" s="207"/>
      <c r="AG79" s="207"/>
      <c r="AH79" s="207"/>
      <c r="AI79" s="128">
        <f t="shared" si="30"/>
        <v>45</v>
      </c>
      <c r="AJ79" s="129">
        <f t="shared" si="31"/>
        <v>60</v>
      </c>
      <c r="AK79" s="141">
        <f t="shared" si="24"/>
        <v>75</v>
      </c>
      <c r="AL79" s="131">
        <f t="shared" si="32"/>
        <v>45</v>
      </c>
      <c r="AM79" s="129">
        <f t="shared" si="33"/>
        <v>60</v>
      </c>
      <c r="AN79" s="141">
        <f t="shared" si="25"/>
        <v>75</v>
      </c>
      <c r="AO79" s="131">
        <f t="shared" si="34"/>
        <v>45</v>
      </c>
      <c r="AP79" s="129">
        <f t="shared" si="35"/>
        <v>60</v>
      </c>
      <c r="AQ79" s="141">
        <f t="shared" si="26"/>
        <v>75</v>
      </c>
      <c r="AR79" s="131">
        <f t="shared" si="36"/>
        <v>45</v>
      </c>
      <c r="AS79" s="129">
        <f t="shared" si="37"/>
        <v>60</v>
      </c>
      <c r="AT79" s="141">
        <f t="shared" si="27"/>
        <v>75</v>
      </c>
      <c r="AU79" s="131">
        <f t="shared" si="38"/>
        <v>45</v>
      </c>
      <c r="AV79" s="129">
        <f t="shared" si="39"/>
        <v>60</v>
      </c>
      <c r="AW79" s="141">
        <f t="shared" si="28"/>
        <v>75</v>
      </c>
      <c r="AX79" s="131">
        <f t="shared" si="40"/>
        <v>45</v>
      </c>
      <c r="AY79" s="129">
        <f t="shared" si="41"/>
        <v>60</v>
      </c>
      <c r="AZ79" s="141">
        <f t="shared" si="29"/>
        <v>75</v>
      </c>
    </row>
    <row r="80" ht="15.75" customHeight="1" spans="1:52" x14ac:dyDescent="0.25">
      <c r="A80" s="214" t="str">
        <f>'IA Marks'!A80</f>
        <v>23N81A6272</v>
      </c>
      <c r="B80" s="215">
        <f>'IA Marks'!B80</f>
        <v>0</v>
      </c>
      <c r="C80" s="117"/>
      <c r="D80" s="117">
        <v>45</v>
      </c>
      <c r="E80" s="117">
        <v>45</v>
      </c>
      <c r="F80" s="117">
        <v>45</v>
      </c>
      <c r="G80" s="117">
        <v>45</v>
      </c>
      <c r="H80" s="117">
        <v>45</v>
      </c>
      <c r="I80" s="117">
        <v>45</v>
      </c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207"/>
      <c r="AB80" s="207"/>
      <c r="AC80" s="207"/>
      <c r="AD80" s="207"/>
      <c r="AE80" s="207"/>
      <c r="AF80" s="207"/>
      <c r="AG80" s="207"/>
      <c r="AH80" s="207"/>
      <c r="AI80" s="128">
        <f t="shared" si="30"/>
        <v>45</v>
      </c>
      <c r="AJ80" s="129">
        <f t="shared" si="31"/>
        <v>60</v>
      </c>
      <c r="AK80" s="141">
        <f t="shared" si="24"/>
        <v>75</v>
      </c>
      <c r="AL80" s="131">
        <f t="shared" si="32"/>
        <v>45</v>
      </c>
      <c r="AM80" s="129">
        <f t="shared" si="33"/>
        <v>60</v>
      </c>
      <c r="AN80" s="141">
        <f t="shared" si="25"/>
        <v>75</v>
      </c>
      <c r="AO80" s="131">
        <f t="shared" si="34"/>
        <v>45</v>
      </c>
      <c r="AP80" s="129">
        <f t="shared" si="35"/>
        <v>60</v>
      </c>
      <c r="AQ80" s="141">
        <f t="shared" si="26"/>
        <v>75</v>
      </c>
      <c r="AR80" s="131">
        <f t="shared" si="36"/>
        <v>45</v>
      </c>
      <c r="AS80" s="129">
        <f t="shared" si="37"/>
        <v>60</v>
      </c>
      <c r="AT80" s="141">
        <f t="shared" si="27"/>
        <v>75</v>
      </c>
      <c r="AU80" s="131">
        <f t="shared" si="38"/>
        <v>45</v>
      </c>
      <c r="AV80" s="129">
        <f t="shared" si="39"/>
        <v>60</v>
      </c>
      <c r="AW80" s="141">
        <f t="shared" si="28"/>
        <v>75</v>
      </c>
      <c r="AX80" s="131">
        <f t="shared" si="40"/>
        <v>45</v>
      </c>
      <c r="AY80" s="129">
        <f t="shared" si="41"/>
        <v>60</v>
      </c>
      <c r="AZ80" s="141">
        <f t="shared" si="29"/>
        <v>75</v>
      </c>
    </row>
    <row r="81" ht="15.75" customHeight="1" spans="1:52" x14ac:dyDescent="0.25">
      <c r="A81" s="214" t="str">
        <f>'IA Marks'!A81</f>
        <v>23N81A6273</v>
      </c>
      <c r="B81" s="215">
        <f>'IA Marks'!B81</f>
        <v>0</v>
      </c>
      <c r="C81" s="117"/>
      <c r="D81" s="117">
        <v>45</v>
      </c>
      <c r="E81" s="117">
        <v>45</v>
      </c>
      <c r="F81" s="117">
        <v>45</v>
      </c>
      <c r="G81" s="117">
        <v>45</v>
      </c>
      <c r="H81" s="117">
        <v>45</v>
      </c>
      <c r="I81" s="117">
        <v>45</v>
      </c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207"/>
      <c r="AB81" s="207"/>
      <c r="AC81" s="207"/>
      <c r="AD81" s="207"/>
      <c r="AE81" s="207"/>
      <c r="AF81" s="207"/>
      <c r="AG81" s="207"/>
      <c r="AH81" s="207"/>
      <c r="AI81" s="128">
        <f t="shared" si="30"/>
        <v>45</v>
      </c>
      <c r="AJ81" s="129">
        <f t="shared" si="31"/>
        <v>60</v>
      </c>
      <c r="AK81" s="141">
        <f t="shared" si="24"/>
        <v>75</v>
      </c>
      <c r="AL81" s="131">
        <f t="shared" si="32"/>
        <v>45</v>
      </c>
      <c r="AM81" s="129">
        <f t="shared" si="33"/>
        <v>60</v>
      </c>
      <c r="AN81" s="141">
        <f t="shared" si="25"/>
        <v>75</v>
      </c>
      <c r="AO81" s="131">
        <f t="shared" si="34"/>
        <v>45</v>
      </c>
      <c r="AP81" s="129">
        <f t="shared" si="35"/>
        <v>60</v>
      </c>
      <c r="AQ81" s="141">
        <f t="shared" si="26"/>
        <v>75</v>
      </c>
      <c r="AR81" s="131">
        <f t="shared" si="36"/>
        <v>45</v>
      </c>
      <c r="AS81" s="129">
        <f t="shared" si="37"/>
        <v>60</v>
      </c>
      <c r="AT81" s="141">
        <f t="shared" si="27"/>
        <v>75</v>
      </c>
      <c r="AU81" s="131">
        <f t="shared" si="38"/>
        <v>45</v>
      </c>
      <c r="AV81" s="129">
        <f t="shared" si="39"/>
        <v>60</v>
      </c>
      <c r="AW81" s="141">
        <f t="shared" si="28"/>
        <v>75</v>
      </c>
      <c r="AX81" s="131">
        <f t="shared" si="40"/>
        <v>45</v>
      </c>
      <c r="AY81" s="129">
        <f t="shared" si="41"/>
        <v>60</v>
      </c>
      <c r="AZ81" s="141">
        <f t="shared" si="29"/>
        <v>75</v>
      </c>
    </row>
    <row r="82" ht="15.75" customHeight="1" spans="1:52" x14ac:dyDescent="0.25">
      <c r="A82" s="214" t="str">
        <f>'IA Marks'!A82</f>
        <v>23N81A6274</v>
      </c>
      <c r="B82" s="215">
        <f>'IA Marks'!B82</f>
        <v>0</v>
      </c>
      <c r="C82" s="117"/>
      <c r="D82" s="117">
        <v>45</v>
      </c>
      <c r="E82" s="117">
        <v>45</v>
      </c>
      <c r="F82" s="117">
        <v>45</v>
      </c>
      <c r="G82" s="117">
        <v>45</v>
      </c>
      <c r="H82" s="117">
        <v>45</v>
      </c>
      <c r="I82" s="117">
        <v>45</v>
      </c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207"/>
      <c r="AB82" s="207"/>
      <c r="AC82" s="207"/>
      <c r="AD82" s="207"/>
      <c r="AE82" s="207"/>
      <c r="AF82" s="207"/>
      <c r="AG82" s="207"/>
      <c r="AH82" s="207"/>
      <c r="AI82" s="128">
        <f t="shared" si="30"/>
        <v>45</v>
      </c>
      <c r="AJ82" s="129">
        <f t="shared" si="31"/>
        <v>60</v>
      </c>
      <c r="AK82" s="141">
        <f t="shared" si="24"/>
        <v>75</v>
      </c>
      <c r="AL82" s="131">
        <f t="shared" si="32"/>
        <v>45</v>
      </c>
      <c r="AM82" s="129">
        <f t="shared" si="33"/>
        <v>60</v>
      </c>
      <c r="AN82" s="141">
        <f t="shared" si="25"/>
        <v>75</v>
      </c>
      <c r="AO82" s="131">
        <f t="shared" si="34"/>
        <v>45</v>
      </c>
      <c r="AP82" s="129">
        <f t="shared" si="35"/>
        <v>60</v>
      </c>
      <c r="AQ82" s="141">
        <f t="shared" si="26"/>
        <v>75</v>
      </c>
      <c r="AR82" s="131">
        <f t="shared" si="36"/>
        <v>45</v>
      </c>
      <c r="AS82" s="129">
        <f t="shared" si="37"/>
        <v>60</v>
      </c>
      <c r="AT82" s="141">
        <f t="shared" si="27"/>
        <v>75</v>
      </c>
      <c r="AU82" s="131">
        <f t="shared" si="38"/>
        <v>45</v>
      </c>
      <c r="AV82" s="129">
        <f t="shared" si="39"/>
        <v>60</v>
      </c>
      <c r="AW82" s="141">
        <f t="shared" si="28"/>
        <v>75</v>
      </c>
      <c r="AX82" s="131">
        <f t="shared" si="40"/>
        <v>45</v>
      </c>
      <c r="AY82" s="129">
        <f t="shared" si="41"/>
        <v>60</v>
      </c>
      <c r="AZ82" s="141">
        <f t="shared" si="29"/>
        <v>75</v>
      </c>
    </row>
    <row r="83" ht="15.75" customHeight="1" spans="1:52" x14ac:dyDescent="0.25">
      <c r="A83" s="214" t="str">
        <f>'IA Marks'!A83</f>
        <v>23N81A6275</v>
      </c>
      <c r="B83" s="215">
        <f>'IA Marks'!B83</f>
        <v>0</v>
      </c>
      <c r="C83" s="117"/>
      <c r="D83" s="117">
        <v>45</v>
      </c>
      <c r="E83" s="117">
        <v>45</v>
      </c>
      <c r="F83" s="117">
        <v>45</v>
      </c>
      <c r="G83" s="117">
        <v>45</v>
      </c>
      <c r="H83" s="117">
        <v>45</v>
      </c>
      <c r="I83" s="117">
        <v>45</v>
      </c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207"/>
      <c r="AB83" s="207"/>
      <c r="AC83" s="207"/>
      <c r="AD83" s="207"/>
      <c r="AE83" s="207"/>
      <c r="AF83" s="207"/>
      <c r="AG83" s="207"/>
      <c r="AH83" s="207"/>
      <c r="AI83" s="128">
        <f t="shared" si="30"/>
        <v>45</v>
      </c>
      <c r="AJ83" s="129">
        <f t="shared" si="31"/>
        <v>60</v>
      </c>
      <c r="AK83" s="141">
        <f t="shared" si="24"/>
        <v>75</v>
      </c>
      <c r="AL83" s="131">
        <f t="shared" si="32"/>
        <v>45</v>
      </c>
      <c r="AM83" s="129">
        <f t="shared" si="33"/>
        <v>60</v>
      </c>
      <c r="AN83" s="141">
        <f t="shared" si="25"/>
        <v>75</v>
      </c>
      <c r="AO83" s="131">
        <f t="shared" si="34"/>
        <v>45</v>
      </c>
      <c r="AP83" s="129">
        <f t="shared" si="35"/>
        <v>60</v>
      </c>
      <c r="AQ83" s="141">
        <f t="shared" si="26"/>
        <v>75</v>
      </c>
      <c r="AR83" s="131">
        <f t="shared" si="36"/>
        <v>45</v>
      </c>
      <c r="AS83" s="129">
        <f t="shared" si="37"/>
        <v>60</v>
      </c>
      <c r="AT83" s="141">
        <f t="shared" si="27"/>
        <v>75</v>
      </c>
      <c r="AU83" s="131">
        <f t="shared" si="38"/>
        <v>45</v>
      </c>
      <c r="AV83" s="129">
        <f t="shared" si="39"/>
        <v>60</v>
      </c>
      <c r="AW83" s="141">
        <f t="shared" si="28"/>
        <v>75</v>
      </c>
      <c r="AX83" s="131">
        <f t="shared" si="40"/>
        <v>45</v>
      </c>
      <c r="AY83" s="129">
        <f t="shared" si="41"/>
        <v>60</v>
      </c>
      <c r="AZ83" s="141">
        <f t="shared" si="29"/>
        <v>75</v>
      </c>
    </row>
    <row r="84" ht="15.75" customHeight="1" spans="1:52" x14ac:dyDescent="0.25">
      <c r="A84" s="214" t="str">
        <f>'IA Marks'!A84</f>
        <v>23N81A6277</v>
      </c>
      <c r="B84" s="215">
        <f>'IA Marks'!B84</f>
        <v>0</v>
      </c>
      <c r="C84" s="117"/>
      <c r="D84" s="117">
        <v>45</v>
      </c>
      <c r="E84" s="117">
        <v>45</v>
      </c>
      <c r="F84" s="117">
        <v>45</v>
      </c>
      <c r="G84" s="117">
        <v>45</v>
      </c>
      <c r="H84" s="117">
        <v>45</v>
      </c>
      <c r="I84" s="117">
        <v>45</v>
      </c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207"/>
      <c r="AB84" s="207"/>
      <c r="AC84" s="207"/>
      <c r="AD84" s="207"/>
      <c r="AE84" s="207"/>
      <c r="AF84" s="207"/>
      <c r="AG84" s="207"/>
      <c r="AH84" s="207"/>
      <c r="AI84" s="128">
        <f t="shared" si="30"/>
        <v>45</v>
      </c>
      <c r="AJ84" s="129">
        <f t="shared" si="31"/>
        <v>60</v>
      </c>
      <c r="AK84" s="141">
        <f t="shared" si="24"/>
        <v>75</v>
      </c>
      <c r="AL84" s="131">
        <f t="shared" si="32"/>
        <v>45</v>
      </c>
      <c r="AM84" s="129">
        <f t="shared" si="33"/>
        <v>60</v>
      </c>
      <c r="AN84" s="141">
        <f t="shared" si="25"/>
        <v>75</v>
      </c>
      <c r="AO84" s="131">
        <f t="shared" si="34"/>
        <v>45</v>
      </c>
      <c r="AP84" s="129">
        <f t="shared" si="35"/>
        <v>60</v>
      </c>
      <c r="AQ84" s="141">
        <f t="shared" si="26"/>
        <v>75</v>
      </c>
      <c r="AR84" s="131">
        <f t="shared" si="36"/>
        <v>45</v>
      </c>
      <c r="AS84" s="129">
        <f t="shared" si="37"/>
        <v>60</v>
      </c>
      <c r="AT84" s="141">
        <f t="shared" si="27"/>
        <v>75</v>
      </c>
      <c r="AU84" s="131">
        <f t="shared" si="38"/>
        <v>45</v>
      </c>
      <c r="AV84" s="129">
        <f t="shared" si="39"/>
        <v>60</v>
      </c>
      <c r="AW84" s="141">
        <f t="shared" si="28"/>
        <v>75</v>
      </c>
      <c r="AX84" s="131">
        <f t="shared" si="40"/>
        <v>45</v>
      </c>
      <c r="AY84" s="129">
        <f t="shared" si="41"/>
        <v>60</v>
      </c>
      <c r="AZ84" s="141">
        <f t="shared" si="29"/>
        <v>75</v>
      </c>
    </row>
    <row r="85" ht="15.75" customHeight="1" spans="1:52" x14ac:dyDescent="0.25">
      <c r="A85" s="214" t="str">
        <f>'IA Marks'!A85</f>
        <v>23N81A6278</v>
      </c>
      <c r="B85" s="215">
        <f>'IA Marks'!B85</f>
        <v>0</v>
      </c>
      <c r="C85" s="117"/>
      <c r="D85" s="117">
        <v>45</v>
      </c>
      <c r="E85" s="117">
        <v>45</v>
      </c>
      <c r="F85" s="117">
        <v>45</v>
      </c>
      <c r="G85" s="117">
        <v>45</v>
      </c>
      <c r="H85" s="117">
        <v>45</v>
      </c>
      <c r="I85" s="117">
        <v>45</v>
      </c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207"/>
      <c r="AB85" s="207"/>
      <c r="AC85" s="207"/>
      <c r="AD85" s="207"/>
      <c r="AE85" s="207"/>
      <c r="AF85" s="207"/>
      <c r="AG85" s="207"/>
      <c r="AH85" s="207"/>
      <c r="AI85" s="128">
        <f t="shared" si="30"/>
        <v>45</v>
      </c>
      <c r="AJ85" s="129">
        <f t="shared" si="31"/>
        <v>60</v>
      </c>
      <c r="AK85" s="141">
        <f t="shared" si="24"/>
        <v>75</v>
      </c>
      <c r="AL85" s="131">
        <f t="shared" si="32"/>
        <v>45</v>
      </c>
      <c r="AM85" s="129">
        <f t="shared" si="33"/>
        <v>60</v>
      </c>
      <c r="AN85" s="141">
        <f t="shared" si="25"/>
        <v>75</v>
      </c>
      <c r="AO85" s="131">
        <f t="shared" si="34"/>
        <v>45</v>
      </c>
      <c r="AP85" s="129">
        <f t="shared" si="35"/>
        <v>60</v>
      </c>
      <c r="AQ85" s="141">
        <f t="shared" si="26"/>
        <v>75</v>
      </c>
      <c r="AR85" s="131">
        <f t="shared" si="36"/>
        <v>45</v>
      </c>
      <c r="AS85" s="129">
        <f t="shared" si="37"/>
        <v>60</v>
      </c>
      <c r="AT85" s="141">
        <f t="shared" si="27"/>
        <v>75</v>
      </c>
      <c r="AU85" s="131">
        <f t="shared" si="38"/>
        <v>45</v>
      </c>
      <c r="AV85" s="129">
        <f t="shared" si="39"/>
        <v>60</v>
      </c>
      <c r="AW85" s="141">
        <f t="shared" si="28"/>
        <v>75</v>
      </c>
      <c r="AX85" s="131">
        <f t="shared" si="40"/>
        <v>45</v>
      </c>
      <c r="AY85" s="129">
        <f t="shared" si="41"/>
        <v>60</v>
      </c>
      <c r="AZ85" s="141">
        <f t="shared" si="29"/>
        <v>75</v>
      </c>
    </row>
    <row r="86" ht="15.75" customHeight="1" spans="1:52" x14ac:dyDescent="0.25">
      <c r="A86" s="214" t="str">
        <f>'IA Marks'!A86</f>
        <v>23N81A6279</v>
      </c>
      <c r="B86" s="215">
        <f>'IA Marks'!B86</f>
        <v>0</v>
      </c>
      <c r="C86" s="117"/>
      <c r="D86" s="117">
        <v>45</v>
      </c>
      <c r="E86" s="117">
        <v>45</v>
      </c>
      <c r="F86" s="117">
        <v>45</v>
      </c>
      <c r="G86" s="117">
        <v>45</v>
      </c>
      <c r="H86" s="117">
        <v>45</v>
      </c>
      <c r="I86" s="117">
        <v>45</v>
      </c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207"/>
      <c r="AB86" s="207"/>
      <c r="AC86" s="207"/>
      <c r="AD86" s="207"/>
      <c r="AE86" s="207"/>
      <c r="AF86" s="207"/>
      <c r="AG86" s="207"/>
      <c r="AH86" s="207"/>
      <c r="AI86" s="128">
        <f t="shared" si="30"/>
        <v>45</v>
      </c>
      <c r="AJ86" s="129">
        <f t="shared" si="31"/>
        <v>60</v>
      </c>
      <c r="AK86" s="141">
        <f t="shared" si="24"/>
        <v>75</v>
      </c>
      <c r="AL86" s="131">
        <f t="shared" si="32"/>
        <v>45</v>
      </c>
      <c r="AM86" s="129">
        <f t="shared" si="33"/>
        <v>60</v>
      </c>
      <c r="AN86" s="141">
        <f t="shared" si="25"/>
        <v>75</v>
      </c>
      <c r="AO86" s="131">
        <f t="shared" si="34"/>
        <v>45</v>
      </c>
      <c r="AP86" s="129">
        <f t="shared" si="35"/>
        <v>60</v>
      </c>
      <c r="AQ86" s="141">
        <f t="shared" si="26"/>
        <v>75</v>
      </c>
      <c r="AR86" s="131">
        <f t="shared" si="36"/>
        <v>45</v>
      </c>
      <c r="AS86" s="129">
        <f t="shared" si="37"/>
        <v>60</v>
      </c>
      <c r="AT86" s="141">
        <f t="shared" si="27"/>
        <v>75</v>
      </c>
      <c r="AU86" s="131">
        <f t="shared" si="38"/>
        <v>45</v>
      </c>
      <c r="AV86" s="129">
        <f t="shared" si="39"/>
        <v>60</v>
      </c>
      <c r="AW86" s="141">
        <f t="shared" si="28"/>
        <v>75</v>
      </c>
      <c r="AX86" s="131">
        <f t="shared" si="40"/>
        <v>45</v>
      </c>
      <c r="AY86" s="129">
        <f t="shared" si="41"/>
        <v>60</v>
      </c>
      <c r="AZ86" s="141">
        <f t="shared" si="29"/>
        <v>75</v>
      </c>
    </row>
    <row r="87" ht="15.75" customHeight="1" spans="1:52" x14ac:dyDescent="0.25">
      <c r="A87" s="214" t="str">
        <f>'IA Marks'!A87</f>
        <v>23N81A6280</v>
      </c>
      <c r="B87" s="215">
        <f>'IA Marks'!B87</f>
        <v>0</v>
      </c>
      <c r="C87" s="117"/>
      <c r="D87" s="117">
        <v>45</v>
      </c>
      <c r="E87" s="117">
        <v>45</v>
      </c>
      <c r="F87" s="117">
        <v>45</v>
      </c>
      <c r="G87" s="117">
        <v>45</v>
      </c>
      <c r="H87" s="117">
        <v>45</v>
      </c>
      <c r="I87" s="117">
        <v>45</v>
      </c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207"/>
      <c r="AB87" s="207"/>
      <c r="AC87" s="207"/>
      <c r="AD87" s="207"/>
      <c r="AE87" s="207"/>
      <c r="AF87" s="207"/>
      <c r="AG87" s="207"/>
      <c r="AH87" s="207"/>
      <c r="AI87" s="128">
        <f t="shared" si="30"/>
        <v>45</v>
      </c>
      <c r="AJ87" s="129">
        <f t="shared" si="31"/>
        <v>60</v>
      </c>
      <c r="AK87" s="141">
        <f t="shared" si="24"/>
        <v>75</v>
      </c>
      <c r="AL87" s="131">
        <f t="shared" si="32"/>
        <v>45</v>
      </c>
      <c r="AM87" s="129">
        <f t="shared" si="33"/>
        <v>60</v>
      </c>
      <c r="AN87" s="141">
        <f t="shared" si="25"/>
        <v>75</v>
      </c>
      <c r="AO87" s="131">
        <f t="shared" si="34"/>
        <v>45</v>
      </c>
      <c r="AP87" s="129">
        <f t="shared" si="35"/>
        <v>60</v>
      </c>
      <c r="AQ87" s="141">
        <f t="shared" si="26"/>
        <v>75</v>
      </c>
      <c r="AR87" s="131">
        <f t="shared" si="36"/>
        <v>45</v>
      </c>
      <c r="AS87" s="129">
        <f t="shared" si="37"/>
        <v>60</v>
      </c>
      <c r="AT87" s="141">
        <f t="shared" si="27"/>
        <v>75</v>
      </c>
      <c r="AU87" s="131">
        <f t="shared" si="38"/>
        <v>45</v>
      </c>
      <c r="AV87" s="129">
        <f t="shared" si="39"/>
        <v>60</v>
      </c>
      <c r="AW87" s="141">
        <f t="shared" si="28"/>
        <v>75</v>
      </c>
      <c r="AX87" s="131">
        <f t="shared" si="40"/>
        <v>45</v>
      </c>
      <c r="AY87" s="129">
        <f t="shared" si="41"/>
        <v>60</v>
      </c>
      <c r="AZ87" s="141">
        <f t="shared" si="29"/>
        <v>75</v>
      </c>
    </row>
    <row r="88" ht="15.75" customHeight="1" spans="1:52" x14ac:dyDescent="0.25">
      <c r="A88" s="214" t="str">
        <f>'IA Marks'!A88</f>
        <v>23N81A6281</v>
      </c>
      <c r="B88" s="215">
        <f>'IA Marks'!B88</f>
        <v>0</v>
      </c>
      <c r="C88" s="117"/>
      <c r="D88" s="117">
        <v>45</v>
      </c>
      <c r="E88" s="117">
        <v>45</v>
      </c>
      <c r="F88" s="117">
        <v>45</v>
      </c>
      <c r="G88" s="117">
        <v>45</v>
      </c>
      <c r="H88" s="117">
        <v>45</v>
      </c>
      <c r="I88" s="117">
        <v>45</v>
      </c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207"/>
      <c r="AB88" s="207"/>
      <c r="AC88" s="207"/>
      <c r="AD88" s="207"/>
      <c r="AE88" s="207"/>
      <c r="AF88" s="207"/>
      <c r="AG88" s="207"/>
      <c r="AH88" s="207"/>
      <c r="AI88" s="128">
        <f t="shared" si="30"/>
        <v>45</v>
      </c>
      <c r="AJ88" s="129">
        <f t="shared" si="31"/>
        <v>60</v>
      </c>
      <c r="AK88" s="141">
        <f t="shared" si="24"/>
        <v>75</v>
      </c>
      <c r="AL88" s="131">
        <f t="shared" si="32"/>
        <v>45</v>
      </c>
      <c r="AM88" s="129">
        <f t="shared" si="33"/>
        <v>60</v>
      </c>
      <c r="AN88" s="141">
        <f t="shared" si="25"/>
        <v>75</v>
      </c>
      <c r="AO88" s="131">
        <f t="shared" si="34"/>
        <v>45</v>
      </c>
      <c r="AP88" s="129">
        <f t="shared" si="35"/>
        <v>60</v>
      </c>
      <c r="AQ88" s="141">
        <f t="shared" si="26"/>
        <v>75</v>
      </c>
      <c r="AR88" s="131">
        <f t="shared" si="36"/>
        <v>45</v>
      </c>
      <c r="AS88" s="129">
        <f t="shared" si="37"/>
        <v>60</v>
      </c>
      <c r="AT88" s="141">
        <f t="shared" si="27"/>
        <v>75</v>
      </c>
      <c r="AU88" s="131">
        <f t="shared" si="38"/>
        <v>45</v>
      </c>
      <c r="AV88" s="129">
        <f t="shared" si="39"/>
        <v>60</v>
      </c>
      <c r="AW88" s="141">
        <f t="shared" si="28"/>
        <v>75</v>
      </c>
      <c r="AX88" s="131">
        <f t="shared" si="40"/>
        <v>45</v>
      </c>
      <c r="AY88" s="129">
        <f t="shared" si="41"/>
        <v>60</v>
      </c>
      <c r="AZ88" s="141">
        <f t="shared" si="29"/>
        <v>75</v>
      </c>
    </row>
    <row r="89" ht="15.75" customHeight="1" spans="1:52" x14ac:dyDescent="0.25">
      <c r="A89" s="214" t="str">
        <f>'IA Marks'!A89</f>
        <v>23N81A6282</v>
      </c>
      <c r="B89" s="215">
        <f>'IA Marks'!B89</f>
        <v>0</v>
      </c>
      <c r="C89" s="117"/>
      <c r="D89" s="117">
        <v>45</v>
      </c>
      <c r="E89" s="117">
        <v>45</v>
      </c>
      <c r="F89" s="117">
        <v>45</v>
      </c>
      <c r="G89" s="117">
        <v>45</v>
      </c>
      <c r="H89" s="117">
        <v>45</v>
      </c>
      <c r="I89" s="117">
        <v>45</v>
      </c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207"/>
      <c r="AB89" s="207"/>
      <c r="AC89" s="207"/>
      <c r="AD89" s="207"/>
      <c r="AE89" s="207"/>
      <c r="AF89" s="207"/>
      <c r="AG89" s="207"/>
      <c r="AH89" s="207"/>
      <c r="AI89" s="128">
        <f t="shared" si="30"/>
        <v>45</v>
      </c>
      <c r="AJ89" s="129">
        <f t="shared" si="31"/>
        <v>60</v>
      </c>
      <c r="AK89" s="141">
        <f t="shared" si="24"/>
        <v>75</v>
      </c>
      <c r="AL89" s="131">
        <f t="shared" si="32"/>
        <v>45</v>
      </c>
      <c r="AM89" s="129">
        <f t="shared" si="33"/>
        <v>60</v>
      </c>
      <c r="AN89" s="141">
        <f t="shared" si="25"/>
        <v>75</v>
      </c>
      <c r="AO89" s="131">
        <f t="shared" si="34"/>
        <v>45</v>
      </c>
      <c r="AP89" s="129">
        <f t="shared" si="35"/>
        <v>60</v>
      </c>
      <c r="AQ89" s="141">
        <f t="shared" si="26"/>
        <v>75</v>
      </c>
      <c r="AR89" s="131">
        <f t="shared" si="36"/>
        <v>45</v>
      </c>
      <c r="AS89" s="129">
        <f t="shared" si="37"/>
        <v>60</v>
      </c>
      <c r="AT89" s="141">
        <f t="shared" si="27"/>
        <v>75</v>
      </c>
      <c r="AU89" s="131">
        <f t="shared" si="38"/>
        <v>45</v>
      </c>
      <c r="AV89" s="129">
        <f t="shared" si="39"/>
        <v>60</v>
      </c>
      <c r="AW89" s="141">
        <f t="shared" si="28"/>
        <v>75</v>
      </c>
      <c r="AX89" s="131">
        <f t="shared" si="40"/>
        <v>45</v>
      </c>
      <c r="AY89" s="129">
        <f t="shared" si="41"/>
        <v>60</v>
      </c>
      <c r="AZ89" s="141">
        <f t="shared" si="29"/>
        <v>75</v>
      </c>
    </row>
    <row r="90" ht="15.75" customHeight="1" spans="1:52" x14ac:dyDescent="0.25">
      <c r="A90" s="214" t="str">
        <f>'IA Marks'!A90</f>
        <v>23N81A6283</v>
      </c>
      <c r="B90" s="215">
        <f>'IA Marks'!B90</f>
        <v>0</v>
      </c>
      <c r="C90" s="117"/>
      <c r="D90" s="117">
        <v>45</v>
      </c>
      <c r="E90" s="117">
        <v>45</v>
      </c>
      <c r="F90" s="117">
        <v>45</v>
      </c>
      <c r="G90" s="117">
        <v>45</v>
      </c>
      <c r="H90" s="117">
        <v>45</v>
      </c>
      <c r="I90" s="117">
        <v>45</v>
      </c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207"/>
      <c r="AB90" s="207"/>
      <c r="AC90" s="207"/>
      <c r="AD90" s="207"/>
      <c r="AE90" s="207"/>
      <c r="AF90" s="207"/>
      <c r="AG90" s="207"/>
      <c r="AH90" s="207"/>
      <c r="AI90" s="128">
        <f t="shared" si="30"/>
        <v>45</v>
      </c>
      <c r="AJ90" s="129">
        <f t="shared" si="31"/>
        <v>60</v>
      </c>
      <c r="AK90" s="141">
        <f t="shared" si="24"/>
        <v>75</v>
      </c>
      <c r="AL90" s="131">
        <f t="shared" si="32"/>
        <v>45</v>
      </c>
      <c r="AM90" s="129">
        <f t="shared" si="33"/>
        <v>60</v>
      </c>
      <c r="AN90" s="141">
        <f t="shared" si="25"/>
        <v>75</v>
      </c>
      <c r="AO90" s="131">
        <f t="shared" si="34"/>
        <v>45</v>
      </c>
      <c r="AP90" s="129">
        <f t="shared" si="35"/>
        <v>60</v>
      </c>
      <c r="AQ90" s="141">
        <f t="shared" si="26"/>
        <v>75</v>
      </c>
      <c r="AR90" s="131">
        <f t="shared" si="36"/>
        <v>45</v>
      </c>
      <c r="AS90" s="129">
        <f t="shared" si="37"/>
        <v>60</v>
      </c>
      <c r="AT90" s="141">
        <f t="shared" si="27"/>
        <v>75</v>
      </c>
      <c r="AU90" s="131">
        <f t="shared" si="38"/>
        <v>45</v>
      </c>
      <c r="AV90" s="129">
        <f t="shared" si="39"/>
        <v>60</v>
      </c>
      <c r="AW90" s="141">
        <f t="shared" si="28"/>
        <v>75</v>
      </c>
      <c r="AX90" s="131">
        <f t="shared" si="40"/>
        <v>45</v>
      </c>
      <c r="AY90" s="129">
        <f t="shared" si="41"/>
        <v>60</v>
      </c>
      <c r="AZ90" s="141">
        <f t="shared" si="29"/>
        <v>75</v>
      </c>
    </row>
    <row r="91" ht="15.75" customHeight="1" spans="1:52" x14ac:dyDescent="0.25">
      <c r="A91" s="214" t="str">
        <f>'IA Marks'!A91</f>
        <v>23N81A6284</v>
      </c>
      <c r="B91" s="215">
        <f>'IA Marks'!B91</f>
        <v>0</v>
      </c>
      <c r="C91" s="117"/>
      <c r="D91" s="117">
        <v>45</v>
      </c>
      <c r="E91" s="117">
        <v>45</v>
      </c>
      <c r="F91" s="117">
        <v>45</v>
      </c>
      <c r="G91" s="117">
        <v>45</v>
      </c>
      <c r="H91" s="117">
        <v>45</v>
      </c>
      <c r="I91" s="117">
        <v>45</v>
      </c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207"/>
      <c r="AB91" s="207"/>
      <c r="AC91" s="207"/>
      <c r="AD91" s="207"/>
      <c r="AE91" s="207"/>
      <c r="AF91" s="207"/>
      <c r="AG91" s="207"/>
      <c r="AH91" s="207"/>
      <c r="AI91" s="128">
        <f t="shared" si="30"/>
        <v>45</v>
      </c>
      <c r="AJ91" s="129">
        <f t="shared" si="31"/>
        <v>60</v>
      </c>
      <c r="AK91" s="141">
        <f t="shared" si="24"/>
        <v>75</v>
      </c>
      <c r="AL91" s="131">
        <f t="shared" si="32"/>
        <v>45</v>
      </c>
      <c r="AM91" s="129">
        <f t="shared" si="33"/>
        <v>60</v>
      </c>
      <c r="AN91" s="141">
        <f t="shared" si="25"/>
        <v>75</v>
      </c>
      <c r="AO91" s="131">
        <f t="shared" si="34"/>
        <v>45</v>
      </c>
      <c r="AP91" s="129">
        <f t="shared" si="35"/>
        <v>60</v>
      </c>
      <c r="AQ91" s="141">
        <f t="shared" si="26"/>
        <v>75</v>
      </c>
      <c r="AR91" s="131">
        <f t="shared" si="36"/>
        <v>45</v>
      </c>
      <c r="AS91" s="129">
        <f t="shared" si="37"/>
        <v>60</v>
      </c>
      <c r="AT91" s="141">
        <f t="shared" si="27"/>
        <v>75</v>
      </c>
      <c r="AU91" s="131">
        <f t="shared" si="38"/>
        <v>45</v>
      </c>
      <c r="AV91" s="129">
        <f t="shared" si="39"/>
        <v>60</v>
      </c>
      <c r="AW91" s="141">
        <f t="shared" si="28"/>
        <v>75</v>
      </c>
      <c r="AX91" s="131">
        <f t="shared" si="40"/>
        <v>45</v>
      </c>
      <c r="AY91" s="129">
        <f t="shared" si="41"/>
        <v>60</v>
      </c>
      <c r="AZ91" s="141">
        <f t="shared" si="29"/>
        <v>75</v>
      </c>
    </row>
    <row r="92" ht="15.75" customHeight="1" spans="1:52" x14ac:dyDescent="0.25">
      <c r="A92" s="214" t="str">
        <f>'IA Marks'!A92</f>
        <v>23N81A6285</v>
      </c>
      <c r="B92" s="215">
        <f>'IA Marks'!B92</f>
        <v>0</v>
      </c>
      <c r="C92" s="117"/>
      <c r="D92" s="117">
        <v>45</v>
      </c>
      <c r="E92" s="117">
        <v>45</v>
      </c>
      <c r="F92" s="117">
        <v>45</v>
      </c>
      <c r="G92" s="117">
        <v>45</v>
      </c>
      <c r="H92" s="117">
        <v>45</v>
      </c>
      <c r="I92" s="117">
        <v>45</v>
      </c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207"/>
      <c r="AB92" s="207"/>
      <c r="AC92" s="207"/>
      <c r="AD92" s="207"/>
      <c r="AE92" s="207"/>
      <c r="AF92" s="207"/>
      <c r="AG92" s="207"/>
      <c r="AH92" s="207"/>
      <c r="AI92" s="128">
        <f t="shared" si="30"/>
        <v>45</v>
      </c>
      <c r="AJ92" s="129">
        <f t="shared" si="31"/>
        <v>60</v>
      </c>
      <c r="AK92" s="141">
        <f t="shared" si="24"/>
        <v>75</v>
      </c>
      <c r="AL92" s="131">
        <f t="shared" si="32"/>
        <v>45</v>
      </c>
      <c r="AM92" s="129">
        <f t="shared" si="33"/>
        <v>60</v>
      </c>
      <c r="AN92" s="141">
        <f t="shared" si="25"/>
        <v>75</v>
      </c>
      <c r="AO92" s="131">
        <f t="shared" si="34"/>
        <v>45</v>
      </c>
      <c r="AP92" s="129">
        <f t="shared" si="35"/>
        <v>60</v>
      </c>
      <c r="AQ92" s="141">
        <f t="shared" si="26"/>
        <v>75</v>
      </c>
      <c r="AR92" s="131">
        <f t="shared" si="36"/>
        <v>45</v>
      </c>
      <c r="AS92" s="129">
        <f t="shared" si="37"/>
        <v>60</v>
      </c>
      <c r="AT92" s="141">
        <f t="shared" si="27"/>
        <v>75</v>
      </c>
      <c r="AU92" s="131">
        <f t="shared" si="38"/>
        <v>45</v>
      </c>
      <c r="AV92" s="129">
        <f t="shared" si="39"/>
        <v>60</v>
      </c>
      <c r="AW92" s="141">
        <f t="shared" si="28"/>
        <v>75</v>
      </c>
      <c r="AX92" s="131">
        <f t="shared" si="40"/>
        <v>45</v>
      </c>
      <c r="AY92" s="129">
        <f t="shared" si="41"/>
        <v>60</v>
      </c>
      <c r="AZ92" s="141">
        <f t="shared" si="29"/>
        <v>75</v>
      </c>
    </row>
    <row r="93" ht="15.75" customHeight="1" spans="1:52" x14ac:dyDescent="0.25">
      <c r="A93" s="214" t="str">
        <f>'IA Marks'!A93</f>
        <v>23N81A6286</v>
      </c>
      <c r="B93" s="215">
        <f>'IA Marks'!B93</f>
        <v>0</v>
      </c>
      <c r="C93" s="117"/>
      <c r="D93" s="117">
        <v>45</v>
      </c>
      <c r="E93" s="117">
        <v>45</v>
      </c>
      <c r="F93" s="117">
        <v>45</v>
      </c>
      <c r="G93" s="117">
        <v>45</v>
      </c>
      <c r="H93" s="117">
        <v>45</v>
      </c>
      <c r="I93" s="117">
        <v>45</v>
      </c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207"/>
      <c r="AB93" s="207"/>
      <c r="AC93" s="207"/>
      <c r="AD93" s="207"/>
      <c r="AE93" s="207"/>
      <c r="AF93" s="207"/>
      <c r="AG93" s="207"/>
      <c r="AH93" s="207"/>
      <c r="AI93" s="128">
        <f t="shared" si="30"/>
        <v>45</v>
      </c>
      <c r="AJ93" s="129">
        <f t="shared" si="31"/>
        <v>60</v>
      </c>
      <c r="AK93" s="141">
        <f t="shared" si="24"/>
        <v>75</v>
      </c>
      <c r="AL93" s="131">
        <f t="shared" si="32"/>
        <v>45</v>
      </c>
      <c r="AM93" s="129">
        <f t="shared" si="33"/>
        <v>60</v>
      </c>
      <c r="AN93" s="141">
        <f t="shared" si="25"/>
        <v>75</v>
      </c>
      <c r="AO93" s="131">
        <f t="shared" si="34"/>
        <v>45</v>
      </c>
      <c r="AP93" s="129">
        <f t="shared" si="35"/>
        <v>60</v>
      </c>
      <c r="AQ93" s="141">
        <f t="shared" si="26"/>
        <v>75</v>
      </c>
      <c r="AR93" s="131">
        <f t="shared" si="36"/>
        <v>45</v>
      </c>
      <c r="AS93" s="129">
        <f t="shared" si="37"/>
        <v>60</v>
      </c>
      <c r="AT93" s="141">
        <f t="shared" si="27"/>
        <v>75</v>
      </c>
      <c r="AU93" s="131">
        <f t="shared" si="38"/>
        <v>45</v>
      </c>
      <c r="AV93" s="129">
        <f t="shared" si="39"/>
        <v>60</v>
      </c>
      <c r="AW93" s="141">
        <f t="shared" si="28"/>
        <v>75</v>
      </c>
      <c r="AX93" s="131">
        <f t="shared" si="40"/>
        <v>45</v>
      </c>
      <c r="AY93" s="129">
        <f t="shared" si="41"/>
        <v>60</v>
      </c>
      <c r="AZ93" s="141">
        <f t="shared" si="29"/>
        <v>75</v>
      </c>
    </row>
    <row r="94" ht="15.75" customHeight="1" spans="1:52" x14ac:dyDescent="0.25">
      <c r="A94" s="214" t="str">
        <f>'IA Marks'!A94</f>
        <v>23N81A6287</v>
      </c>
      <c r="B94" s="215">
        <f>'IA Marks'!B94</f>
        <v>0</v>
      </c>
      <c r="C94" s="117"/>
      <c r="D94" s="117">
        <v>45</v>
      </c>
      <c r="E94" s="117">
        <v>45</v>
      </c>
      <c r="F94" s="117">
        <v>45</v>
      </c>
      <c r="G94" s="117">
        <v>45</v>
      </c>
      <c r="H94" s="117">
        <v>45</v>
      </c>
      <c r="I94" s="117">
        <v>45</v>
      </c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207"/>
      <c r="AB94" s="207"/>
      <c r="AC94" s="207"/>
      <c r="AD94" s="207"/>
      <c r="AE94" s="207"/>
      <c r="AF94" s="207"/>
      <c r="AG94" s="207"/>
      <c r="AH94" s="207"/>
      <c r="AI94" s="128">
        <f t="shared" si="30"/>
        <v>45</v>
      </c>
      <c r="AJ94" s="129">
        <f t="shared" si="31"/>
        <v>60</v>
      </c>
      <c r="AK94" s="141">
        <f t="shared" si="24"/>
        <v>75</v>
      </c>
      <c r="AL94" s="131">
        <f t="shared" si="32"/>
        <v>45</v>
      </c>
      <c r="AM94" s="129">
        <f t="shared" si="33"/>
        <v>60</v>
      </c>
      <c r="AN94" s="141">
        <f t="shared" si="25"/>
        <v>75</v>
      </c>
      <c r="AO94" s="131">
        <f t="shared" si="34"/>
        <v>45</v>
      </c>
      <c r="AP94" s="129">
        <f t="shared" si="35"/>
        <v>60</v>
      </c>
      <c r="AQ94" s="141">
        <f t="shared" si="26"/>
        <v>75</v>
      </c>
      <c r="AR94" s="131">
        <f t="shared" si="36"/>
        <v>45</v>
      </c>
      <c r="AS94" s="129">
        <f t="shared" si="37"/>
        <v>60</v>
      </c>
      <c r="AT94" s="141">
        <f t="shared" si="27"/>
        <v>75</v>
      </c>
      <c r="AU94" s="131">
        <f t="shared" si="38"/>
        <v>45</v>
      </c>
      <c r="AV94" s="129">
        <f t="shared" si="39"/>
        <v>60</v>
      </c>
      <c r="AW94" s="141">
        <f t="shared" si="28"/>
        <v>75</v>
      </c>
      <c r="AX94" s="131">
        <f t="shared" si="40"/>
        <v>45</v>
      </c>
      <c r="AY94" s="129">
        <f t="shared" si="41"/>
        <v>60</v>
      </c>
      <c r="AZ94" s="141">
        <f t="shared" si="29"/>
        <v>75</v>
      </c>
    </row>
    <row r="95" ht="15.75" customHeight="1" spans="1:52" x14ac:dyDescent="0.25">
      <c r="A95" s="214" t="str">
        <f>'IA Marks'!A95</f>
        <v>23N81A6288</v>
      </c>
      <c r="B95" s="215">
        <f>'IA Marks'!B95</f>
        <v>0</v>
      </c>
      <c r="C95" s="117"/>
      <c r="D95" s="117">
        <v>45</v>
      </c>
      <c r="E95" s="117">
        <v>45</v>
      </c>
      <c r="F95" s="117">
        <v>45</v>
      </c>
      <c r="G95" s="117">
        <v>45</v>
      </c>
      <c r="H95" s="117">
        <v>45</v>
      </c>
      <c r="I95" s="117">
        <v>45</v>
      </c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207"/>
      <c r="AB95" s="207"/>
      <c r="AC95" s="207"/>
      <c r="AD95" s="207"/>
      <c r="AE95" s="207"/>
      <c r="AF95" s="207"/>
      <c r="AG95" s="207"/>
      <c r="AH95" s="207"/>
      <c r="AI95" s="128">
        <f t="shared" si="30"/>
        <v>45</v>
      </c>
      <c r="AJ95" s="129">
        <f t="shared" si="31"/>
        <v>60</v>
      </c>
      <c r="AK95" s="141">
        <f t="shared" si="24"/>
        <v>75</v>
      </c>
      <c r="AL95" s="131">
        <f t="shared" si="32"/>
        <v>45</v>
      </c>
      <c r="AM95" s="129">
        <f t="shared" si="33"/>
        <v>60</v>
      </c>
      <c r="AN95" s="141">
        <f t="shared" si="25"/>
        <v>75</v>
      </c>
      <c r="AO95" s="131">
        <f t="shared" si="34"/>
        <v>45</v>
      </c>
      <c r="AP95" s="129">
        <f t="shared" si="35"/>
        <v>60</v>
      </c>
      <c r="AQ95" s="141">
        <f t="shared" si="26"/>
        <v>75</v>
      </c>
      <c r="AR95" s="131">
        <f t="shared" si="36"/>
        <v>45</v>
      </c>
      <c r="AS95" s="129">
        <f t="shared" si="37"/>
        <v>60</v>
      </c>
      <c r="AT95" s="141">
        <f t="shared" si="27"/>
        <v>75</v>
      </c>
      <c r="AU95" s="131">
        <f t="shared" si="38"/>
        <v>45</v>
      </c>
      <c r="AV95" s="129">
        <f t="shared" si="39"/>
        <v>60</v>
      </c>
      <c r="AW95" s="141">
        <f t="shared" si="28"/>
        <v>75</v>
      </c>
      <c r="AX95" s="131">
        <f t="shared" si="40"/>
        <v>45</v>
      </c>
      <c r="AY95" s="129">
        <f t="shared" si="41"/>
        <v>60</v>
      </c>
      <c r="AZ95" s="141">
        <f t="shared" si="29"/>
        <v>75</v>
      </c>
    </row>
    <row r="96" ht="15.75" customHeight="1" spans="1:52" x14ac:dyDescent="0.25">
      <c r="A96" s="214" t="str">
        <f>'IA Marks'!A96</f>
        <v>23N81A6290</v>
      </c>
      <c r="B96" s="215">
        <f>'IA Marks'!B96</f>
        <v>0</v>
      </c>
      <c r="C96" s="117"/>
      <c r="D96" s="117">
        <v>45</v>
      </c>
      <c r="E96" s="117">
        <v>45</v>
      </c>
      <c r="F96" s="117">
        <v>45</v>
      </c>
      <c r="G96" s="117">
        <v>45</v>
      </c>
      <c r="H96" s="117">
        <v>45</v>
      </c>
      <c r="I96" s="117">
        <v>45</v>
      </c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207"/>
      <c r="AB96" s="207"/>
      <c r="AC96" s="207"/>
      <c r="AD96" s="207"/>
      <c r="AE96" s="207"/>
      <c r="AF96" s="207"/>
      <c r="AG96" s="207"/>
      <c r="AH96" s="207"/>
      <c r="AI96" s="128">
        <f t="shared" si="30"/>
        <v>45</v>
      </c>
      <c r="AJ96" s="129">
        <f t="shared" si="31"/>
        <v>60</v>
      </c>
      <c r="AK96" s="141">
        <f t="shared" si="24"/>
        <v>75</v>
      </c>
      <c r="AL96" s="131">
        <f t="shared" si="32"/>
        <v>45</v>
      </c>
      <c r="AM96" s="129">
        <f t="shared" si="33"/>
        <v>60</v>
      </c>
      <c r="AN96" s="141">
        <f t="shared" si="25"/>
        <v>75</v>
      </c>
      <c r="AO96" s="131">
        <f t="shared" si="34"/>
        <v>45</v>
      </c>
      <c r="AP96" s="129">
        <f t="shared" si="35"/>
        <v>60</v>
      </c>
      <c r="AQ96" s="141">
        <f t="shared" si="26"/>
        <v>75</v>
      </c>
      <c r="AR96" s="131">
        <f t="shared" si="36"/>
        <v>45</v>
      </c>
      <c r="AS96" s="129">
        <f t="shared" si="37"/>
        <v>60</v>
      </c>
      <c r="AT96" s="141">
        <f t="shared" si="27"/>
        <v>75</v>
      </c>
      <c r="AU96" s="131">
        <f t="shared" si="38"/>
        <v>45</v>
      </c>
      <c r="AV96" s="129">
        <f t="shared" si="39"/>
        <v>60</v>
      </c>
      <c r="AW96" s="141">
        <f t="shared" si="28"/>
        <v>75</v>
      </c>
      <c r="AX96" s="131">
        <f t="shared" si="40"/>
        <v>45</v>
      </c>
      <c r="AY96" s="129">
        <f t="shared" si="41"/>
        <v>60</v>
      </c>
      <c r="AZ96" s="141">
        <f t="shared" si="29"/>
        <v>75</v>
      </c>
    </row>
    <row r="97" ht="15.75" customHeight="1" spans="1:52" x14ac:dyDescent="0.25">
      <c r="A97" s="214" t="str">
        <f>'IA Marks'!A97</f>
        <v>23N81A6291</v>
      </c>
      <c r="B97" s="215">
        <f>'IA Marks'!B97</f>
        <v>0</v>
      </c>
      <c r="C97" s="117"/>
      <c r="D97" s="117">
        <v>45</v>
      </c>
      <c r="E97" s="117">
        <v>45</v>
      </c>
      <c r="F97" s="117">
        <v>45</v>
      </c>
      <c r="G97" s="117">
        <v>45</v>
      </c>
      <c r="H97" s="117">
        <v>45</v>
      </c>
      <c r="I97" s="117">
        <v>45</v>
      </c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207"/>
      <c r="AB97" s="207"/>
      <c r="AC97" s="207"/>
      <c r="AD97" s="207"/>
      <c r="AE97" s="207"/>
      <c r="AF97" s="207"/>
      <c r="AG97" s="207"/>
      <c r="AH97" s="207"/>
      <c r="AI97" s="128">
        <f t="shared" si="30"/>
        <v>45</v>
      </c>
      <c r="AJ97" s="129">
        <f t="shared" si="31"/>
        <v>60</v>
      </c>
      <c r="AK97" s="141">
        <f t="shared" si="24"/>
        <v>75</v>
      </c>
      <c r="AL97" s="131">
        <f t="shared" si="32"/>
        <v>45</v>
      </c>
      <c r="AM97" s="129">
        <f t="shared" si="33"/>
        <v>60</v>
      </c>
      <c r="AN97" s="141">
        <f t="shared" si="25"/>
        <v>75</v>
      </c>
      <c r="AO97" s="131">
        <f t="shared" si="34"/>
        <v>45</v>
      </c>
      <c r="AP97" s="129">
        <f t="shared" si="35"/>
        <v>60</v>
      </c>
      <c r="AQ97" s="141">
        <f t="shared" si="26"/>
        <v>75</v>
      </c>
      <c r="AR97" s="131">
        <f t="shared" si="36"/>
        <v>45</v>
      </c>
      <c r="AS97" s="129">
        <f t="shared" si="37"/>
        <v>60</v>
      </c>
      <c r="AT97" s="141">
        <f t="shared" si="27"/>
        <v>75</v>
      </c>
      <c r="AU97" s="131">
        <f t="shared" si="38"/>
        <v>45</v>
      </c>
      <c r="AV97" s="129">
        <f t="shared" si="39"/>
        <v>60</v>
      </c>
      <c r="AW97" s="141">
        <f t="shared" si="28"/>
        <v>75</v>
      </c>
      <c r="AX97" s="131">
        <f t="shared" si="40"/>
        <v>45</v>
      </c>
      <c r="AY97" s="129">
        <f t="shared" si="41"/>
        <v>60</v>
      </c>
      <c r="AZ97" s="141">
        <f t="shared" si="29"/>
        <v>75</v>
      </c>
    </row>
    <row r="98" ht="15.75" customHeight="1" spans="1:52" x14ac:dyDescent="0.25">
      <c r="A98" s="214" t="str">
        <f>'IA Marks'!A98</f>
        <v>23N81A6292</v>
      </c>
      <c r="B98" s="215">
        <f>'IA Marks'!B98</f>
        <v>0</v>
      </c>
      <c r="C98" s="117"/>
      <c r="D98" s="117">
        <v>45</v>
      </c>
      <c r="E98" s="117">
        <v>45</v>
      </c>
      <c r="F98" s="117">
        <v>45</v>
      </c>
      <c r="G98" s="117">
        <v>45</v>
      </c>
      <c r="H98" s="117">
        <v>45</v>
      </c>
      <c r="I98" s="117">
        <v>45</v>
      </c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207"/>
      <c r="AB98" s="207"/>
      <c r="AC98" s="207"/>
      <c r="AD98" s="207"/>
      <c r="AE98" s="207"/>
      <c r="AF98" s="207"/>
      <c r="AG98" s="207"/>
      <c r="AH98" s="207"/>
      <c r="AI98" s="128">
        <f t="shared" si="30"/>
        <v>45</v>
      </c>
      <c r="AJ98" s="129">
        <f t="shared" si="31"/>
        <v>60</v>
      </c>
      <c r="AK98" s="141">
        <f t="shared" si="24"/>
        <v>75</v>
      </c>
      <c r="AL98" s="131">
        <f t="shared" si="32"/>
        <v>45</v>
      </c>
      <c r="AM98" s="129">
        <f t="shared" si="33"/>
        <v>60</v>
      </c>
      <c r="AN98" s="141">
        <f t="shared" si="25"/>
        <v>75</v>
      </c>
      <c r="AO98" s="131">
        <f t="shared" si="34"/>
        <v>45</v>
      </c>
      <c r="AP98" s="129">
        <f t="shared" si="35"/>
        <v>60</v>
      </c>
      <c r="AQ98" s="141">
        <f t="shared" si="26"/>
        <v>75</v>
      </c>
      <c r="AR98" s="131">
        <f t="shared" si="36"/>
        <v>45</v>
      </c>
      <c r="AS98" s="129">
        <f t="shared" si="37"/>
        <v>60</v>
      </c>
      <c r="AT98" s="141">
        <f t="shared" si="27"/>
        <v>75</v>
      </c>
      <c r="AU98" s="131">
        <f t="shared" si="38"/>
        <v>45</v>
      </c>
      <c r="AV98" s="129">
        <f t="shared" si="39"/>
        <v>60</v>
      </c>
      <c r="AW98" s="141">
        <f t="shared" si="28"/>
        <v>75</v>
      </c>
      <c r="AX98" s="131">
        <f t="shared" si="40"/>
        <v>45</v>
      </c>
      <c r="AY98" s="129">
        <f t="shared" si="41"/>
        <v>60</v>
      </c>
      <c r="AZ98" s="141">
        <f t="shared" si="29"/>
        <v>75</v>
      </c>
    </row>
    <row r="99" ht="15.75" customHeight="1" spans="1:52" x14ac:dyDescent="0.25">
      <c r="A99" s="214" t="str">
        <f>'IA Marks'!A99</f>
        <v>23N81A6293</v>
      </c>
      <c r="B99" s="215">
        <f>'IA Marks'!B99</f>
        <v>0</v>
      </c>
      <c r="C99" s="117"/>
      <c r="D99" s="117">
        <v>45</v>
      </c>
      <c r="E99" s="117">
        <v>45</v>
      </c>
      <c r="F99" s="117">
        <v>45</v>
      </c>
      <c r="G99" s="117">
        <v>45</v>
      </c>
      <c r="H99" s="117">
        <v>45</v>
      </c>
      <c r="I99" s="117">
        <v>45</v>
      </c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207"/>
      <c r="AB99" s="207"/>
      <c r="AC99" s="207"/>
      <c r="AD99" s="207"/>
      <c r="AE99" s="207"/>
      <c r="AF99" s="207"/>
      <c r="AG99" s="207"/>
      <c r="AH99" s="207"/>
      <c r="AI99" s="128">
        <f t="shared" si="30"/>
        <v>45</v>
      </c>
      <c r="AJ99" s="129">
        <f t="shared" si="31"/>
        <v>60</v>
      </c>
      <c r="AK99" s="141">
        <f t="shared" si="24"/>
        <v>75</v>
      </c>
      <c r="AL99" s="131">
        <f t="shared" si="32"/>
        <v>45</v>
      </c>
      <c r="AM99" s="129">
        <f t="shared" si="33"/>
        <v>60</v>
      </c>
      <c r="AN99" s="141">
        <f t="shared" si="25"/>
        <v>75</v>
      </c>
      <c r="AO99" s="131">
        <f t="shared" si="34"/>
        <v>45</v>
      </c>
      <c r="AP99" s="129">
        <f t="shared" si="35"/>
        <v>60</v>
      </c>
      <c r="AQ99" s="141">
        <f t="shared" si="26"/>
        <v>75</v>
      </c>
      <c r="AR99" s="131">
        <f t="shared" si="36"/>
        <v>45</v>
      </c>
      <c r="AS99" s="129">
        <f t="shared" si="37"/>
        <v>60</v>
      </c>
      <c r="AT99" s="141">
        <f t="shared" si="27"/>
        <v>75</v>
      </c>
      <c r="AU99" s="131">
        <f t="shared" si="38"/>
        <v>45</v>
      </c>
      <c r="AV99" s="129">
        <f t="shared" si="39"/>
        <v>60</v>
      </c>
      <c r="AW99" s="141">
        <f t="shared" si="28"/>
        <v>75</v>
      </c>
      <c r="AX99" s="131">
        <f t="shared" si="40"/>
        <v>45</v>
      </c>
      <c r="AY99" s="129">
        <f t="shared" si="41"/>
        <v>60</v>
      </c>
      <c r="AZ99" s="141">
        <f t="shared" si="29"/>
        <v>75</v>
      </c>
    </row>
    <row r="100" ht="15.75" customHeight="1" spans="1:52" x14ac:dyDescent="0.25">
      <c r="A100" s="214" t="str">
        <f>'IA Marks'!A100</f>
        <v>23N81A6294</v>
      </c>
      <c r="B100" s="215">
        <f>'IA Marks'!B100</f>
        <v>0</v>
      </c>
      <c r="C100" s="117"/>
      <c r="D100" s="117">
        <v>45</v>
      </c>
      <c r="E100" s="117">
        <v>45</v>
      </c>
      <c r="F100" s="117">
        <v>45</v>
      </c>
      <c r="G100" s="117">
        <v>45</v>
      </c>
      <c r="H100" s="117">
        <v>45</v>
      </c>
      <c r="I100" s="117">
        <v>45</v>
      </c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207"/>
      <c r="AB100" s="207"/>
      <c r="AC100" s="207"/>
      <c r="AD100" s="207"/>
      <c r="AE100" s="207"/>
      <c r="AF100" s="207"/>
      <c r="AG100" s="207"/>
      <c r="AH100" s="207"/>
      <c r="AI100" s="128">
        <f t="shared" si="30"/>
        <v>45</v>
      </c>
      <c r="AJ100" s="129">
        <f t="shared" si="31"/>
        <v>60</v>
      </c>
      <c r="AK100" s="141">
        <f t="shared" si="24"/>
        <v>75</v>
      </c>
      <c r="AL100" s="131">
        <f t="shared" si="32"/>
        <v>45</v>
      </c>
      <c r="AM100" s="129">
        <f t="shared" si="33"/>
        <v>60</v>
      </c>
      <c r="AN100" s="141">
        <f t="shared" si="25"/>
        <v>75</v>
      </c>
      <c r="AO100" s="131">
        <f t="shared" si="34"/>
        <v>45</v>
      </c>
      <c r="AP100" s="129">
        <f t="shared" si="35"/>
        <v>60</v>
      </c>
      <c r="AQ100" s="141">
        <f t="shared" si="26"/>
        <v>75</v>
      </c>
      <c r="AR100" s="131">
        <f t="shared" si="36"/>
        <v>45</v>
      </c>
      <c r="AS100" s="129">
        <f t="shared" si="37"/>
        <v>60</v>
      </c>
      <c r="AT100" s="141">
        <f t="shared" si="27"/>
        <v>75</v>
      </c>
      <c r="AU100" s="131">
        <f t="shared" si="38"/>
        <v>45</v>
      </c>
      <c r="AV100" s="129">
        <f t="shared" si="39"/>
        <v>60</v>
      </c>
      <c r="AW100" s="141">
        <f t="shared" si="28"/>
        <v>75</v>
      </c>
      <c r="AX100" s="131">
        <f t="shared" si="40"/>
        <v>45</v>
      </c>
      <c r="AY100" s="129">
        <f t="shared" si="41"/>
        <v>60</v>
      </c>
      <c r="AZ100" s="141">
        <f t="shared" si="29"/>
        <v>75</v>
      </c>
    </row>
    <row r="101" ht="15.75" customHeight="1" spans="1:52" x14ac:dyDescent="0.25">
      <c r="A101" s="214" t="str">
        <f>'IA Marks'!A101</f>
        <v>23N81A6295</v>
      </c>
      <c r="B101" s="215">
        <f>'IA Marks'!B101</f>
        <v>0</v>
      </c>
      <c r="C101" s="117"/>
      <c r="D101" s="117">
        <v>45</v>
      </c>
      <c r="E101" s="117">
        <v>45</v>
      </c>
      <c r="F101" s="117">
        <v>45</v>
      </c>
      <c r="G101" s="117">
        <v>45</v>
      </c>
      <c r="H101" s="117">
        <v>45</v>
      </c>
      <c r="I101" s="117">
        <v>45</v>
      </c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207"/>
      <c r="AB101" s="207"/>
      <c r="AC101" s="207"/>
      <c r="AD101" s="207"/>
      <c r="AE101" s="207"/>
      <c r="AF101" s="207"/>
      <c r="AG101" s="207"/>
      <c r="AH101" s="207"/>
      <c r="AI101" s="128">
        <f t="shared" si="30"/>
        <v>45</v>
      </c>
      <c r="AJ101" s="129">
        <f t="shared" si="31"/>
        <v>60</v>
      </c>
      <c r="AK101" s="141">
        <f t="shared" si="24"/>
        <v>75</v>
      </c>
      <c r="AL101" s="131">
        <f t="shared" si="32"/>
        <v>45</v>
      </c>
      <c r="AM101" s="129">
        <f t="shared" si="33"/>
        <v>60</v>
      </c>
      <c r="AN101" s="141">
        <f t="shared" si="25"/>
        <v>75</v>
      </c>
      <c r="AO101" s="131">
        <f t="shared" si="34"/>
        <v>45</v>
      </c>
      <c r="AP101" s="129">
        <f t="shared" si="35"/>
        <v>60</v>
      </c>
      <c r="AQ101" s="141">
        <f t="shared" si="26"/>
        <v>75</v>
      </c>
      <c r="AR101" s="131">
        <f t="shared" si="36"/>
        <v>45</v>
      </c>
      <c r="AS101" s="129">
        <f t="shared" si="37"/>
        <v>60</v>
      </c>
      <c r="AT101" s="141">
        <f t="shared" si="27"/>
        <v>75</v>
      </c>
      <c r="AU101" s="131">
        <f t="shared" si="38"/>
        <v>45</v>
      </c>
      <c r="AV101" s="129">
        <f t="shared" si="39"/>
        <v>60</v>
      </c>
      <c r="AW101" s="141">
        <f t="shared" si="28"/>
        <v>75</v>
      </c>
      <c r="AX101" s="131">
        <f t="shared" si="40"/>
        <v>45</v>
      </c>
      <c r="AY101" s="129">
        <f t="shared" si="41"/>
        <v>60</v>
      </c>
      <c r="AZ101" s="141">
        <f t="shared" si="29"/>
        <v>75</v>
      </c>
    </row>
    <row r="102" ht="15.75" customHeight="1" spans="1:52" x14ac:dyDescent="0.25">
      <c r="A102" s="214" t="str">
        <f>'IA Marks'!A102</f>
        <v>23N81A6296</v>
      </c>
      <c r="B102" s="215">
        <f>'IA Marks'!B102</f>
        <v>0</v>
      </c>
      <c r="C102" s="117"/>
      <c r="D102" s="117">
        <v>45</v>
      </c>
      <c r="E102" s="117">
        <v>45</v>
      </c>
      <c r="F102" s="117">
        <v>45</v>
      </c>
      <c r="G102" s="117">
        <v>45</v>
      </c>
      <c r="H102" s="117">
        <v>45</v>
      </c>
      <c r="I102" s="117">
        <v>45</v>
      </c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207"/>
      <c r="AB102" s="207"/>
      <c r="AC102" s="207"/>
      <c r="AD102" s="207"/>
      <c r="AE102" s="207"/>
      <c r="AF102" s="207"/>
      <c r="AG102" s="207"/>
      <c r="AH102" s="207"/>
      <c r="AI102" s="128">
        <f t="shared" si="30"/>
        <v>45</v>
      </c>
      <c r="AJ102" s="129">
        <f t="shared" si="31"/>
        <v>60</v>
      </c>
      <c r="AK102" s="141">
        <f t="shared" si="24"/>
        <v>75</v>
      </c>
      <c r="AL102" s="131">
        <f t="shared" si="32"/>
        <v>45</v>
      </c>
      <c r="AM102" s="129">
        <f t="shared" si="33"/>
        <v>60</v>
      </c>
      <c r="AN102" s="141">
        <f t="shared" si="25"/>
        <v>75</v>
      </c>
      <c r="AO102" s="131">
        <f t="shared" si="34"/>
        <v>45</v>
      </c>
      <c r="AP102" s="129">
        <f t="shared" si="35"/>
        <v>60</v>
      </c>
      <c r="AQ102" s="141">
        <f t="shared" si="26"/>
        <v>75</v>
      </c>
      <c r="AR102" s="131">
        <f t="shared" si="36"/>
        <v>45</v>
      </c>
      <c r="AS102" s="129">
        <f t="shared" si="37"/>
        <v>60</v>
      </c>
      <c r="AT102" s="141">
        <f t="shared" si="27"/>
        <v>75</v>
      </c>
      <c r="AU102" s="131">
        <f t="shared" si="38"/>
        <v>45</v>
      </c>
      <c r="AV102" s="129">
        <f t="shared" si="39"/>
        <v>60</v>
      </c>
      <c r="AW102" s="141">
        <f t="shared" si="28"/>
        <v>75</v>
      </c>
      <c r="AX102" s="131">
        <f t="shared" si="40"/>
        <v>45</v>
      </c>
      <c r="AY102" s="129">
        <f t="shared" si="41"/>
        <v>60</v>
      </c>
      <c r="AZ102" s="141">
        <f t="shared" si="29"/>
        <v>75</v>
      </c>
    </row>
    <row r="103" ht="15.75" customHeight="1" spans="1:52" x14ac:dyDescent="0.25">
      <c r="A103" s="214" t="str">
        <f>'IA Marks'!A103</f>
        <v>23N81A6297</v>
      </c>
      <c r="B103" s="215">
        <f>'IA Marks'!B103</f>
        <v>0</v>
      </c>
      <c r="C103" s="117"/>
      <c r="D103" s="117">
        <v>45</v>
      </c>
      <c r="E103" s="117">
        <v>45</v>
      </c>
      <c r="F103" s="117">
        <v>45</v>
      </c>
      <c r="G103" s="117">
        <v>45</v>
      </c>
      <c r="H103" s="117">
        <v>45</v>
      </c>
      <c r="I103" s="117">
        <v>45</v>
      </c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207"/>
      <c r="AB103" s="207"/>
      <c r="AC103" s="207"/>
      <c r="AD103" s="207"/>
      <c r="AE103" s="207"/>
      <c r="AF103" s="207"/>
      <c r="AG103" s="207"/>
      <c r="AH103" s="207"/>
      <c r="AI103" s="128">
        <f t="shared" si="30"/>
        <v>45</v>
      </c>
      <c r="AJ103" s="129">
        <f t="shared" si="31"/>
        <v>60</v>
      </c>
      <c r="AK103" s="141">
        <f t="shared" si="24"/>
        <v>75</v>
      </c>
      <c r="AL103" s="131">
        <f t="shared" si="32"/>
        <v>45</v>
      </c>
      <c r="AM103" s="129">
        <f t="shared" si="33"/>
        <v>60</v>
      </c>
      <c r="AN103" s="141">
        <f t="shared" si="25"/>
        <v>75</v>
      </c>
      <c r="AO103" s="131">
        <f t="shared" si="34"/>
        <v>45</v>
      </c>
      <c r="AP103" s="129">
        <f t="shared" si="35"/>
        <v>60</v>
      </c>
      <c r="AQ103" s="141">
        <f t="shared" si="26"/>
        <v>75</v>
      </c>
      <c r="AR103" s="131">
        <f t="shared" si="36"/>
        <v>45</v>
      </c>
      <c r="AS103" s="129">
        <f t="shared" si="37"/>
        <v>60</v>
      </c>
      <c r="AT103" s="141">
        <f t="shared" si="27"/>
        <v>75</v>
      </c>
      <c r="AU103" s="131">
        <f t="shared" si="38"/>
        <v>45</v>
      </c>
      <c r="AV103" s="129">
        <f t="shared" si="39"/>
        <v>60</v>
      </c>
      <c r="AW103" s="141">
        <f t="shared" si="28"/>
        <v>75</v>
      </c>
      <c r="AX103" s="131">
        <f t="shared" si="40"/>
        <v>45</v>
      </c>
      <c r="AY103" s="129">
        <f t="shared" si="41"/>
        <v>60</v>
      </c>
      <c r="AZ103" s="141">
        <f t="shared" si="29"/>
        <v>75</v>
      </c>
    </row>
    <row r="104" ht="15.75" customHeight="1" spans="1:52" x14ac:dyDescent="0.25">
      <c r="A104" s="214" t="str">
        <f>'IA Marks'!A104</f>
        <v>23N81A6298</v>
      </c>
      <c r="B104" s="215">
        <f>'IA Marks'!B104</f>
        <v>0</v>
      </c>
      <c r="C104" s="117"/>
      <c r="D104" s="117">
        <v>45</v>
      </c>
      <c r="E104" s="117">
        <v>45</v>
      </c>
      <c r="F104" s="117">
        <v>45</v>
      </c>
      <c r="G104" s="117">
        <v>45</v>
      </c>
      <c r="H104" s="117">
        <v>45</v>
      </c>
      <c r="I104" s="117">
        <v>45</v>
      </c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207"/>
      <c r="AB104" s="207"/>
      <c r="AC104" s="207"/>
      <c r="AD104" s="207"/>
      <c r="AE104" s="207"/>
      <c r="AF104" s="207"/>
      <c r="AG104" s="207"/>
      <c r="AH104" s="207"/>
      <c r="AI104" s="128">
        <f t="shared" si="30"/>
        <v>45</v>
      </c>
      <c r="AJ104" s="129">
        <f t="shared" si="31"/>
        <v>60</v>
      </c>
      <c r="AK104" s="141">
        <f t="shared" si="24"/>
        <v>75</v>
      </c>
      <c r="AL104" s="131">
        <f t="shared" si="32"/>
        <v>45</v>
      </c>
      <c r="AM104" s="129">
        <f t="shared" si="33"/>
        <v>60</v>
      </c>
      <c r="AN104" s="141">
        <f t="shared" si="25"/>
        <v>75</v>
      </c>
      <c r="AO104" s="131">
        <f t="shared" si="34"/>
        <v>45</v>
      </c>
      <c r="AP104" s="129">
        <f t="shared" si="35"/>
        <v>60</v>
      </c>
      <c r="AQ104" s="141">
        <f t="shared" si="26"/>
        <v>75</v>
      </c>
      <c r="AR104" s="131">
        <f t="shared" si="36"/>
        <v>45</v>
      </c>
      <c r="AS104" s="129">
        <f t="shared" si="37"/>
        <v>60</v>
      </c>
      <c r="AT104" s="141">
        <f t="shared" si="27"/>
        <v>75</v>
      </c>
      <c r="AU104" s="131">
        <f t="shared" si="38"/>
        <v>45</v>
      </c>
      <c r="AV104" s="129">
        <f t="shared" si="39"/>
        <v>60</v>
      </c>
      <c r="AW104" s="141">
        <f t="shared" si="28"/>
        <v>75</v>
      </c>
      <c r="AX104" s="131">
        <f t="shared" si="40"/>
        <v>45</v>
      </c>
      <c r="AY104" s="129">
        <f t="shared" si="41"/>
        <v>60</v>
      </c>
      <c r="AZ104" s="141">
        <f t="shared" si="29"/>
        <v>75</v>
      </c>
    </row>
    <row r="105" ht="15.75" customHeight="1" spans="1:52" x14ac:dyDescent="0.25">
      <c r="A105" s="214" t="str">
        <f>'IA Marks'!A105</f>
        <v>23N81A6299</v>
      </c>
      <c r="B105" s="215">
        <f>'IA Marks'!B105</f>
        <v>0</v>
      </c>
      <c r="C105" s="117"/>
      <c r="D105" s="117">
        <v>45</v>
      </c>
      <c r="E105" s="117">
        <v>45</v>
      </c>
      <c r="F105" s="117">
        <v>45</v>
      </c>
      <c r="G105" s="117">
        <v>45</v>
      </c>
      <c r="H105" s="117">
        <v>45</v>
      </c>
      <c r="I105" s="117">
        <v>45</v>
      </c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207"/>
      <c r="AB105" s="207"/>
      <c r="AC105" s="207"/>
      <c r="AD105" s="207"/>
      <c r="AE105" s="207"/>
      <c r="AF105" s="207"/>
      <c r="AG105" s="207"/>
      <c r="AH105" s="207"/>
      <c r="AI105" s="128">
        <f t="shared" si="30"/>
        <v>45</v>
      </c>
      <c r="AJ105" s="129">
        <f t="shared" si="31"/>
        <v>60</v>
      </c>
      <c r="AK105" s="141">
        <f t="shared" si="24"/>
        <v>75</v>
      </c>
      <c r="AL105" s="131">
        <f t="shared" si="32"/>
        <v>45</v>
      </c>
      <c r="AM105" s="129">
        <f t="shared" si="33"/>
        <v>60</v>
      </c>
      <c r="AN105" s="141">
        <f t="shared" si="25"/>
        <v>75</v>
      </c>
      <c r="AO105" s="131">
        <f t="shared" si="34"/>
        <v>45</v>
      </c>
      <c r="AP105" s="129">
        <f t="shared" si="35"/>
        <v>60</v>
      </c>
      <c r="AQ105" s="141">
        <f t="shared" si="26"/>
        <v>75</v>
      </c>
      <c r="AR105" s="131">
        <f t="shared" si="36"/>
        <v>45</v>
      </c>
      <c r="AS105" s="129">
        <f t="shared" si="37"/>
        <v>60</v>
      </c>
      <c r="AT105" s="141">
        <f t="shared" si="27"/>
        <v>75</v>
      </c>
      <c r="AU105" s="131">
        <f t="shared" si="38"/>
        <v>45</v>
      </c>
      <c r="AV105" s="129">
        <f t="shared" si="39"/>
        <v>60</v>
      </c>
      <c r="AW105" s="141">
        <f t="shared" si="28"/>
        <v>75</v>
      </c>
      <c r="AX105" s="131">
        <f t="shared" si="40"/>
        <v>45</v>
      </c>
      <c r="AY105" s="129">
        <f t="shared" si="41"/>
        <v>60</v>
      </c>
      <c r="AZ105" s="141">
        <f t="shared" si="29"/>
        <v>75</v>
      </c>
    </row>
    <row r="106" ht="15.75" customHeight="1" spans="1:52" x14ac:dyDescent="0.25">
      <c r="A106" s="214" t="str">
        <f>'IA Marks'!A106</f>
        <v>23N81A62A0</v>
      </c>
      <c r="B106" s="215">
        <f>'IA Marks'!B106</f>
        <v>0</v>
      </c>
      <c r="C106" s="117"/>
      <c r="D106" s="117">
        <v>45</v>
      </c>
      <c r="E106" s="117">
        <v>45</v>
      </c>
      <c r="F106" s="117">
        <v>45</v>
      </c>
      <c r="G106" s="117">
        <v>45</v>
      </c>
      <c r="H106" s="117">
        <v>45</v>
      </c>
      <c r="I106" s="117">
        <v>45</v>
      </c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207"/>
      <c r="AB106" s="207"/>
      <c r="AC106" s="207"/>
      <c r="AD106" s="207"/>
      <c r="AE106" s="207"/>
      <c r="AF106" s="207"/>
      <c r="AG106" s="207"/>
      <c r="AH106" s="207"/>
      <c r="AI106" s="128">
        <f t="shared" si="30"/>
        <v>45</v>
      </c>
      <c r="AJ106" s="129">
        <f t="shared" si="31"/>
        <v>60</v>
      </c>
      <c r="AK106" s="141">
        <f t="shared" si="24"/>
        <v>75</v>
      </c>
      <c r="AL106" s="131">
        <f t="shared" si="32"/>
        <v>45</v>
      </c>
      <c r="AM106" s="129">
        <f t="shared" si="33"/>
        <v>60</v>
      </c>
      <c r="AN106" s="141">
        <f t="shared" si="25"/>
        <v>75</v>
      </c>
      <c r="AO106" s="131">
        <f t="shared" si="34"/>
        <v>45</v>
      </c>
      <c r="AP106" s="129">
        <f t="shared" si="35"/>
        <v>60</v>
      </c>
      <c r="AQ106" s="141">
        <f t="shared" si="26"/>
        <v>75</v>
      </c>
      <c r="AR106" s="131">
        <f t="shared" si="36"/>
        <v>45</v>
      </c>
      <c r="AS106" s="129">
        <f t="shared" si="37"/>
        <v>60</v>
      </c>
      <c r="AT106" s="141">
        <f t="shared" si="27"/>
        <v>75</v>
      </c>
      <c r="AU106" s="131">
        <f t="shared" si="38"/>
        <v>45</v>
      </c>
      <c r="AV106" s="129">
        <f t="shared" si="39"/>
        <v>60</v>
      </c>
      <c r="AW106" s="141">
        <f t="shared" si="28"/>
        <v>75</v>
      </c>
      <c r="AX106" s="131">
        <f t="shared" si="40"/>
        <v>45</v>
      </c>
      <c r="AY106" s="129">
        <f t="shared" si="41"/>
        <v>60</v>
      </c>
      <c r="AZ106" s="141">
        <f t="shared" si="29"/>
        <v>75</v>
      </c>
    </row>
    <row r="107" ht="15.75" customHeight="1" spans="1:52" x14ac:dyDescent="0.25">
      <c r="A107" s="214" t="str">
        <f>'IA Marks'!A107</f>
        <v>23N81A62A1</v>
      </c>
      <c r="B107" s="215">
        <f>'IA Marks'!B107</f>
        <v>0</v>
      </c>
      <c r="C107" s="117"/>
      <c r="D107" s="117">
        <v>45</v>
      </c>
      <c r="E107" s="117">
        <v>45</v>
      </c>
      <c r="F107" s="117">
        <v>45</v>
      </c>
      <c r="G107" s="117">
        <v>45</v>
      </c>
      <c r="H107" s="117">
        <v>45</v>
      </c>
      <c r="I107" s="117">
        <v>45</v>
      </c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207"/>
      <c r="AB107" s="207"/>
      <c r="AC107" s="207"/>
      <c r="AD107" s="207"/>
      <c r="AE107" s="207"/>
      <c r="AF107" s="207"/>
      <c r="AG107" s="207"/>
      <c r="AH107" s="207"/>
      <c r="AI107" s="128">
        <f t="shared" si="30"/>
        <v>45</v>
      </c>
      <c r="AJ107" s="129">
        <f t="shared" si="31"/>
        <v>60</v>
      </c>
      <c r="AK107" s="141">
        <f t="shared" si="24"/>
        <v>75</v>
      </c>
      <c r="AL107" s="131">
        <f t="shared" si="32"/>
        <v>45</v>
      </c>
      <c r="AM107" s="129">
        <f t="shared" si="33"/>
        <v>60</v>
      </c>
      <c r="AN107" s="141">
        <f t="shared" si="25"/>
        <v>75</v>
      </c>
      <c r="AO107" s="131">
        <f t="shared" si="34"/>
        <v>45</v>
      </c>
      <c r="AP107" s="129">
        <f t="shared" si="35"/>
        <v>60</v>
      </c>
      <c r="AQ107" s="141">
        <f t="shared" si="26"/>
        <v>75</v>
      </c>
      <c r="AR107" s="131">
        <f t="shared" si="36"/>
        <v>45</v>
      </c>
      <c r="AS107" s="129">
        <f t="shared" si="37"/>
        <v>60</v>
      </c>
      <c r="AT107" s="141">
        <f t="shared" si="27"/>
        <v>75</v>
      </c>
      <c r="AU107" s="131">
        <f t="shared" si="38"/>
        <v>45</v>
      </c>
      <c r="AV107" s="129">
        <f t="shared" si="39"/>
        <v>60</v>
      </c>
      <c r="AW107" s="141">
        <f t="shared" si="28"/>
        <v>75</v>
      </c>
      <c r="AX107" s="131">
        <f t="shared" si="40"/>
        <v>45</v>
      </c>
      <c r="AY107" s="129">
        <f t="shared" si="41"/>
        <v>60</v>
      </c>
      <c r="AZ107" s="141">
        <f t="shared" si="29"/>
        <v>75</v>
      </c>
    </row>
    <row r="108" ht="15.75" customHeight="1" spans="1:52" x14ac:dyDescent="0.25">
      <c r="A108" s="214" t="str">
        <f>'IA Marks'!A108</f>
        <v>23N81A62A2</v>
      </c>
      <c r="B108" s="215">
        <f>'IA Marks'!B108</f>
        <v>0</v>
      </c>
      <c r="C108" s="117"/>
      <c r="D108" s="117">
        <v>45</v>
      </c>
      <c r="E108" s="117">
        <v>45</v>
      </c>
      <c r="F108" s="117">
        <v>45</v>
      </c>
      <c r="G108" s="117">
        <v>45</v>
      </c>
      <c r="H108" s="117">
        <v>45</v>
      </c>
      <c r="I108" s="117">
        <v>45</v>
      </c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207"/>
      <c r="AB108" s="207"/>
      <c r="AC108" s="207"/>
      <c r="AD108" s="207"/>
      <c r="AE108" s="207"/>
      <c r="AF108" s="207"/>
      <c r="AG108" s="207"/>
      <c r="AH108" s="207"/>
      <c r="AI108" s="128">
        <f t="shared" si="30"/>
        <v>45</v>
      </c>
      <c r="AJ108" s="129">
        <f t="shared" si="31"/>
        <v>60</v>
      </c>
      <c r="AK108" s="141">
        <f t="shared" si="24"/>
        <v>75</v>
      </c>
      <c r="AL108" s="131">
        <f t="shared" si="32"/>
        <v>45</v>
      </c>
      <c r="AM108" s="129">
        <f t="shared" si="33"/>
        <v>60</v>
      </c>
      <c r="AN108" s="141">
        <f t="shared" si="25"/>
        <v>75</v>
      </c>
      <c r="AO108" s="131">
        <f t="shared" si="34"/>
        <v>45</v>
      </c>
      <c r="AP108" s="129">
        <f t="shared" si="35"/>
        <v>60</v>
      </c>
      <c r="AQ108" s="141">
        <f t="shared" si="26"/>
        <v>75</v>
      </c>
      <c r="AR108" s="131">
        <f t="shared" si="36"/>
        <v>45</v>
      </c>
      <c r="AS108" s="129">
        <f t="shared" si="37"/>
        <v>60</v>
      </c>
      <c r="AT108" s="141">
        <f t="shared" si="27"/>
        <v>75</v>
      </c>
      <c r="AU108" s="131">
        <f t="shared" si="38"/>
        <v>45</v>
      </c>
      <c r="AV108" s="129">
        <f t="shared" si="39"/>
        <v>60</v>
      </c>
      <c r="AW108" s="141">
        <f t="shared" si="28"/>
        <v>75</v>
      </c>
      <c r="AX108" s="131">
        <f t="shared" si="40"/>
        <v>45</v>
      </c>
      <c r="AY108" s="129">
        <f t="shared" si="41"/>
        <v>60</v>
      </c>
      <c r="AZ108" s="141">
        <f t="shared" si="29"/>
        <v>75</v>
      </c>
    </row>
    <row r="109" ht="15.75" customHeight="1" spans="1:52" x14ac:dyDescent="0.25">
      <c r="A109" s="214" t="str">
        <f>'IA Marks'!A109</f>
        <v>23N81A62A3</v>
      </c>
      <c r="B109" s="215">
        <f>'IA Marks'!B109</f>
        <v>0</v>
      </c>
      <c r="C109" s="117"/>
      <c r="D109" s="117">
        <v>45</v>
      </c>
      <c r="E109" s="117">
        <v>45</v>
      </c>
      <c r="F109" s="117">
        <v>45</v>
      </c>
      <c r="G109" s="117">
        <v>45</v>
      </c>
      <c r="H109" s="117">
        <v>45</v>
      </c>
      <c r="I109" s="117">
        <v>45</v>
      </c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207"/>
      <c r="AB109" s="207"/>
      <c r="AC109" s="207"/>
      <c r="AD109" s="207"/>
      <c r="AE109" s="207"/>
      <c r="AF109" s="207"/>
      <c r="AG109" s="207"/>
      <c r="AH109" s="207"/>
      <c r="AI109" s="128">
        <f t="shared" si="30"/>
        <v>45</v>
      </c>
      <c r="AJ109" s="129">
        <f t="shared" si="31"/>
        <v>60</v>
      </c>
      <c r="AK109" s="141">
        <f t="shared" ref="AK109:AK135" si="42">ROUNDUP(IF(AJ109,AI109/AJ109%,0),2)</f>
        <v>75</v>
      </c>
      <c r="AL109" s="131">
        <f t="shared" si="32"/>
        <v>45</v>
      </c>
      <c r="AM109" s="129">
        <f t="shared" si="33"/>
        <v>60</v>
      </c>
      <c r="AN109" s="141">
        <f t="shared" ref="AN109:AN135" si="43">ROUNDUP(IF(AM109,AL109/AM109%,0),2)</f>
        <v>75</v>
      </c>
      <c r="AO109" s="131">
        <f t="shared" si="34"/>
        <v>45</v>
      </c>
      <c r="AP109" s="129">
        <f t="shared" si="35"/>
        <v>60</v>
      </c>
      <c r="AQ109" s="141">
        <f t="shared" ref="AQ109:AQ135" si="44">ROUNDUP(IF(AP109,AO109/AP109%,0),2)</f>
        <v>75</v>
      </c>
      <c r="AR109" s="131">
        <f t="shared" si="36"/>
        <v>45</v>
      </c>
      <c r="AS109" s="129">
        <f t="shared" si="37"/>
        <v>60</v>
      </c>
      <c r="AT109" s="141">
        <f t="shared" ref="AT109:AT135" si="45">ROUNDUP(IF(AS109,AR109/AS109%,0),2)</f>
        <v>75</v>
      </c>
      <c r="AU109" s="131">
        <f t="shared" si="38"/>
        <v>45</v>
      </c>
      <c r="AV109" s="129">
        <f t="shared" si="39"/>
        <v>60</v>
      </c>
      <c r="AW109" s="141">
        <f t="shared" ref="AW109:AW135" si="46">ROUNDUP(IF(AV109,AU109/AV109%,0),2)</f>
        <v>75</v>
      </c>
      <c r="AX109" s="131">
        <f t="shared" si="40"/>
        <v>45</v>
      </c>
      <c r="AY109" s="129">
        <f t="shared" si="41"/>
        <v>60</v>
      </c>
      <c r="AZ109" s="141">
        <f t="shared" ref="AZ109:AZ135" si="47">ROUNDUP(IF(AY109,AX109/AY109%,0),2)</f>
        <v>75</v>
      </c>
    </row>
    <row r="110" ht="15.75" customHeight="1" spans="1:52" x14ac:dyDescent="0.25">
      <c r="A110" s="214" t="str">
        <f>'IA Marks'!A110</f>
        <v>23N81A62A4</v>
      </c>
      <c r="B110" s="215">
        <f>'IA Marks'!B110</f>
        <v>0</v>
      </c>
      <c r="C110" s="117"/>
      <c r="D110" s="117">
        <v>45</v>
      </c>
      <c r="E110" s="117">
        <v>45</v>
      </c>
      <c r="F110" s="117">
        <v>45</v>
      </c>
      <c r="G110" s="117">
        <v>45</v>
      </c>
      <c r="H110" s="117">
        <v>45</v>
      </c>
      <c r="I110" s="117">
        <v>45</v>
      </c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207"/>
      <c r="AB110" s="207"/>
      <c r="AC110" s="207"/>
      <c r="AD110" s="207"/>
      <c r="AE110" s="207"/>
      <c r="AF110" s="207"/>
      <c r="AG110" s="207"/>
      <c r="AH110" s="207"/>
      <c r="AI110" s="128">
        <f t="shared" si="30"/>
        <v>45</v>
      </c>
      <c r="AJ110" s="129">
        <f t="shared" si="31"/>
        <v>60</v>
      </c>
      <c r="AK110" s="141">
        <f t="shared" si="42"/>
        <v>75</v>
      </c>
      <c r="AL110" s="131">
        <f t="shared" si="32"/>
        <v>45</v>
      </c>
      <c r="AM110" s="129">
        <f t="shared" si="33"/>
        <v>60</v>
      </c>
      <c r="AN110" s="141">
        <f t="shared" si="43"/>
        <v>75</v>
      </c>
      <c r="AO110" s="131">
        <f t="shared" si="34"/>
        <v>45</v>
      </c>
      <c r="AP110" s="129">
        <f t="shared" si="35"/>
        <v>60</v>
      </c>
      <c r="AQ110" s="141">
        <f t="shared" si="44"/>
        <v>75</v>
      </c>
      <c r="AR110" s="131">
        <f t="shared" si="36"/>
        <v>45</v>
      </c>
      <c r="AS110" s="129">
        <f t="shared" si="37"/>
        <v>60</v>
      </c>
      <c r="AT110" s="141">
        <f t="shared" si="45"/>
        <v>75</v>
      </c>
      <c r="AU110" s="131">
        <f t="shared" si="38"/>
        <v>45</v>
      </c>
      <c r="AV110" s="129">
        <f t="shared" si="39"/>
        <v>60</v>
      </c>
      <c r="AW110" s="141">
        <f t="shared" si="46"/>
        <v>75</v>
      </c>
      <c r="AX110" s="131">
        <f t="shared" si="40"/>
        <v>45</v>
      </c>
      <c r="AY110" s="129">
        <f t="shared" si="41"/>
        <v>60</v>
      </c>
      <c r="AZ110" s="141">
        <f t="shared" si="47"/>
        <v>75</v>
      </c>
    </row>
    <row r="111" ht="15.75" customHeight="1" spans="1:52" x14ac:dyDescent="0.25">
      <c r="A111" s="214" t="str">
        <f>'IA Marks'!A111</f>
        <v>23N81A62A5</v>
      </c>
      <c r="B111" s="215">
        <f>'IA Marks'!B111</f>
        <v>0</v>
      </c>
      <c r="C111" s="117"/>
      <c r="D111" s="117">
        <v>45</v>
      </c>
      <c r="E111" s="117">
        <v>45</v>
      </c>
      <c r="F111" s="117">
        <v>45</v>
      </c>
      <c r="G111" s="117">
        <v>45</v>
      </c>
      <c r="H111" s="117">
        <v>45</v>
      </c>
      <c r="I111" s="117">
        <v>45</v>
      </c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207"/>
      <c r="AB111" s="207"/>
      <c r="AC111" s="207"/>
      <c r="AD111" s="207"/>
      <c r="AE111" s="207"/>
      <c r="AF111" s="207"/>
      <c r="AG111" s="207"/>
      <c r="AH111" s="207"/>
      <c r="AI111" s="128">
        <f t="shared" si="30"/>
        <v>45</v>
      </c>
      <c r="AJ111" s="129">
        <f t="shared" si="31"/>
        <v>60</v>
      </c>
      <c r="AK111" s="141">
        <f t="shared" si="42"/>
        <v>75</v>
      </c>
      <c r="AL111" s="131">
        <f t="shared" si="32"/>
        <v>45</v>
      </c>
      <c r="AM111" s="129">
        <f t="shared" si="33"/>
        <v>60</v>
      </c>
      <c r="AN111" s="141">
        <f t="shared" si="43"/>
        <v>75</v>
      </c>
      <c r="AO111" s="131">
        <f t="shared" si="34"/>
        <v>45</v>
      </c>
      <c r="AP111" s="129">
        <f t="shared" si="35"/>
        <v>60</v>
      </c>
      <c r="AQ111" s="141">
        <f t="shared" si="44"/>
        <v>75</v>
      </c>
      <c r="AR111" s="131">
        <f t="shared" si="36"/>
        <v>45</v>
      </c>
      <c r="AS111" s="129">
        <f t="shared" si="37"/>
        <v>60</v>
      </c>
      <c r="AT111" s="141">
        <f t="shared" si="45"/>
        <v>75</v>
      </c>
      <c r="AU111" s="131">
        <f t="shared" si="38"/>
        <v>45</v>
      </c>
      <c r="AV111" s="129">
        <f t="shared" si="39"/>
        <v>60</v>
      </c>
      <c r="AW111" s="141">
        <f t="shared" si="46"/>
        <v>75</v>
      </c>
      <c r="AX111" s="131">
        <f t="shared" si="40"/>
        <v>45</v>
      </c>
      <c r="AY111" s="129">
        <f t="shared" si="41"/>
        <v>60</v>
      </c>
      <c r="AZ111" s="141">
        <f t="shared" si="47"/>
        <v>75</v>
      </c>
    </row>
    <row r="112" ht="15.75" customHeight="1" spans="1:52" x14ac:dyDescent="0.25">
      <c r="A112" s="214" t="str">
        <f>'IA Marks'!A112</f>
        <v>23N81A62A6</v>
      </c>
      <c r="B112" s="215">
        <f>'IA Marks'!B112</f>
        <v>0</v>
      </c>
      <c r="C112" s="117"/>
      <c r="D112" s="117">
        <v>45</v>
      </c>
      <c r="E112" s="117">
        <v>45</v>
      </c>
      <c r="F112" s="117">
        <v>45</v>
      </c>
      <c r="G112" s="117">
        <v>45</v>
      </c>
      <c r="H112" s="117">
        <v>45</v>
      </c>
      <c r="I112" s="117">
        <v>45</v>
      </c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207"/>
      <c r="AB112" s="207"/>
      <c r="AC112" s="207"/>
      <c r="AD112" s="207"/>
      <c r="AE112" s="207"/>
      <c r="AF112" s="207"/>
      <c r="AG112" s="207"/>
      <c r="AH112" s="207"/>
      <c r="AI112" s="128">
        <f t="shared" si="30"/>
        <v>45</v>
      </c>
      <c r="AJ112" s="129">
        <f t="shared" si="31"/>
        <v>60</v>
      </c>
      <c r="AK112" s="141">
        <f t="shared" si="42"/>
        <v>75</v>
      </c>
      <c r="AL112" s="131">
        <f t="shared" si="32"/>
        <v>45</v>
      </c>
      <c r="AM112" s="129">
        <f t="shared" si="33"/>
        <v>60</v>
      </c>
      <c r="AN112" s="141">
        <f t="shared" si="43"/>
        <v>75</v>
      </c>
      <c r="AO112" s="131">
        <f t="shared" si="34"/>
        <v>45</v>
      </c>
      <c r="AP112" s="129">
        <f t="shared" si="35"/>
        <v>60</v>
      </c>
      <c r="AQ112" s="141">
        <f t="shared" si="44"/>
        <v>75</v>
      </c>
      <c r="AR112" s="131">
        <f t="shared" si="36"/>
        <v>45</v>
      </c>
      <c r="AS112" s="129">
        <f t="shared" si="37"/>
        <v>60</v>
      </c>
      <c r="AT112" s="141">
        <f t="shared" si="45"/>
        <v>75</v>
      </c>
      <c r="AU112" s="131">
        <f t="shared" si="38"/>
        <v>45</v>
      </c>
      <c r="AV112" s="129">
        <f t="shared" si="39"/>
        <v>60</v>
      </c>
      <c r="AW112" s="141">
        <f t="shared" si="46"/>
        <v>75</v>
      </c>
      <c r="AX112" s="131">
        <f t="shared" si="40"/>
        <v>45</v>
      </c>
      <c r="AY112" s="129">
        <f t="shared" si="41"/>
        <v>60</v>
      </c>
      <c r="AZ112" s="141">
        <f t="shared" si="47"/>
        <v>75</v>
      </c>
    </row>
    <row r="113" ht="15.75" customHeight="1" spans="1:52" x14ac:dyDescent="0.25">
      <c r="A113" s="214" t="str">
        <f>'IA Marks'!A113</f>
        <v>23N81A62A8</v>
      </c>
      <c r="B113" s="215">
        <f>'IA Marks'!B113</f>
        <v>0</v>
      </c>
      <c r="C113" s="117"/>
      <c r="D113" s="117">
        <v>45</v>
      </c>
      <c r="E113" s="117">
        <v>45</v>
      </c>
      <c r="F113" s="117">
        <v>45</v>
      </c>
      <c r="G113" s="117">
        <v>45</v>
      </c>
      <c r="H113" s="117">
        <v>45</v>
      </c>
      <c r="I113" s="117">
        <v>45</v>
      </c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207"/>
      <c r="AB113" s="207"/>
      <c r="AC113" s="207"/>
      <c r="AD113" s="207"/>
      <c r="AE113" s="207"/>
      <c r="AF113" s="207"/>
      <c r="AG113" s="207"/>
      <c r="AH113" s="207"/>
      <c r="AI113" s="128">
        <f t="shared" si="30"/>
        <v>45</v>
      </c>
      <c r="AJ113" s="129">
        <f t="shared" si="31"/>
        <v>60</v>
      </c>
      <c r="AK113" s="141">
        <f t="shared" si="42"/>
        <v>75</v>
      </c>
      <c r="AL113" s="131">
        <f t="shared" si="32"/>
        <v>45</v>
      </c>
      <c r="AM113" s="129">
        <f t="shared" si="33"/>
        <v>60</v>
      </c>
      <c r="AN113" s="141">
        <f t="shared" si="43"/>
        <v>75</v>
      </c>
      <c r="AO113" s="131">
        <f t="shared" si="34"/>
        <v>45</v>
      </c>
      <c r="AP113" s="129">
        <f t="shared" si="35"/>
        <v>60</v>
      </c>
      <c r="AQ113" s="141">
        <f t="shared" si="44"/>
        <v>75</v>
      </c>
      <c r="AR113" s="131">
        <f t="shared" si="36"/>
        <v>45</v>
      </c>
      <c r="AS113" s="129">
        <f t="shared" si="37"/>
        <v>60</v>
      </c>
      <c r="AT113" s="141">
        <f t="shared" si="45"/>
        <v>75</v>
      </c>
      <c r="AU113" s="131">
        <f t="shared" si="38"/>
        <v>45</v>
      </c>
      <c r="AV113" s="129">
        <f t="shared" si="39"/>
        <v>60</v>
      </c>
      <c r="AW113" s="141">
        <f t="shared" si="46"/>
        <v>75</v>
      </c>
      <c r="AX113" s="131">
        <f t="shared" si="40"/>
        <v>45</v>
      </c>
      <c r="AY113" s="129">
        <f t="shared" si="41"/>
        <v>60</v>
      </c>
      <c r="AZ113" s="141">
        <f t="shared" si="47"/>
        <v>75</v>
      </c>
    </row>
    <row r="114" ht="15.75" customHeight="1" spans="1:52" x14ac:dyDescent="0.25">
      <c r="A114" s="214" t="str">
        <f>'IA Marks'!A114</f>
        <v>23N81A62A9</v>
      </c>
      <c r="B114" s="215">
        <f>'IA Marks'!B114</f>
        <v>0</v>
      </c>
      <c r="C114" s="117"/>
      <c r="D114" s="117">
        <v>45</v>
      </c>
      <c r="E114" s="117">
        <v>45</v>
      </c>
      <c r="F114" s="117">
        <v>45</v>
      </c>
      <c r="G114" s="117">
        <v>45</v>
      </c>
      <c r="H114" s="117">
        <v>45</v>
      </c>
      <c r="I114" s="117">
        <v>45</v>
      </c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207"/>
      <c r="AB114" s="207"/>
      <c r="AC114" s="207"/>
      <c r="AD114" s="207"/>
      <c r="AE114" s="207"/>
      <c r="AF114" s="207"/>
      <c r="AG114" s="207"/>
      <c r="AH114" s="207"/>
      <c r="AI114" s="128">
        <f t="shared" si="30"/>
        <v>45</v>
      </c>
      <c r="AJ114" s="129">
        <f t="shared" si="31"/>
        <v>60</v>
      </c>
      <c r="AK114" s="141">
        <f t="shared" si="42"/>
        <v>75</v>
      </c>
      <c r="AL114" s="131">
        <f t="shared" si="32"/>
        <v>45</v>
      </c>
      <c r="AM114" s="129">
        <f t="shared" si="33"/>
        <v>60</v>
      </c>
      <c r="AN114" s="141">
        <f t="shared" si="43"/>
        <v>75</v>
      </c>
      <c r="AO114" s="131">
        <f t="shared" si="34"/>
        <v>45</v>
      </c>
      <c r="AP114" s="129">
        <f t="shared" si="35"/>
        <v>60</v>
      </c>
      <c r="AQ114" s="141">
        <f t="shared" si="44"/>
        <v>75</v>
      </c>
      <c r="AR114" s="131">
        <f t="shared" si="36"/>
        <v>45</v>
      </c>
      <c r="AS114" s="129">
        <f t="shared" si="37"/>
        <v>60</v>
      </c>
      <c r="AT114" s="141">
        <f t="shared" si="45"/>
        <v>75</v>
      </c>
      <c r="AU114" s="131">
        <f t="shared" si="38"/>
        <v>45</v>
      </c>
      <c r="AV114" s="129">
        <f t="shared" si="39"/>
        <v>60</v>
      </c>
      <c r="AW114" s="141">
        <f t="shared" si="46"/>
        <v>75</v>
      </c>
      <c r="AX114" s="131">
        <f t="shared" si="40"/>
        <v>45</v>
      </c>
      <c r="AY114" s="129">
        <f t="shared" si="41"/>
        <v>60</v>
      </c>
      <c r="AZ114" s="141">
        <f t="shared" si="47"/>
        <v>75</v>
      </c>
    </row>
    <row r="115" ht="15.75" customHeight="1" spans="1:52" x14ac:dyDescent="0.25">
      <c r="A115" s="214" t="str">
        <f>'IA Marks'!A115</f>
        <v>23N81A62B0</v>
      </c>
      <c r="B115" s="215">
        <f>'IA Marks'!B115</f>
        <v>0</v>
      </c>
      <c r="C115" s="117"/>
      <c r="D115" s="117">
        <v>45</v>
      </c>
      <c r="E115" s="117">
        <v>45</v>
      </c>
      <c r="F115" s="117">
        <v>45</v>
      </c>
      <c r="G115" s="117">
        <v>45</v>
      </c>
      <c r="H115" s="117">
        <v>45</v>
      </c>
      <c r="I115" s="117">
        <v>45</v>
      </c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207"/>
      <c r="AB115" s="207"/>
      <c r="AC115" s="207"/>
      <c r="AD115" s="207"/>
      <c r="AE115" s="207"/>
      <c r="AF115" s="207"/>
      <c r="AG115" s="207"/>
      <c r="AH115" s="207"/>
      <c r="AI115" s="128">
        <f t="shared" si="30"/>
        <v>45</v>
      </c>
      <c r="AJ115" s="129">
        <f t="shared" si="31"/>
        <v>60</v>
      </c>
      <c r="AK115" s="141">
        <f t="shared" si="42"/>
        <v>75</v>
      </c>
      <c r="AL115" s="131">
        <f t="shared" si="32"/>
        <v>45</v>
      </c>
      <c r="AM115" s="129">
        <f t="shared" si="33"/>
        <v>60</v>
      </c>
      <c r="AN115" s="141">
        <f t="shared" si="43"/>
        <v>75</v>
      </c>
      <c r="AO115" s="131">
        <f t="shared" si="34"/>
        <v>45</v>
      </c>
      <c r="AP115" s="129">
        <f t="shared" si="35"/>
        <v>60</v>
      </c>
      <c r="AQ115" s="141">
        <f t="shared" si="44"/>
        <v>75</v>
      </c>
      <c r="AR115" s="131">
        <f t="shared" si="36"/>
        <v>45</v>
      </c>
      <c r="AS115" s="129">
        <f t="shared" si="37"/>
        <v>60</v>
      </c>
      <c r="AT115" s="141">
        <f t="shared" si="45"/>
        <v>75</v>
      </c>
      <c r="AU115" s="131">
        <f t="shared" si="38"/>
        <v>45</v>
      </c>
      <c r="AV115" s="129">
        <f t="shared" si="39"/>
        <v>60</v>
      </c>
      <c r="AW115" s="141">
        <f t="shared" si="46"/>
        <v>75</v>
      </c>
      <c r="AX115" s="131">
        <f t="shared" si="40"/>
        <v>45</v>
      </c>
      <c r="AY115" s="129">
        <f t="shared" si="41"/>
        <v>60</v>
      </c>
      <c r="AZ115" s="141">
        <f t="shared" si="47"/>
        <v>75</v>
      </c>
    </row>
    <row r="116" ht="15.75" customHeight="1" spans="1:52" x14ac:dyDescent="0.25">
      <c r="A116" s="214" t="str">
        <f>'IA Marks'!A116</f>
        <v>23N81A62B1</v>
      </c>
      <c r="B116" s="215">
        <f>'IA Marks'!B116</f>
        <v>0</v>
      </c>
      <c r="C116" s="117"/>
      <c r="D116" s="117">
        <v>45</v>
      </c>
      <c r="E116" s="117">
        <v>45</v>
      </c>
      <c r="F116" s="117">
        <v>45</v>
      </c>
      <c r="G116" s="117">
        <v>45</v>
      </c>
      <c r="H116" s="117">
        <v>45</v>
      </c>
      <c r="I116" s="117">
        <v>45</v>
      </c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207"/>
      <c r="AB116" s="207"/>
      <c r="AC116" s="207"/>
      <c r="AD116" s="207"/>
      <c r="AE116" s="207"/>
      <c r="AF116" s="207"/>
      <c r="AG116" s="207"/>
      <c r="AH116" s="207"/>
      <c r="AI116" s="128">
        <f t="shared" si="30"/>
        <v>45</v>
      </c>
      <c r="AJ116" s="129">
        <f t="shared" si="31"/>
        <v>60</v>
      </c>
      <c r="AK116" s="141">
        <f t="shared" si="42"/>
        <v>75</v>
      </c>
      <c r="AL116" s="131">
        <f t="shared" si="32"/>
        <v>45</v>
      </c>
      <c r="AM116" s="129">
        <f t="shared" si="33"/>
        <v>60</v>
      </c>
      <c r="AN116" s="141">
        <f t="shared" si="43"/>
        <v>75</v>
      </c>
      <c r="AO116" s="131">
        <f t="shared" si="34"/>
        <v>45</v>
      </c>
      <c r="AP116" s="129">
        <f t="shared" si="35"/>
        <v>60</v>
      </c>
      <c r="AQ116" s="141">
        <f t="shared" si="44"/>
        <v>75</v>
      </c>
      <c r="AR116" s="131">
        <f t="shared" si="36"/>
        <v>45</v>
      </c>
      <c r="AS116" s="129">
        <f t="shared" si="37"/>
        <v>60</v>
      </c>
      <c r="AT116" s="141">
        <f t="shared" si="45"/>
        <v>75</v>
      </c>
      <c r="AU116" s="131">
        <f t="shared" si="38"/>
        <v>45</v>
      </c>
      <c r="AV116" s="129">
        <f t="shared" si="39"/>
        <v>60</v>
      </c>
      <c r="AW116" s="141">
        <f t="shared" si="46"/>
        <v>75</v>
      </c>
      <c r="AX116" s="131">
        <f t="shared" si="40"/>
        <v>45</v>
      </c>
      <c r="AY116" s="129">
        <f t="shared" si="41"/>
        <v>60</v>
      </c>
      <c r="AZ116" s="141">
        <f t="shared" si="47"/>
        <v>75</v>
      </c>
    </row>
    <row r="117" ht="15.75" customHeight="1" spans="1:52" x14ac:dyDescent="0.25">
      <c r="A117" s="214" t="str">
        <f>'IA Marks'!A117</f>
        <v>23N81A62B2</v>
      </c>
      <c r="B117" s="215">
        <f>'IA Marks'!B117</f>
        <v>0</v>
      </c>
      <c r="C117" s="117"/>
      <c r="D117" s="117">
        <v>45</v>
      </c>
      <c r="E117" s="117">
        <v>45</v>
      </c>
      <c r="F117" s="117">
        <v>45</v>
      </c>
      <c r="G117" s="117">
        <v>45</v>
      </c>
      <c r="H117" s="117">
        <v>45</v>
      </c>
      <c r="I117" s="117">
        <v>45</v>
      </c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207"/>
      <c r="AB117" s="207"/>
      <c r="AC117" s="207"/>
      <c r="AD117" s="207"/>
      <c r="AE117" s="207"/>
      <c r="AF117" s="207"/>
      <c r="AG117" s="207"/>
      <c r="AH117" s="207"/>
      <c r="AI117" s="128">
        <f t="shared" si="30"/>
        <v>45</v>
      </c>
      <c r="AJ117" s="129">
        <f t="shared" si="31"/>
        <v>60</v>
      </c>
      <c r="AK117" s="141">
        <f t="shared" si="42"/>
        <v>75</v>
      </c>
      <c r="AL117" s="131">
        <f t="shared" si="32"/>
        <v>45</v>
      </c>
      <c r="AM117" s="129">
        <f t="shared" si="33"/>
        <v>60</v>
      </c>
      <c r="AN117" s="141">
        <f t="shared" si="43"/>
        <v>75</v>
      </c>
      <c r="AO117" s="131">
        <f t="shared" si="34"/>
        <v>45</v>
      </c>
      <c r="AP117" s="129">
        <f t="shared" si="35"/>
        <v>60</v>
      </c>
      <c r="AQ117" s="141">
        <f t="shared" si="44"/>
        <v>75</v>
      </c>
      <c r="AR117" s="131">
        <f t="shared" si="36"/>
        <v>45</v>
      </c>
      <c r="AS117" s="129">
        <f t="shared" si="37"/>
        <v>60</v>
      </c>
      <c r="AT117" s="141">
        <f t="shared" si="45"/>
        <v>75</v>
      </c>
      <c r="AU117" s="131">
        <f t="shared" si="38"/>
        <v>45</v>
      </c>
      <c r="AV117" s="129">
        <f t="shared" si="39"/>
        <v>60</v>
      </c>
      <c r="AW117" s="141">
        <f t="shared" si="46"/>
        <v>75</v>
      </c>
      <c r="AX117" s="131">
        <f t="shared" si="40"/>
        <v>45</v>
      </c>
      <c r="AY117" s="129">
        <f t="shared" si="41"/>
        <v>60</v>
      </c>
      <c r="AZ117" s="141">
        <f t="shared" si="47"/>
        <v>75</v>
      </c>
    </row>
    <row r="118" ht="15.75" customHeight="1" spans="1:52" x14ac:dyDescent="0.25">
      <c r="A118" s="214" t="str">
        <f>'IA Marks'!A118</f>
        <v>23N81A62B3</v>
      </c>
      <c r="B118" s="215">
        <f>'IA Marks'!B118</f>
        <v>0</v>
      </c>
      <c r="C118" s="117"/>
      <c r="D118" s="117">
        <v>45</v>
      </c>
      <c r="E118" s="117">
        <v>45</v>
      </c>
      <c r="F118" s="117">
        <v>45</v>
      </c>
      <c r="G118" s="117">
        <v>45</v>
      </c>
      <c r="H118" s="117">
        <v>45</v>
      </c>
      <c r="I118" s="117">
        <v>45</v>
      </c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207"/>
      <c r="AB118" s="207"/>
      <c r="AC118" s="207"/>
      <c r="AD118" s="207"/>
      <c r="AE118" s="207"/>
      <c r="AF118" s="207"/>
      <c r="AG118" s="207"/>
      <c r="AH118" s="207"/>
      <c r="AI118" s="128">
        <f t="shared" si="30"/>
        <v>45</v>
      </c>
      <c r="AJ118" s="129">
        <f t="shared" si="31"/>
        <v>60</v>
      </c>
      <c r="AK118" s="141">
        <f t="shared" si="42"/>
        <v>75</v>
      </c>
      <c r="AL118" s="131">
        <f t="shared" si="32"/>
        <v>45</v>
      </c>
      <c r="AM118" s="129">
        <f t="shared" si="33"/>
        <v>60</v>
      </c>
      <c r="AN118" s="141">
        <f t="shared" si="43"/>
        <v>75</v>
      </c>
      <c r="AO118" s="131">
        <f t="shared" si="34"/>
        <v>45</v>
      </c>
      <c r="AP118" s="129">
        <f t="shared" si="35"/>
        <v>60</v>
      </c>
      <c r="AQ118" s="141">
        <f t="shared" si="44"/>
        <v>75</v>
      </c>
      <c r="AR118" s="131">
        <f t="shared" si="36"/>
        <v>45</v>
      </c>
      <c r="AS118" s="129">
        <f t="shared" si="37"/>
        <v>60</v>
      </c>
      <c r="AT118" s="141">
        <f t="shared" si="45"/>
        <v>75</v>
      </c>
      <c r="AU118" s="131">
        <f t="shared" si="38"/>
        <v>45</v>
      </c>
      <c r="AV118" s="129">
        <f t="shared" si="39"/>
        <v>60</v>
      </c>
      <c r="AW118" s="141">
        <f t="shared" si="46"/>
        <v>75</v>
      </c>
      <c r="AX118" s="131">
        <f t="shared" si="40"/>
        <v>45</v>
      </c>
      <c r="AY118" s="129">
        <f t="shared" si="41"/>
        <v>60</v>
      </c>
      <c r="AZ118" s="141">
        <f t="shared" si="47"/>
        <v>75</v>
      </c>
    </row>
    <row r="119" ht="15.75" customHeight="1" spans="1:52" x14ac:dyDescent="0.25">
      <c r="A119" s="214" t="str">
        <f>'IA Marks'!A119</f>
        <v>23N81A62B4</v>
      </c>
      <c r="B119" s="215">
        <f>'IA Marks'!B119</f>
        <v>0</v>
      </c>
      <c r="C119" s="117"/>
      <c r="D119" s="117">
        <v>45</v>
      </c>
      <c r="E119" s="117">
        <v>45</v>
      </c>
      <c r="F119" s="117">
        <v>45</v>
      </c>
      <c r="G119" s="117">
        <v>45</v>
      </c>
      <c r="H119" s="117">
        <v>45</v>
      </c>
      <c r="I119" s="117">
        <v>45</v>
      </c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207"/>
      <c r="AB119" s="207"/>
      <c r="AC119" s="207"/>
      <c r="AD119" s="207"/>
      <c r="AE119" s="207"/>
      <c r="AF119" s="207"/>
      <c r="AG119" s="207"/>
      <c r="AH119" s="207"/>
      <c r="AI119" s="128">
        <f t="shared" si="30"/>
        <v>45</v>
      </c>
      <c r="AJ119" s="129">
        <f t="shared" si="31"/>
        <v>60</v>
      </c>
      <c r="AK119" s="141">
        <f t="shared" si="42"/>
        <v>75</v>
      </c>
      <c r="AL119" s="131">
        <f t="shared" si="32"/>
        <v>45</v>
      </c>
      <c r="AM119" s="129">
        <f t="shared" si="33"/>
        <v>60</v>
      </c>
      <c r="AN119" s="141">
        <f t="shared" si="43"/>
        <v>75</v>
      </c>
      <c r="AO119" s="131">
        <f t="shared" si="34"/>
        <v>45</v>
      </c>
      <c r="AP119" s="129">
        <f t="shared" si="35"/>
        <v>60</v>
      </c>
      <c r="AQ119" s="141">
        <f t="shared" si="44"/>
        <v>75</v>
      </c>
      <c r="AR119" s="131">
        <f t="shared" si="36"/>
        <v>45</v>
      </c>
      <c r="AS119" s="129">
        <f t="shared" si="37"/>
        <v>60</v>
      </c>
      <c r="AT119" s="141">
        <f t="shared" si="45"/>
        <v>75</v>
      </c>
      <c r="AU119" s="131">
        <f t="shared" si="38"/>
        <v>45</v>
      </c>
      <c r="AV119" s="129">
        <f t="shared" si="39"/>
        <v>60</v>
      </c>
      <c r="AW119" s="141">
        <f t="shared" si="46"/>
        <v>75</v>
      </c>
      <c r="AX119" s="131">
        <f t="shared" si="40"/>
        <v>45</v>
      </c>
      <c r="AY119" s="129">
        <f t="shared" si="41"/>
        <v>60</v>
      </c>
      <c r="AZ119" s="141">
        <f t="shared" si="47"/>
        <v>75</v>
      </c>
    </row>
    <row r="120" ht="15.75" customHeight="1" spans="1:52" x14ac:dyDescent="0.25">
      <c r="A120" s="214" t="str">
        <f>'IA Marks'!A120</f>
        <v>23N81A62B5</v>
      </c>
      <c r="B120" s="215">
        <f>'IA Marks'!B120</f>
        <v>0</v>
      </c>
      <c r="C120" s="117"/>
      <c r="D120" s="117">
        <v>45</v>
      </c>
      <c r="E120" s="117">
        <v>45</v>
      </c>
      <c r="F120" s="117">
        <v>45</v>
      </c>
      <c r="G120" s="117">
        <v>45</v>
      </c>
      <c r="H120" s="117">
        <v>45</v>
      </c>
      <c r="I120" s="117">
        <v>45</v>
      </c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207"/>
      <c r="AB120" s="207"/>
      <c r="AC120" s="207"/>
      <c r="AD120" s="207"/>
      <c r="AE120" s="207"/>
      <c r="AF120" s="207"/>
      <c r="AG120" s="207"/>
      <c r="AH120" s="207"/>
      <c r="AI120" s="128">
        <f t="shared" si="30"/>
        <v>45</v>
      </c>
      <c r="AJ120" s="129">
        <f t="shared" si="31"/>
        <v>60</v>
      </c>
      <c r="AK120" s="141">
        <f t="shared" si="42"/>
        <v>75</v>
      </c>
      <c r="AL120" s="131">
        <f t="shared" si="32"/>
        <v>45</v>
      </c>
      <c r="AM120" s="129">
        <f t="shared" si="33"/>
        <v>60</v>
      </c>
      <c r="AN120" s="141">
        <f t="shared" si="43"/>
        <v>75</v>
      </c>
      <c r="AO120" s="131">
        <f t="shared" si="34"/>
        <v>45</v>
      </c>
      <c r="AP120" s="129">
        <f t="shared" si="35"/>
        <v>60</v>
      </c>
      <c r="AQ120" s="141">
        <f t="shared" si="44"/>
        <v>75</v>
      </c>
      <c r="AR120" s="131">
        <f t="shared" si="36"/>
        <v>45</v>
      </c>
      <c r="AS120" s="129">
        <f t="shared" si="37"/>
        <v>60</v>
      </c>
      <c r="AT120" s="141">
        <f t="shared" si="45"/>
        <v>75</v>
      </c>
      <c r="AU120" s="131">
        <f t="shared" si="38"/>
        <v>45</v>
      </c>
      <c r="AV120" s="129">
        <f t="shared" si="39"/>
        <v>60</v>
      </c>
      <c r="AW120" s="141">
        <f t="shared" si="46"/>
        <v>75</v>
      </c>
      <c r="AX120" s="131">
        <f t="shared" si="40"/>
        <v>45</v>
      </c>
      <c r="AY120" s="129">
        <f t="shared" si="41"/>
        <v>60</v>
      </c>
      <c r="AZ120" s="141">
        <f t="shared" si="47"/>
        <v>75</v>
      </c>
    </row>
    <row r="121" ht="15.75" customHeight="1" spans="1:52" x14ac:dyDescent="0.25">
      <c r="A121" s="214" t="str">
        <f>'IA Marks'!A121</f>
        <v>23N81A62B6</v>
      </c>
      <c r="B121" s="215">
        <f>'IA Marks'!B121</f>
        <v>0</v>
      </c>
      <c r="C121" s="117"/>
      <c r="D121" s="117">
        <v>45</v>
      </c>
      <c r="E121" s="117">
        <v>45</v>
      </c>
      <c r="F121" s="117">
        <v>45</v>
      </c>
      <c r="G121" s="117">
        <v>45</v>
      </c>
      <c r="H121" s="117">
        <v>45</v>
      </c>
      <c r="I121" s="117">
        <v>45</v>
      </c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207"/>
      <c r="AB121" s="207"/>
      <c r="AC121" s="207"/>
      <c r="AD121" s="207"/>
      <c r="AE121" s="207"/>
      <c r="AF121" s="207"/>
      <c r="AG121" s="207"/>
      <c r="AH121" s="207"/>
      <c r="AI121" s="128">
        <f t="shared" si="30"/>
        <v>45</v>
      </c>
      <c r="AJ121" s="129">
        <f t="shared" si="31"/>
        <v>60</v>
      </c>
      <c r="AK121" s="141">
        <f t="shared" si="42"/>
        <v>75</v>
      </c>
      <c r="AL121" s="131">
        <f t="shared" si="32"/>
        <v>45</v>
      </c>
      <c r="AM121" s="129">
        <f t="shared" si="33"/>
        <v>60</v>
      </c>
      <c r="AN121" s="141">
        <f t="shared" si="43"/>
        <v>75</v>
      </c>
      <c r="AO121" s="131">
        <f t="shared" si="34"/>
        <v>45</v>
      </c>
      <c r="AP121" s="129">
        <f t="shared" si="35"/>
        <v>60</v>
      </c>
      <c r="AQ121" s="141">
        <f t="shared" si="44"/>
        <v>75</v>
      </c>
      <c r="AR121" s="131">
        <f t="shared" si="36"/>
        <v>45</v>
      </c>
      <c r="AS121" s="129">
        <f t="shared" si="37"/>
        <v>60</v>
      </c>
      <c r="AT121" s="141">
        <f t="shared" si="45"/>
        <v>75</v>
      </c>
      <c r="AU121" s="131">
        <f t="shared" si="38"/>
        <v>45</v>
      </c>
      <c r="AV121" s="129">
        <f t="shared" si="39"/>
        <v>60</v>
      </c>
      <c r="AW121" s="141">
        <f t="shared" si="46"/>
        <v>75</v>
      </c>
      <c r="AX121" s="131">
        <f t="shared" si="40"/>
        <v>45</v>
      </c>
      <c r="AY121" s="129">
        <f t="shared" si="41"/>
        <v>60</v>
      </c>
      <c r="AZ121" s="141">
        <f t="shared" si="47"/>
        <v>75</v>
      </c>
    </row>
    <row r="122" ht="15.75" customHeight="1" spans="1:52" x14ac:dyDescent="0.25">
      <c r="A122" s="214" t="str">
        <f>'IA Marks'!A122</f>
        <v>23N81A62B7</v>
      </c>
      <c r="B122" s="215">
        <f>'IA Marks'!B122</f>
        <v>0</v>
      </c>
      <c r="C122" s="117"/>
      <c r="D122" s="117">
        <v>45</v>
      </c>
      <c r="E122" s="117">
        <v>45</v>
      </c>
      <c r="F122" s="117">
        <v>45</v>
      </c>
      <c r="G122" s="117">
        <v>45</v>
      </c>
      <c r="H122" s="117">
        <v>45</v>
      </c>
      <c r="I122" s="117">
        <v>45</v>
      </c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207"/>
      <c r="AB122" s="207"/>
      <c r="AC122" s="207"/>
      <c r="AD122" s="207"/>
      <c r="AE122" s="207"/>
      <c r="AF122" s="207"/>
      <c r="AG122" s="207"/>
      <c r="AH122" s="207"/>
      <c r="AI122" s="128">
        <f t="shared" si="30"/>
        <v>45</v>
      </c>
      <c r="AJ122" s="129">
        <f t="shared" si="31"/>
        <v>60</v>
      </c>
      <c r="AK122" s="141">
        <f t="shared" si="42"/>
        <v>75</v>
      </c>
      <c r="AL122" s="131">
        <f t="shared" si="32"/>
        <v>45</v>
      </c>
      <c r="AM122" s="129">
        <f t="shared" si="33"/>
        <v>60</v>
      </c>
      <c r="AN122" s="141">
        <f t="shared" si="43"/>
        <v>75</v>
      </c>
      <c r="AO122" s="131">
        <f t="shared" si="34"/>
        <v>45</v>
      </c>
      <c r="AP122" s="129">
        <f t="shared" si="35"/>
        <v>60</v>
      </c>
      <c r="AQ122" s="141">
        <f t="shared" si="44"/>
        <v>75</v>
      </c>
      <c r="AR122" s="131">
        <f t="shared" si="36"/>
        <v>45</v>
      </c>
      <c r="AS122" s="129">
        <f t="shared" si="37"/>
        <v>60</v>
      </c>
      <c r="AT122" s="141">
        <f t="shared" si="45"/>
        <v>75</v>
      </c>
      <c r="AU122" s="131">
        <f t="shared" si="38"/>
        <v>45</v>
      </c>
      <c r="AV122" s="129">
        <f t="shared" si="39"/>
        <v>60</v>
      </c>
      <c r="AW122" s="141">
        <f t="shared" si="46"/>
        <v>75</v>
      </c>
      <c r="AX122" s="131">
        <f t="shared" si="40"/>
        <v>45</v>
      </c>
      <c r="AY122" s="129">
        <f t="shared" si="41"/>
        <v>60</v>
      </c>
      <c r="AZ122" s="141">
        <f t="shared" si="47"/>
        <v>75</v>
      </c>
    </row>
    <row r="123" ht="15.75" customHeight="1" spans="1:52" x14ac:dyDescent="0.25">
      <c r="A123" s="214" t="str">
        <f>'IA Marks'!A123</f>
        <v>23N81A62B8</v>
      </c>
      <c r="B123" s="215">
        <f>'IA Marks'!B123</f>
        <v>0</v>
      </c>
      <c r="C123" s="117"/>
      <c r="D123" s="117">
        <v>45</v>
      </c>
      <c r="E123" s="117">
        <v>45</v>
      </c>
      <c r="F123" s="117">
        <v>45</v>
      </c>
      <c r="G123" s="117">
        <v>45</v>
      </c>
      <c r="H123" s="117">
        <v>45</v>
      </c>
      <c r="I123" s="117">
        <v>45</v>
      </c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207"/>
      <c r="AB123" s="207"/>
      <c r="AC123" s="207"/>
      <c r="AD123" s="207"/>
      <c r="AE123" s="207"/>
      <c r="AF123" s="207"/>
      <c r="AG123" s="207"/>
      <c r="AH123" s="207"/>
      <c r="AI123" s="128">
        <f t="shared" si="30"/>
        <v>45</v>
      </c>
      <c r="AJ123" s="129">
        <f t="shared" si="31"/>
        <v>60</v>
      </c>
      <c r="AK123" s="141">
        <f t="shared" si="42"/>
        <v>75</v>
      </c>
      <c r="AL123" s="131">
        <f t="shared" si="32"/>
        <v>45</v>
      </c>
      <c r="AM123" s="129">
        <f t="shared" si="33"/>
        <v>60</v>
      </c>
      <c r="AN123" s="141">
        <f t="shared" si="43"/>
        <v>75</v>
      </c>
      <c r="AO123" s="131">
        <f t="shared" si="34"/>
        <v>45</v>
      </c>
      <c r="AP123" s="129">
        <f t="shared" si="35"/>
        <v>60</v>
      </c>
      <c r="AQ123" s="141">
        <f t="shared" si="44"/>
        <v>75</v>
      </c>
      <c r="AR123" s="131">
        <f t="shared" si="36"/>
        <v>45</v>
      </c>
      <c r="AS123" s="129">
        <f t="shared" si="37"/>
        <v>60</v>
      </c>
      <c r="AT123" s="141">
        <f t="shared" si="45"/>
        <v>75</v>
      </c>
      <c r="AU123" s="131">
        <f t="shared" si="38"/>
        <v>45</v>
      </c>
      <c r="AV123" s="129">
        <f t="shared" si="39"/>
        <v>60</v>
      </c>
      <c r="AW123" s="141">
        <f t="shared" si="46"/>
        <v>75</v>
      </c>
      <c r="AX123" s="131">
        <f t="shared" si="40"/>
        <v>45</v>
      </c>
      <c r="AY123" s="129">
        <f t="shared" si="41"/>
        <v>60</v>
      </c>
      <c r="AZ123" s="141">
        <f t="shared" si="47"/>
        <v>75</v>
      </c>
    </row>
    <row r="124" ht="15.75" customHeight="1" spans="1:52" x14ac:dyDescent="0.25">
      <c r="A124" s="214" t="str">
        <f>'IA Marks'!A124</f>
        <v>23N81A62B9</v>
      </c>
      <c r="B124" s="215">
        <f>'IA Marks'!B124</f>
        <v>0</v>
      </c>
      <c r="C124" s="117"/>
      <c r="D124" s="117">
        <v>45</v>
      </c>
      <c r="E124" s="117">
        <v>45</v>
      </c>
      <c r="F124" s="117">
        <v>45</v>
      </c>
      <c r="G124" s="117">
        <v>45</v>
      </c>
      <c r="H124" s="117">
        <v>45</v>
      </c>
      <c r="I124" s="117">
        <v>45</v>
      </c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207"/>
      <c r="AB124" s="207"/>
      <c r="AC124" s="207"/>
      <c r="AD124" s="207"/>
      <c r="AE124" s="207"/>
      <c r="AF124" s="207"/>
      <c r="AG124" s="207"/>
      <c r="AH124" s="207"/>
      <c r="AI124" s="128">
        <f t="shared" si="30"/>
        <v>45</v>
      </c>
      <c r="AJ124" s="129">
        <f t="shared" si="31"/>
        <v>60</v>
      </c>
      <c r="AK124" s="141">
        <f t="shared" si="42"/>
        <v>75</v>
      </c>
      <c r="AL124" s="131">
        <f t="shared" si="32"/>
        <v>45</v>
      </c>
      <c r="AM124" s="129">
        <f t="shared" si="33"/>
        <v>60</v>
      </c>
      <c r="AN124" s="141">
        <f t="shared" si="43"/>
        <v>75</v>
      </c>
      <c r="AO124" s="131">
        <f t="shared" si="34"/>
        <v>45</v>
      </c>
      <c r="AP124" s="129">
        <f t="shared" si="35"/>
        <v>60</v>
      </c>
      <c r="AQ124" s="141">
        <f t="shared" si="44"/>
        <v>75</v>
      </c>
      <c r="AR124" s="131">
        <f t="shared" si="36"/>
        <v>45</v>
      </c>
      <c r="AS124" s="129">
        <f t="shared" si="37"/>
        <v>60</v>
      </c>
      <c r="AT124" s="141">
        <f t="shared" si="45"/>
        <v>75</v>
      </c>
      <c r="AU124" s="131">
        <f t="shared" si="38"/>
        <v>45</v>
      </c>
      <c r="AV124" s="129">
        <f t="shared" si="39"/>
        <v>60</v>
      </c>
      <c r="AW124" s="141">
        <f t="shared" si="46"/>
        <v>75</v>
      </c>
      <c r="AX124" s="131">
        <f t="shared" si="40"/>
        <v>45</v>
      </c>
      <c r="AY124" s="129">
        <f t="shared" si="41"/>
        <v>60</v>
      </c>
      <c r="AZ124" s="141">
        <f t="shared" si="47"/>
        <v>75</v>
      </c>
    </row>
    <row r="125" ht="15.75" customHeight="1" spans="1:52" x14ac:dyDescent="0.25">
      <c r="A125" s="214" t="str">
        <f>'IA Marks'!A125</f>
        <v>23N81A62C0</v>
      </c>
      <c r="B125" s="215">
        <f>'IA Marks'!B125</f>
        <v>0</v>
      </c>
      <c r="C125" s="117"/>
      <c r="D125" s="117">
        <v>45</v>
      </c>
      <c r="E125" s="117">
        <v>45</v>
      </c>
      <c r="F125" s="117">
        <v>45</v>
      </c>
      <c r="G125" s="117">
        <v>45</v>
      </c>
      <c r="H125" s="117">
        <v>45</v>
      </c>
      <c r="I125" s="117">
        <v>45</v>
      </c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207"/>
      <c r="AB125" s="207"/>
      <c r="AC125" s="207"/>
      <c r="AD125" s="207"/>
      <c r="AE125" s="207"/>
      <c r="AF125" s="207"/>
      <c r="AG125" s="207"/>
      <c r="AH125" s="207"/>
      <c r="AI125" s="128">
        <f t="shared" si="30"/>
        <v>45</v>
      </c>
      <c r="AJ125" s="129">
        <f t="shared" si="31"/>
        <v>60</v>
      </c>
      <c r="AK125" s="141">
        <f t="shared" si="42"/>
        <v>75</v>
      </c>
      <c r="AL125" s="131">
        <f t="shared" si="32"/>
        <v>45</v>
      </c>
      <c r="AM125" s="129">
        <f t="shared" si="33"/>
        <v>60</v>
      </c>
      <c r="AN125" s="141">
        <f t="shared" si="43"/>
        <v>75</v>
      </c>
      <c r="AO125" s="131">
        <f t="shared" si="34"/>
        <v>45</v>
      </c>
      <c r="AP125" s="129">
        <f t="shared" si="35"/>
        <v>60</v>
      </c>
      <c r="AQ125" s="141">
        <f t="shared" si="44"/>
        <v>75</v>
      </c>
      <c r="AR125" s="131">
        <f t="shared" si="36"/>
        <v>45</v>
      </c>
      <c r="AS125" s="129">
        <f t="shared" si="37"/>
        <v>60</v>
      </c>
      <c r="AT125" s="141">
        <f t="shared" si="45"/>
        <v>75</v>
      </c>
      <c r="AU125" s="131">
        <f t="shared" si="38"/>
        <v>45</v>
      </c>
      <c r="AV125" s="129">
        <f t="shared" si="39"/>
        <v>60</v>
      </c>
      <c r="AW125" s="141">
        <f t="shared" si="46"/>
        <v>75</v>
      </c>
      <c r="AX125" s="131">
        <f t="shared" si="40"/>
        <v>45</v>
      </c>
      <c r="AY125" s="129">
        <f t="shared" si="41"/>
        <v>60</v>
      </c>
      <c r="AZ125" s="141">
        <f t="shared" si="47"/>
        <v>75</v>
      </c>
    </row>
    <row r="126" ht="15.75" customHeight="1" spans="1:52" x14ac:dyDescent="0.25">
      <c r="A126" s="214" t="str">
        <f>'IA Marks'!A126</f>
        <v>23N81A62C1</v>
      </c>
      <c r="B126" s="215">
        <f>'IA Marks'!B126</f>
        <v>0</v>
      </c>
      <c r="C126" s="117"/>
      <c r="D126" s="117">
        <v>45</v>
      </c>
      <c r="E126" s="117">
        <v>45</v>
      </c>
      <c r="F126" s="117">
        <v>49</v>
      </c>
      <c r="G126" s="117">
        <v>45</v>
      </c>
      <c r="H126" s="117">
        <v>45</v>
      </c>
      <c r="I126" s="117">
        <v>45</v>
      </c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207"/>
      <c r="AB126" s="207"/>
      <c r="AC126" s="207"/>
      <c r="AD126" s="207"/>
      <c r="AE126" s="207"/>
      <c r="AF126" s="207"/>
      <c r="AG126" s="207"/>
      <c r="AH126" s="207"/>
      <c r="AI126" s="128">
        <f t="shared" si="30"/>
        <v>45</v>
      </c>
      <c r="AJ126" s="129">
        <f t="shared" si="31"/>
        <v>60</v>
      </c>
      <c r="AK126" s="141">
        <f t="shared" si="42"/>
        <v>75</v>
      </c>
      <c r="AL126" s="131">
        <f t="shared" si="32"/>
        <v>45</v>
      </c>
      <c r="AM126" s="129">
        <f t="shared" si="33"/>
        <v>60</v>
      </c>
      <c r="AN126" s="141">
        <f t="shared" si="43"/>
        <v>75</v>
      </c>
      <c r="AO126" s="131">
        <f t="shared" si="34"/>
        <v>49</v>
      </c>
      <c r="AP126" s="129">
        <f t="shared" si="35"/>
        <v>60</v>
      </c>
      <c r="AQ126" s="141">
        <f t="shared" si="44"/>
        <v>81.67</v>
      </c>
      <c r="AR126" s="131">
        <f t="shared" si="36"/>
        <v>45</v>
      </c>
      <c r="AS126" s="129">
        <f t="shared" si="37"/>
        <v>60</v>
      </c>
      <c r="AT126" s="141">
        <f t="shared" si="45"/>
        <v>75</v>
      </c>
      <c r="AU126" s="131">
        <f t="shared" si="38"/>
        <v>45</v>
      </c>
      <c r="AV126" s="129">
        <f t="shared" si="39"/>
        <v>60</v>
      </c>
      <c r="AW126" s="141">
        <f t="shared" si="46"/>
        <v>75</v>
      </c>
      <c r="AX126" s="131">
        <f t="shared" si="40"/>
        <v>45</v>
      </c>
      <c r="AY126" s="129">
        <f t="shared" si="41"/>
        <v>60</v>
      </c>
      <c r="AZ126" s="141">
        <f t="shared" si="47"/>
        <v>75</v>
      </c>
    </row>
    <row r="127" ht="15.75" customHeight="1" spans="1:52" x14ac:dyDescent="0.25">
      <c r="A127" s="214" t="str">
        <f>'IA Marks'!A127</f>
        <v>23N81A62C2</v>
      </c>
      <c r="B127" s="215">
        <f>'IA Marks'!B127</f>
        <v>0</v>
      </c>
      <c r="C127" s="117"/>
      <c r="D127" s="117">
        <v>45</v>
      </c>
      <c r="E127" s="117">
        <v>45</v>
      </c>
      <c r="F127" s="117">
        <v>59</v>
      </c>
      <c r="G127" s="117">
        <v>58</v>
      </c>
      <c r="H127" s="117">
        <v>45</v>
      </c>
      <c r="I127" s="117">
        <v>45</v>
      </c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207"/>
      <c r="AB127" s="207"/>
      <c r="AC127" s="207"/>
      <c r="AD127" s="207"/>
      <c r="AE127" s="207"/>
      <c r="AF127" s="207"/>
      <c r="AG127" s="207"/>
      <c r="AH127" s="207"/>
      <c r="AI127" s="128">
        <f t="shared" si="30"/>
        <v>45</v>
      </c>
      <c r="AJ127" s="129">
        <f t="shared" si="31"/>
        <v>60</v>
      </c>
      <c r="AK127" s="141">
        <f t="shared" si="42"/>
        <v>75</v>
      </c>
      <c r="AL127" s="131">
        <f t="shared" si="32"/>
        <v>45</v>
      </c>
      <c r="AM127" s="129">
        <f t="shared" si="33"/>
        <v>60</v>
      </c>
      <c r="AN127" s="141">
        <f t="shared" si="43"/>
        <v>75</v>
      </c>
      <c r="AO127" s="131">
        <f t="shared" si="34"/>
        <v>59</v>
      </c>
      <c r="AP127" s="129">
        <f t="shared" si="35"/>
        <v>60</v>
      </c>
      <c r="AQ127" s="141">
        <f t="shared" si="44"/>
        <v>98.34</v>
      </c>
      <c r="AR127" s="131">
        <f t="shared" si="36"/>
        <v>58</v>
      </c>
      <c r="AS127" s="129">
        <f t="shared" si="37"/>
        <v>60</v>
      </c>
      <c r="AT127" s="141">
        <f t="shared" si="45"/>
        <v>96.67</v>
      </c>
      <c r="AU127" s="131">
        <f t="shared" si="38"/>
        <v>45</v>
      </c>
      <c r="AV127" s="129">
        <f t="shared" si="39"/>
        <v>60</v>
      </c>
      <c r="AW127" s="141">
        <f t="shared" si="46"/>
        <v>75</v>
      </c>
      <c r="AX127" s="131">
        <f t="shared" si="40"/>
        <v>45</v>
      </c>
      <c r="AY127" s="129">
        <f t="shared" si="41"/>
        <v>60</v>
      </c>
      <c r="AZ127" s="141">
        <f t="shared" si="47"/>
        <v>75</v>
      </c>
    </row>
    <row r="128" ht="15.75" customHeight="1" spans="1:52" x14ac:dyDescent="0.25">
      <c r="A128" s="214" t="str">
        <f>'IA Marks'!A128</f>
        <v>23N81A62C3</v>
      </c>
      <c r="B128" s="215">
        <f>'IA Marks'!B128</f>
        <v>0</v>
      </c>
      <c r="C128" s="117"/>
      <c r="D128" s="117">
        <v>45</v>
      </c>
      <c r="E128" s="117">
        <v>45</v>
      </c>
      <c r="F128" s="117">
        <v>60</v>
      </c>
      <c r="G128" s="117">
        <v>60</v>
      </c>
      <c r="H128" s="117">
        <v>45</v>
      </c>
      <c r="I128" s="117">
        <v>45</v>
      </c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207"/>
      <c r="AB128" s="207"/>
      <c r="AC128" s="207"/>
      <c r="AD128" s="207"/>
      <c r="AE128" s="207"/>
      <c r="AF128" s="207"/>
      <c r="AG128" s="207"/>
      <c r="AH128" s="207"/>
      <c r="AI128" s="128">
        <f t="shared" si="30"/>
        <v>45</v>
      </c>
      <c r="AJ128" s="129">
        <f t="shared" si="31"/>
        <v>60</v>
      </c>
      <c r="AK128" s="141">
        <f t="shared" si="42"/>
        <v>75</v>
      </c>
      <c r="AL128" s="131">
        <f t="shared" si="32"/>
        <v>45</v>
      </c>
      <c r="AM128" s="129">
        <f t="shared" si="33"/>
        <v>60</v>
      </c>
      <c r="AN128" s="141">
        <f t="shared" si="43"/>
        <v>75</v>
      </c>
      <c r="AO128" s="131">
        <f t="shared" si="34"/>
        <v>60</v>
      </c>
      <c r="AP128" s="129">
        <f t="shared" si="35"/>
        <v>60</v>
      </c>
      <c r="AQ128" s="141">
        <f t="shared" si="44"/>
        <v>100</v>
      </c>
      <c r="AR128" s="131">
        <f t="shared" si="36"/>
        <v>60</v>
      </c>
      <c r="AS128" s="129">
        <f t="shared" si="37"/>
        <v>60</v>
      </c>
      <c r="AT128" s="141">
        <f t="shared" si="45"/>
        <v>100</v>
      </c>
      <c r="AU128" s="131">
        <f t="shared" si="38"/>
        <v>45</v>
      </c>
      <c r="AV128" s="129">
        <f t="shared" si="39"/>
        <v>60</v>
      </c>
      <c r="AW128" s="141">
        <f t="shared" si="46"/>
        <v>75</v>
      </c>
      <c r="AX128" s="131">
        <f t="shared" si="40"/>
        <v>45</v>
      </c>
      <c r="AY128" s="129">
        <f t="shared" si="41"/>
        <v>60</v>
      </c>
      <c r="AZ128" s="141">
        <f t="shared" si="47"/>
        <v>75</v>
      </c>
    </row>
    <row r="129" ht="15.75" customHeight="1" spans="1:52" x14ac:dyDescent="0.25">
      <c r="A129" s="214" t="str">
        <f>'IA Marks'!A129</f>
        <v>23N81A62C4</v>
      </c>
      <c r="B129" s="215">
        <f>'IA Marks'!B129</f>
        <v>0</v>
      </c>
      <c r="C129" s="117"/>
      <c r="D129" s="117">
        <v>45</v>
      </c>
      <c r="E129" s="117">
        <v>45</v>
      </c>
      <c r="F129" s="117">
        <v>45</v>
      </c>
      <c r="G129" s="117">
        <v>45</v>
      </c>
      <c r="H129" s="117">
        <v>45</v>
      </c>
      <c r="I129" s="117">
        <v>45</v>
      </c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207"/>
      <c r="AB129" s="207"/>
      <c r="AC129" s="207"/>
      <c r="AD129" s="207"/>
      <c r="AE129" s="207"/>
      <c r="AF129" s="207"/>
      <c r="AG129" s="207"/>
      <c r="AH129" s="207"/>
      <c r="AI129" s="128">
        <f t="shared" si="30"/>
        <v>45</v>
      </c>
      <c r="AJ129" s="129">
        <f t="shared" si="31"/>
        <v>60</v>
      </c>
      <c r="AK129" s="141">
        <f t="shared" si="42"/>
        <v>75</v>
      </c>
      <c r="AL129" s="131">
        <f t="shared" si="32"/>
        <v>45</v>
      </c>
      <c r="AM129" s="129">
        <f t="shared" si="33"/>
        <v>60</v>
      </c>
      <c r="AN129" s="141">
        <f t="shared" si="43"/>
        <v>75</v>
      </c>
      <c r="AO129" s="131">
        <f t="shared" si="34"/>
        <v>45</v>
      </c>
      <c r="AP129" s="129">
        <f t="shared" si="35"/>
        <v>60</v>
      </c>
      <c r="AQ129" s="141">
        <f t="shared" si="44"/>
        <v>75</v>
      </c>
      <c r="AR129" s="131">
        <f t="shared" si="36"/>
        <v>45</v>
      </c>
      <c r="AS129" s="129">
        <f t="shared" si="37"/>
        <v>60</v>
      </c>
      <c r="AT129" s="141">
        <f t="shared" si="45"/>
        <v>75</v>
      </c>
      <c r="AU129" s="131">
        <f t="shared" si="38"/>
        <v>45</v>
      </c>
      <c r="AV129" s="129">
        <f t="shared" si="39"/>
        <v>60</v>
      </c>
      <c r="AW129" s="141">
        <f t="shared" si="46"/>
        <v>75</v>
      </c>
      <c r="AX129" s="131">
        <f t="shared" si="40"/>
        <v>45</v>
      </c>
      <c r="AY129" s="129">
        <f t="shared" si="41"/>
        <v>60</v>
      </c>
      <c r="AZ129" s="141">
        <f t="shared" si="47"/>
        <v>75</v>
      </c>
    </row>
    <row r="130" ht="15.75" customHeight="1" spans="1:52" x14ac:dyDescent="0.25">
      <c r="A130" s="214" t="str">
        <f>'IA Marks'!A130</f>
        <v>23N81A62C5</v>
      </c>
      <c r="B130" s="215">
        <f>'IA Marks'!B130</f>
        <v>0</v>
      </c>
      <c r="C130" s="117"/>
      <c r="D130" s="117">
        <v>45</v>
      </c>
      <c r="E130" s="117">
        <v>45</v>
      </c>
      <c r="F130" s="117">
        <v>45</v>
      </c>
      <c r="G130" s="117">
        <v>46</v>
      </c>
      <c r="H130" s="117">
        <v>45</v>
      </c>
      <c r="I130" s="117">
        <v>45</v>
      </c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207"/>
      <c r="AB130" s="207"/>
      <c r="AC130" s="207"/>
      <c r="AD130" s="207"/>
      <c r="AE130" s="207"/>
      <c r="AF130" s="207"/>
      <c r="AG130" s="207"/>
      <c r="AH130" s="207"/>
      <c r="AI130" s="128">
        <f t="shared" si="30"/>
        <v>45</v>
      </c>
      <c r="AJ130" s="129">
        <f t="shared" si="31"/>
        <v>60</v>
      </c>
      <c r="AK130" s="141">
        <f t="shared" si="42"/>
        <v>75</v>
      </c>
      <c r="AL130" s="131">
        <f t="shared" si="32"/>
        <v>45</v>
      </c>
      <c r="AM130" s="129">
        <f t="shared" si="33"/>
        <v>60</v>
      </c>
      <c r="AN130" s="141">
        <f t="shared" si="43"/>
        <v>75</v>
      </c>
      <c r="AO130" s="131">
        <f t="shared" si="34"/>
        <v>45</v>
      </c>
      <c r="AP130" s="129">
        <f t="shared" si="35"/>
        <v>60</v>
      </c>
      <c r="AQ130" s="141">
        <f t="shared" si="44"/>
        <v>75</v>
      </c>
      <c r="AR130" s="131">
        <f t="shared" si="36"/>
        <v>46</v>
      </c>
      <c r="AS130" s="129">
        <f t="shared" si="37"/>
        <v>60</v>
      </c>
      <c r="AT130" s="141">
        <f t="shared" si="45"/>
        <v>76.67</v>
      </c>
      <c r="AU130" s="131">
        <f t="shared" si="38"/>
        <v>45</v>
      </c>
      <c r="AV130" s="129">
        <f t="shared" si="39"/>
        <v>60</v>
      </c>
      <c r="AW130" s="141">
        <f t="shared" si="46"/>
        <v>75</v>
      </c>
      <c r="AX130" s="131">
        <f t="shared" si="40"/>
        <v>45</v>
      </c>
      <c r="AY130" s="129">
        <f t="shared" si="41"/>
        <v>60</v>
      </c>
      <c r="AZ130" s="141">
        <f t="shared" si="47"/>
        <v>75</v>
      </c>
    </row>
    <row r="131" ht="15.75" customHeight="1" spans="1:52" x14ac:dyDescent="0.25">
      <c r="A131" s="214" t="str">
        <f>'IA Marks'!A131</f>
        <v>23N81A62C6</v>
      </c>
      <c r="B131" s="215">
        <f>'IA Marks'!B131</f>
        <v>0</v>
      </c>
      <c r="C131" s="117"/>
      <c r="D131" s="117">
        <v>45</v>
      </c>
      <c r="E131" s="117">
        <v>45</v>
      </c>
      <c r="F131" s="117">
        <v>45</v>
      </c>
      <c r="G131" s="117">
        <v>45</v>
      </c>
      <c r="H131" s="117">
        <v>45</v>
      </c>
      <c r="I131" s="117">
        <v>45</v>
      </c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207"/>
      <c r="AB131" s="207"/>
      <c r="AC131" s="207"/>
      <c r="AD131" s="207"/>
      <c r="AE131" s="207"/>
      <c r="AF131" s="207"/>
      <c r="AG131" s="207"/>
      <c r="AH131" s="207"/>
      <c r="AI131" s="128">
        <f t="shared" si="30"/>
        <v>45</v>
      </c>
      <c r="AJ131" s="129">
        <f t="shared" si="31"/>
        <v>60</v>
      </c>
      <c r="AK131" s="141">
        <f t="shared" si="42"/>
        <v>75</v>
      </c>
      <c r="AL131" s="131">
        <f t="shared" si="32"/>
        <v>45</v>
      </c>
      <c r="AM131" s="129">
        <f t="shared" si="33"/>
        <v>60</v>
      </c>
      <c r="AN131" s="141">
        <f t="shared" si="43"/>
        <v>75</v>
      </c>
      <c r="AO131" s="131">
        <f t="shared" si="34"/>
        <v>45</v>
      </c>
      <c r="AP131" s="129">
        <f t="shared" si="35"/>
        <v>60</v>
      </c>
      <c r="AQ131" s="141">
        <f t="shared" si="44"/>
        <v>75</v>
      </c>
      <c r="AR131" s="131">
        <f t="shared" si="36"/>
        <v>45</v>
      </c>
      <c r="AS131" s="129">
        <f t="shared" si="37"/>
        <v>60</v>
      </c>
      <c r="AT131" s="141">
        <f t="shared" si="45"/>
        <v>75</v>
      </c>
      <c r="AU131" s="131">
        <f t="shared" si="38"/>
        <v>45</v>
      </c>
      <c r="AV131" s="129">
        <f t="shared" si="39"/>
        <v>60</v>
      </c>
      <c r="AW131" s="141">
        <f t="shared" si="46"/>
        <v>75</v>
      </c>
      <c r="AX131" s="131">
        <f t="shared" si="40"/>
        <v>45</v>
      </c>
      <c r="AY131" s="129">
        <f t="shared" si="41"/>
        <v>60</v>
      </c>
      <c r="AZ131" s="141">
        <f t="shared" si="47"/>
        <v>75</v>
      </c>
    </row>
    <row r="132" ht="15.75" customHeight="1" spans="1:52" x14ac:dyDescent="0.25">
      <c r="A132" s="214" t="str">
        <f>'IA Marks'!A132</f>
        <v>23N81A62C7</v>
      </c>
      <c r="B132" s="215">
        <f>'IA Marks'!B132</f>
        <v>0</v>
      </c>
      <c r="C132" s="117"/>
      <c r="D132" s="117">
        <v>45</v>
      </c>
      <c r="E132" s="117">
        <v>45</v>
      </c>
      <c r="F132" s="117">
        <v>45</v>
      </c>
      <c r="G132" s="117">
        <v>45</v>
      </c>
      <c r="H132" s="117">
        <v>45</v>
      </c>
      <c r="I132" s="117">
        <v>45</v>
      </c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207"/>
      <c r="AB132" s="207"/>
      <c r="AC132" s="207"/>
      <c r="AD132" s="207"/>
      <c r="AE132" s="207"/>
      <c r="AF132" s="207"/>
      <c r="AG132" s="207"/>
      <c r="AH132" s="207"/>
      <c r="AI132" s="128">
        <f t="shared" si="30"/>
        <v>45</v>
      </c>
      <c r="AJ132" s="129">
        <f t="shared" si="31"/>
        <v>60</v>
      </c>
      <c r="AK132" s="141">
        <f t="shared" si="42"/>
        <v>75</v>
      </c>
      <c r="AL132" s="131">
        <f t="shared" si="32"/>
        <v>45</v>
      </c>
      <c r="AM132" s="129">
        <f t="shared" si="33"/>
        <v>60</v>
      </c>
      <c r="AN132" s="141">
        <f t="shared" si="43"/>
        <v>75</v>
      </c>
      <c r="AO132" s="131">
        <f t="shared" si="34"/>
        <v>45</v>
      </c>
      <c r="AP132" s="129">
        <f t="shared" si="35"/>
        <v>60</v>
      </c>
      <c r="AQ132" s="141">
        <f t="shared" si="44"/>
        <v>75</v>
      </c>
      <c r="AR132" s="131">
        <f t="shared" si="36"/>
        <v>45</v>
      </c>
      <c r="AS132" s="129">
        <f t="shared" si="37"/>
        <v>60</v>
      </c>
      <c r="AT132" s="141">
        <f t="shared" si="45"/>
        <v>75</v>
      </c>
      <c r="AU132" s="131">
        <f t="shared" si="38"/>
        <v>45</v>
      </c>
      <c r="AV132" s="129">
        <f t="shared" si="39"/>
        <v>60</v>
      </c>
      <c r="AW132" s="141">
        <f t="shared" si="46"/>
        <v>75</v>
      </c>
      <c r="AX132" s="131">
        <f t="shared" si="40"/>
        <v>45</v>
      </c>
      <c r="AY132" s="129">
        <f t="shared" si="41"/>
        <v>60</v>
      </c>
      <c r="AZ132" s="141">
        <f t="shared" si="47"/>
        <v>75</v>
      </c>
    </row>
    <row r="133" ht="15.75" customHeight="1" spans="1:52" x14ac:dyDescent="0.25">
      <c r="A133" s="214" t="str">
        <f>'IA Marks'!A133</f>
        <v>23N81A62C8</v>
      </c>
      <c r="B133" s="215">
        <f>'IA Marks'!B133</f>
        <v>0</v>
      </c>
      <c r="C133" s="117"/>
      <c r="D133" s="117">
        <v>45</v>
      </c>
      <c r="E133" s="117">
        <v>45</v>
      </c>
      <c r="F133" s="117">
        <v>45</v>
      </c>
      <c r="G133" s="117">
        <v>45</v>
      </c>
      <c r="H133" s="117">
        <v>45</v>
      </c>
      <c r="I133" s="117">
        <v>45</v>
      </c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207"/>
      <c r="AB133" s="207"/>
      <c r="AC133" s="207"/>
      <c r="AD133" s="207"/>
      <c r="AE133" s="207"/>
      <c r="AF133" s="207"/>
      <c r="AG133" s="207"/>
      <c r="AH133" s="207"/>
      <c r="AI133" s="128">
        <f t="shared" si="30"/>
        <v>45</v>
      </c>
      <c r="AJ133" s="129">
        <f t="shared" si="31"/>
        <v>60</v>
      </c>
      <c r="AK133" s="141">
        <f t="shared" si="42"/>
        <v>75</v>
      </c>
      <c r="AL133" s="131">
        <f t="shared" si="32"/>
        <v>45</v>
      </c>
      <c r="AM133" s="129">
        <f t="shared" si="33"/>
        <v>60</v>
      </c>
      <c r="AN133" s="141">
        <f t="shared" si="43"/>
        <v>75</v>
      </c>
      <c r="AO133" s="131">
        <f t="shared" si="34"/>
        <v>45</v>
      </c>
      <c r="AP133" s="129">
        <f t="shared" si="35"/>
        <v>60</v>
      </c>
      <c r="AQ133" s="141">
        <f t="shared" si="44"/>
        <v>75</v>
      </c>
      <c r="AR133" s="131">
        <f t="shared" si="36"/>
        <v>45</v>
      </c>
      <c r="AS133" s="129">
        <f t="shared" si="37"/>
        <v>60</v>
      </c>
      <c r="AT133" s="141">
        <f t="shared" si="45"/>
        <v>75</v>
      </c>
      <c r="AU133" s="131">
        <f t="shared" si="38"/>
        <v>45</v>
      </c>
      <c r="AV133" s="129">
        <f t="shared" si="39"/>
        <v>60</v>
      </c>
      <c r="AW133" s="141">
        <f t="shared" si="46"/>
        <v>75</v>
      </c>
      <c r="AX133" s="131">
        <f t="shared" si="40"/>
        <v>45</v>
      </c>
      <c r="AY133" s="129">
        <f t="shared" si="41"/>
        <v>60</v>
      </c>
      <c r="AZ133" s="141">
        <f t="shared" si="47"/>
        <v>75</v>
      </c>
    </row>
    <row r="134" ht="15.75" customHeight="1" spans="1:52" x14ac:dyDescent="0.25">
      <c r="A134" s="214">
        <f>'IA Marks'!A134</f>
        <v>0</v>
      </c>
      <c r="B134" s="215">
        <f>'IA Marks'!B134</f>
        <v>0</v>
      </c>
      <c r="C134" s="117"/>
      <c r="D134" s="117">
        <v>45</v>
      </c>
      <c r="E134" s="117">
        <v>45</v>
      </c>
      <c r="F134" s="117">
        <v>45</v>
      </c>
      <c r="G134" s="117">
        <v>45</v>
      </c>
      <c r="H134" s="117">
        <v>45</v>
      </c>
      <c r="I134" s="117">
        <v>45</v>
      </c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207"/>
      <c r="AB134" s="207"/>
      <c r="AC134" s="207"/>
      <c r="AD134" s="207"/>
      <c r="AE134" s="207"/>
      <c r="AF134" s="207"/>
      <c r="AG134" s="207"/>
      <c r="AH134" s="207"/>
      <c r="AI134" s="128">
        <f t="shared" si="30"/>
        <v>45</v>
      </c>
      <c r="AJ134" s="129">
        <f t="shared" si="31"/>
        <v>60</v>
      </c>
      <c r="AK134" s="141">
        <f t="shared" si="42"/>
        <v>75</v>
      </c>
      <c r="AL134" s="131">
        <f t="shared" si="32"/>
        <v>45</v>
      </c>
      <c r="AM134" s="129">
        <f t="shared" si="33"/>
        <v>60</v>
      </c>
      <c r="AN134" s="141">
        <f t="shared" si="43"/>
        <v>75</v>
      </c>
      <c r="AO134" s="131">
        <f t="shared" si="34"/>
        <v>45</v>
      </c>
      <c r="AP134" s="129">
        <f t="shared" si="35"/>
        <v>60</v>
      </c>
      <c r="AQ134" s="141">
        <f t="shared" si="44"/>
        <v>75</v>
      </c>
      <c r="AR134" s="131">
        <f t="shared" si="36"/>
        <v>45</v>
      </c>
      <c r="AS134" s="129">
        <f t="shared" si="37"/>
        <v>60</v>
      </c>
      <c r="AT134" s="141">
        <f t="shared" si="45"/>
        <v>75</v>
      </c>
      <c r="AU134" s="131">
        <f t="shared" si="38"/>
        <v>45</v>
      </c>
      <c r="AV134" s="129">
        <f t="shared" si="39"/>
        <v>60</v>
      </c>
      <c r="AW134" s="141">
        <f t="shared" si="46"/>
        <v>75</v>
      </c>
      <c r="AX134" s="131">
        <f t="shared" si="40"/>
        <v>45</v>
      </c>
      <c r="AY134" s="129">
        <f t="shared" si="41"/>
        <v>60</v>
      </c>
      <c r="AZ134" s="141">
        <f t="shared" si="47"/>
        <v>75</v>
      </c>
    </row>
    <row r="135" ht="15.75" customHeight="1" spans="1:52" x14ac:dyDescent="0.25">
      <c r="A135" s="214">
        <f>'IA Marks'!A135</f>
        <v>0</v>
      </c>
      <c r="B135" s="215">
        <f>'IA Marks'!B135</f>
        <v>0</v>
      </c>
      <c r="C135" s="117"/>
      <c r="D135" s="117">
        <v>45</v>
      </c>
      <c r="E135" s="117">
        <v>45</v>
      </c>
      <c r="F135" s="117">
        <v>45</v>
      </c>
      <c r="G135" s="117">
        <v>45</v>
      </c>
      <c r="H135" s="117">
        <v>45</v>
      </c>
      <c r="I135" s="117">
        <v>45</v>
      </c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207"/>
      <c r="AB135" s="207"/>
      <c r="AC135" s="207"/>
      <c r="AD135" s="207"/>
      <c r="AE135" s="207"/>
      <c r="AF135" s="207"/>
      <c r="AG135" s="207"/>
      <c r="AH135" s="207"/>
      <c r="AI135" s="128">
        <f t="shared" si="30"/>
        <v>45</v>
      </c>
      <c r="AJ135" s="129">
        <f t="shared" si="31"/>
        <v>60</v>
      </c>
      <c r="AK135" s="141">
        <f t="shared" si="42"/>
        <v>75</v>
      </c>
      <c r="AL135" s="131">
        <f t="shared" si="32"/>
        <v>45</v>
      </c>
      <c r="AM135" s="129">
        <f t="shared" si="33"/>
        <v>60</v>
      </c>
      <c r="AN135" s="141">
        <f t="shared" si="43"/>
        <v>75</v>
      </c>
      <c r="AO135" s="131">
        <f t="shared" si="34"/>
        <v>45</v>
      </c>
      <c r="AP135" s="129">
        <f t="shared" si="35"/>
        <v>60</v>
      </c>
      <c r="AQ135" s="141">
        <f t="shared" si="44"/>
        <v>75</v>
      </c>
      <c r="AR135" s="131">
        <f t="shared" si="36"/>
        <v>45</v>
      </c>
      <c r="AS135" s="129">
        <f t="shared" si="37"/>
        <v>60</v>
      </c>
      <c r="AT135" s="141">
        <f t="shared" si="45"/>
        <v>75</v>
      </c>
      <c r="AU135" s="131">
        <f t="shared" si="38"/>
        <v>45</v>
      </c>
      <c r="AV135" s="129">
        <f t="shared" si="39"/>
        <v>60</v>
      </c>
      <c r="AW135" s="141">
        <f t="shared" si="46"/>
        <v>75</v>
      </c>
      <c r="AX135" s="131">
        <f t="shared" si="40"/>
        <v>45</v>
      </c>
      <c r="AY135" s="129">
        <f t="shared" si="41"/>
        <v>60</v>
      </c>
      <c r="AZ135" s="141">
        <f t="shared" si="47"/>
        <v>75</v>
      </c>
    </row>
    <row r="136" ht="15.75" customHeight="1" spans="1:79" x14ac:dyDescent="0.25">
      <c r="A136" s="162"/>
      <c r="B136" s="162"/>
      <c r="C136" s="1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4"/>
      <c r="V136" s="164"/>
      <c r="W136" s="164"/>
      <c r="X136" s="164"/>
      <c r="Y136" s="163"/>
      <c r="Z136" s="163"/>
      <c r="AA136" s="164"/>
      <c r="AB136" s="163"/>
      <c r="AC136" s="163"/>
      <c r="AD136" s="164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4"/>
      <c r="AS136" s="164"/>
      <c r="AT136" s="163"/>
      <c r="AU136" s="163"/>
      <c r="AV136" s="163"/>
      <c r="AW136" s="163"/>
      <c r="AX136" s="163"/>
      <c r="AY136" s="163"/>
      <c r="AZ136" s="163"/>
      <c r="BA136" s="170"/>
      <c r="BB136" s="1"/>
      <c r="BC136" s="1"/>
      <c r="BD136" s="1"/>
      <c r="BE136" s="1"/>
      <c r="BF136" s="1"/>
      <c r="BG136" s="216">
        <f t="shared" ref="BG136:BG167" si="48">SUM(D136:R136)</f>
        <v>0</v>
      </c>
      <c r="BH136" s="217">
        <f t="shared" ref="BH136:BH200" si="49">(BG136*15)/40</f>
        <v>0</v>
      </c>
      <c r="BI136" s="218"/>
      <c r="BJ136" s="219">
        <f t="shared" ref="BJ136:BJ167" si="50">SUMIF($D$7:$AG$7,"1",$D136:$BH136)</f>
        <v>0</v>
      </c>
      <c r="BK136" s="140" t="e">
        <f t="shared" ref="BK136:BK167" si="51">SUMIFS($D$9:$AG$9,$D$7:$AG$7,"1",$D136:$BH136,"&gt;"&amp;-1)</f>
        <v>#VALUE!</v>
      </c>
      <c r="BL136" s="141" t="e">
        <f t="shared" ref="BL136:BL167" si="52">ROUNDUP(IF(BK136,BJ136/BK136%,0),2)</f>
        <v>#VALUE!</v>
      </c>
      <c r="BM136" s="142">
        <f t="shared" ref="BM136:BM167" si="53">SUMIF($D$7:$AG$7,"2",$D136:$BH136)</f>
        <v>0</v>
      </c>
      <c r="BN136" s="140" t="e">
        <f t="shared" ref="BN136:BN167" si="54">SUMIFS($D$9:$AG$9,$D$7:$AG$7,"2",$D136:$BH136,"&gt;"&amp;-1)</f>
        <v>#VALUE!</v>
      </c>
      <c r="BO136" s="141" t="e">
        <f t="shared" ref="BO136:BO167" si="55">ROUNDUP(IF(BN136,BM136/BN136%,0),2)</f>
        <v>#VALUE!</v>
      </c>
      <c r="BP136" s="142">
        <f t="shared" ref="BP136:BP167" si="56">SUMIF($D$7:$AG$7,"3",$D136:$BH136)</f>
        <v>0</v>
      </c>
      <c r="BQ136" s="140" t="e">
        <f t="shared" ref="BQ136:BQ167" si="57">SUMIFS($D$9:$AG$9,$D$7:$AG$7,"3",$D136:$BH136,"&gt;"&amp;-1)</f>
        <v>#VALUE!</v>
      </c>
      <c r="BR136" s="141" t="e">
        <f t="shared" ref="BR136:BR167" si="58">ROUNDUP(IF(BQ136,BP136/BQ136%,0),2)</f>
        <v>#VALUE!</v>
      </c>
      <c r="BS136" s="142">
        <f t="shared" ref="BS136:BS167" si="59">SUMIF($D$7:$AG$7,"4",$D136:$BH136)</f>
        <v>0</v>
      </c>
      <c r="BT136" s="140" t="e">
        <f t="shared" ref="BT136:BT167" si="60">SUMIFS($D$9:$AG$9,$D$7:$AG$7,"4",$D136:$BH136,"&gt;"&amp;-1)</f>
        <v>#VALUE!</v>
      </c>
      <c r="BU136" s="141" t="e">
        <f t="shared" ref="BU136:BU167" si="61">ROUNDUP(IF(BT136,BS136/BT136%,0),2)</f>
        <v>#VALUE!</v>
      </c>
      <c r="BV136" s="142">
        <f t="shared" ref="BV136:BV167" si="62">SUMIF($D$7:$AG$7,"5",$D136:$BH136)</f>
        <v>0</v>
      </c>
      <c r="BW136" s="140" t="e">
        <f t="shared" ref="BW136:BW167" si="63">SUMIFS($D$9:$AG$9,$D$7:$AG$7,"5",$D136:$BH136,"&gt;"&amp;-1)</f>
        <v>#VALUE!</v>
      </c>
      <c r="BX136" s="141" t="e">
        <f t="shared" ref="BX136:BX167" si="64">ROUNDUP(IF(BW136,BV136/BW136%,0),2)</f>
        <v>#VALUE!</v>
      </c>
      <c r="BY136" s="142">
        <f t="shared" ref="BY136:BY167" si="65">SUMIF($D$7:$AG$7,"6",$D136:$BH136)</f>
        <v>0</v>
      </c>
      <c r="BZ136" s="140" t="e">
        <f t="shared" ref="BZ136:BZ167" si="66">SUMIFS($D$9:$AG$9,$D$7:$AG$7,"6",$D136:$BH136,"&gt;"&amp;-1)</f>
        <v>#VALUE!</v>
      </c>
      <c r="CA136" s="141" t="e">
        <f t="shared" ref="CA136:CA167" si="67">ROUNDUP(IF(BZ136,BY136/BZ136%,0),2)</f>
        <v>#VALUE!</v>
      </c>
    </row>
    <row r="137" ht="15.75" customHeight="1" spans="1:79" x14ac:dyDescent="0.25">
      <c r="A137" s="162"/>
      <c r="B137" s="162"/>
      <c r="C137" s="1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4"/>
      <c r="V137" s="164"/>
      <c r="W137" s="164"/>
      <c r="X137" s="164"/>
      <c r="Y137" s="163"/>
      <c r="Z137" s="163"/>
      <c r="AA137" s="164"/>
      <c r="AB137" s="163"/>
      <c r="AC137" s="163"/>
      <c r="AD137" s="164"/>
      <c r="AE137" s="163"/>
      <c r="AF137" s="163"/>
      <c r="AG137" s="163"/>
      <c r="AH137" s="163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4"/>
      <c r="AS137" s="164"/>
      <c r="AT137" s="162"/>
      <c r="AU137" s="162"/>
      <c r="AV137" s="162"/>
      <c r="AW137" s="162"/>
      <c r="AX137" s="162"/>
      <c r="AY137" s="162"/>
      <c r="AZ137" s="162"/>
      <c r="BA137" s="170"/>
      <c r="BB137" s="1"/>
      <c r="BC137" s="1"/>
      <c r="BD137" s="1"/>
      <c r="BE137" s="1"/>
      <c r="BF137" s="1"/>
      <c r="BG137" s="216">
        <f t="shared" si="48"/>
        <v>0</v>
      </c>
      <c r="BH137" s="217">
        <f t="shared" si="49"/>
        <v>0</v>
      </c>
      <c r="BI137" s="218"/>
      <c r="BJ137" s="219">
        <f t="shared" si="50"/>
        <v>0</v>
      </c>
      <c r="BK137" s="140" t="e">
        <f t="shared" si="51"/>
        <v>#VALUE!</v>
      </c>
      <c r="BL137" s="141" t="e">
        <f t="shared" si="52"/>
        <v>#VALUE!</v>
      </c>
      <c r="BM137" s="142">
        <f t="shared" si="53"/>
        <v>0</v>
      </c>
      <c r="BN137" s="140" t="e">
        <f t="shared" si="54"/>
        <v>#VALUE!</v>
      </c>
      <c r="BO137" s="141" t="e">
        <f t="shared" si="55"/>
        <v>#VALUE!</v>
      </c>
      <c r="BP137" s="142">
        <f t="shared" si="56"/>
        <v>0</v>
      </c>
      <c r="BQ137" s="140" t="e">
        <f t="shared" si="57"/>
        <v>#VALUE!</v>
      </c>
      <c r="BR137" s="141" t="e">
        <f t="shared" si="58"/>
        <v>#VALUE!</v>
      </c>
      <c r="BS137" s="142">
        <f t="shared" si="59"/>
        <v>0</v>
      </c>
      <c r="BT137" s="140" t="e">
        <f t="shared" si="60"/>
        <v>#VALUE!</v>
      </c>
      <c r="BU137" s="141" t="e">
        <f t="shared" si="61"/>
        <v>#VALUE!</v>
      </c>
      <c r="BV137" s="142">
        <f t="shared" si="62"/>
        <v>0</v>
      </c>
      <c r="BW137" s="140" t="e">
        <f t="shared" si="63"/>
        <v>#VALUE!</v>
      </c>
      <c r="BX137" s="141" t="e">
        <f t="shared" si="64"/>
        <v>#VALUE!</v>
      </c>
      <c r="BY137" s="142">
        <f t="shared" si="65"/>
        <v>0</v>
      </c>
      <c r="BZ137" s="140" t="e">
        <f t="shared" si="66"/>
        <v>#VALUE!</v>
      </c>
      <c r="CA137" s="141" t="e">
        <f t="shared" si="67"/>
        <v>#VALUE!</v>
      </c>
    </row>
    <row r="138" ht="15.75" customHeight="1" spans="1:79" x14ac:dyDescent="0.25">
      <c r="A138" s="162"/>
      <c r="B138" s="162"/>
      <c r="C138" s="1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4"/>
      <c r="V138" s="164"/>
      <c r="W138" s="164"/>
      <c r="X138" s="164"/>
      <c r="Y138" s="163"/>
      <c r="Z138" s="163"/>
      <c r="AA138" s="164"/>
      <c r="AB138" s="163"/>
      <c r="AC138" s="163"/>
      <c r="AD138" s="164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4"/>
      <c r="AS138" s="164"/>
      <c r="AT138" s="163"/>
      <c r="AU138" s="163"/>
      <c r="AV138" s="163"/>
      <c r="AW138" s="163"/>
      <c r="AX138" s="163"/>
      <c r="AY138" s="163"/>
      <c r="AZ138" s="163"/>
      <c r="BA138" s="170"/>
      <c r="BB138" s="1"/>
      <c r="BC138" s="1"/>
      <c r="BD138" s="1"/>
      <c r="BE138" s="1"/>
      <c r="BF138" s="1"/>
      <c r="BG138" s="216">
        <f t="shared" si="48"/>
        <v>0</v>
      </c>
      <c r="BH138" s="217">
        <f t="shared" si="49"/>
        <v>0</v>
      </c>
      <c r="BI138" s="218"/>
      <c r="BJ138" s="219">
        <f t="shared" si="50"/>
        <v>0</v>
      </c>
      <c r="BK138" s="140" t="e">
        <f t="shared" si="51"/>
        <v>#VALUE!</v>
      </c>
      <c r="BL138" s="141" t="e">
        <f t="shared" si="52"/>
        <v>#VALUE!</v>
      </c>
      <c r="BM138" s="142">
        <f t="shared" si="53"/>
        <v>0</v>
      </c>
      <c r="BN138" s="140" t="e">
        <f t="shared" si="54"/>
        <v>#VALUE!</v>
      </c>
      <c r="BO138" s="141" t="e">
        <f t="shared" si="55"/>
        <v>#VALUE!</v>
      </c>
      <c r="BP138" s="142">
        <f t="shared" si="56"/>
        <v>0</v>
      </c>
      <c r="BQ138" s="140" t="e">
        <f t="shared" si="57"/>
        <v>#VALUE!</v>
      </c>
      <c r="BR138" s="141" t="e">
        <f t="shared" si="58"/>
        <v>#VALUE!</v>
      </c>
      <c r="BS138" s="142">
        <f t="shared" si="59"/>
        <v>0</v>
      </c>
      <c r="BT138" s="140" t="e">
        <f t="shared" si="60"/>
        <v>#VALUE!</v>
      </c>
      <c r="BU138" s="141" t="e">
        <f t="shared" si="61"/>
        <v>#VALUE!</v>
      </c>
      <c r="BV138" s="142">
        <f t="shared" si="62"/>
        <v>0</v>
      </c>
      <c r="BW138" s="140" t="e">
        <f t="shared" si="63"/>
        <v>#VALUE!</v>
      </c>
      <c r="BX138" s="141" t="e">
        <f t="shared" si="64"/>
        <v>#VALUE!</v>
      </c>
      <c r="BY138" s="142">
        <f t="shared" si="65"/>
        <v>0</v>
      </c>
      <c r="BZ138" s="140" t="e">
        <f t="shared" si="66"/>
        <v>#VALUE!</v>
      </c>
      <c r="CA138" s="141" t="e">
        <f t="shared" si="67"/>
        <v>#VALUE!</v>
      </c>
    </row>
    <row r="139" ht="15.75" customHeight="1" spans="1:79" x14ac:dyDescent="0.25">
      <c r="A139" s="162"/>
      <c r="B139" s="162"/>
      <c r="C139" s="1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4"/>
      <c r="V139" s="164"/>
      <c r="W139" s="164"/>
      <c r="X139" s="164"/>
      <c r="Y139" s="163"/>
      <c r="Z139" s="163"/>
      <c r="AA139" s="164"/>
      <c r="AB139" s="163"/>
      <c r="AC139" s="163"/>
      <c r="AD139" s="164"/>
      <c r="AE139" s="163"/>
      <c r="AF139" s="163"/>
      <c r="AG139" s="163"/>
      <c r="AH139" s="163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4"/>
      <c r="AS139" s="164"/>
      <c r="AT139" s="162"/>
      <c r="AU139" s="162"/>
      <c r="AV139" s="162"/>
      <c r="AW139" s="162"/>
      <c r="AX139" s="162"/>
      <c r="AY139" s="162"/>
      <c r="AZ139" s="162"/>
      <c r="BA139" s="170"/>
      <c r="BB139" s="1"/>
      <c r="BC139" s="1"/>
      <c r="BD139" s="1"/>
      <c r="BE139" s="1"/>
      <c r="BF139" s="1"/>
      <c r="BG139" s="216">
        <f t="shared" si="48"/>
        <v>0</v>
      </c>
      <c r="BH139" s="217">
        <f t="shared" si="49"/>
        <v>0</v>
      </c>
      <c r="BI139" s="218"/>
      <c r="BJ139" s="219">
        <f t="shared" si="50"/>
        <v>0</v>
      </c>
      <c r="BK139" s="140" t="e">
        <f t="shared" si="51"/>
        <v>#VALUE!</v>
      </c>
      <c r="BL139" s="141" t="e">
        <f t="shared" si="52"/>
        <v>#VALUE!</v>
      </c>
      <c r="BM139" s="142">
        <f t="shared" si="53"/>
        <v>0</v>
      </c>
      <c r="BN139" s="140" t="e">
        <f t="shared" si="54"/>
        <v>#VALUE!</v>
      </c>
      <c r="BO139" s="141" t="e">
        <f t="shared" si="55"/>
        <v>#VALUE!</v>
      </c>
      <c r="BP139" s="142">
        <f t="shared" si="56"/>
        <v>0</v>
      </c>
      <c r="BQ139" s="140" t="e">
        <f t="shared" si="57"/>
        <v>#VALUE!</v>
      </c>
      <c r="BR139" s="141" t="e">
        <f t="shared" si="58"/>
        <v>#VALUE!</v>
      </c>
      <c r="BS139" s="142">
        <f t="shared" si="59"/>
        <v>0</v>
      </c>
      <c r="BT139" s="140" t="e">
        <f t="shared" si="60"/>
        <v>#VALUE!</v>
      </c>
      <c r="BU139" s="141" t="e">
        <f t="shared" si="61"/>
        <v>#VALUE!</v>
      </c>
      <c r="BV139" s="142">
        <f t="shared" si="62"/>
        <v>0</v>
      </c>
      <c r="BW139" s="140" t="e">
        <f t="shared" si="63"/>
        <v>#VALUE!</v>
      </c>
      <c r="BX139" s="141" t="e">
        <f t="shared" si="64"/>
        <v>#VALUE!</v>
      </c>
      <c r="BY139" s="142">
        <f t="shared" si="65"/>
        <v>0</v>
      </c>
      <c r="BZ139" s="140" t="e">
        <f t="shared" si="66"/>
        <v>#VALUE!</v>
      </c>
      <c r="CA139" s="141" t="e">
        <f t="shared" si="67"/>
        <v>#VALUE!</v>
      </c>
    </row>
    <row r="140" ht="15.75" customHeight="1" spans="1:79" x14ac:dyDescent="0.25">
      <c r="A140" s="162"/>
      <c r="B140" s="162"/>
      <c r="C140" s="1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4"/>
      <c r="V140" s="164"/>
      <c r="W140" s="164"/>
      <c r="X140" s="164"/>
      <c r="Y140" s="163"/>
      <c r="Z140" s="163"/>
      <c r="AA140" s="164"/>
      <c r="AB140" s="163"/>
      <c r="AC140" s="163"/>
      <c r="AD140" s="164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4"/>
      <c r="AS140" s="164"/>
      <c r="AT140" s="163"/>
      <c r="AU140" s="163"/>
      <c r="AV140" s="163"/>
      <c r="AW140" s="163"/>
      <c r="AX140" s="163"/>
      <c r="AY140" s="163"/>
      <c r="AZ140" s="163"/>
      <c r="BA140" s="170"/>
      <c r="BB140" s="1"/>
      <c r="BC140" s="1"/>
      <c r="BD140" s="1"/>
      <c r="BE140" s="1"/>
      <c r="BF140" s="1"/>
      <c r="BG140" s="216">
        <f t="shared" si="48"/>
        <v>0</v>
      </c>
      <c r="BH140" s="217">
        <f t="shared" si="49"/>
        <v>0</v>
      </c>
      <c r="BI140" s="218"/>
      <c r="BJ140" s="219">
        <f t="shared" si="50"/>
        <v>0</v>
      </c>
      <c r="BK140" s="140" t="e">
        <f t="shared" si="51"/>
        <v>#VALUE!</v>
      </c>
      <c r="BL140" s="141" t="e">
        <f t="shared" si="52"/>
        <v>#VALUE!</v>
      </c>
      <c r="BM140" s="142">
        <f t="shared" si="53"/>
        <v>0</v>
      </c>
      <c r="BN140" s="140" t="e">
        <f t="shared" si="54"/>
        <v>#VALUE!</v>
      </c>
      <c r="BO140" s="141" t="e">
        <f t="shared" si="55"/>
        <v>#VALUE!</v>
      </c>
      <c r="BP140" s="142">
        <f t="shared" si="56"/>
        <v>0</v>
      </c>
      <c r="BQ140" s="140" t="e">
        <f t="shared" si="57"/>
        <v>#VALUE!</v>
      </c>
      <c r="BR140" s="141" t="e">
        <f t="shared" si="58"/>
        <v>#VALUE!</v>
      </c>
      <c r="BS140" s="142">
        <f t="shared" si="59"/>
        <v>0</v>
      </c>
      <c r="BT140" s="140" t="e">
        <f t="shared" si="60"/>
        <v>#VALUE!</v>
      </c>
      <c r="BU140" s="141" t="e">
        <f t="shared" si="61"/>
        <v>#VALUE!</v>
      </c>
      <c r="BV140" s="142">
        <f t="shared" si="62"/>
        <v>0</v>
      </c>
      <c r="BW140" s="140" t="e">
        <f t="shared" si="63"/>
        <v>#VALUE!</v>
      </c>
      <c r="BX140" s="141" t="e">
        <f t="shared" si="64"/>
        <v>#VALUE!</v>
      </c>
      <c r="BY140" s="142">
        <f t="shared" si="65"/>
        <v>0</v>
      </c>
      <c r="BZ140" s="140" t="e">
        <f t="shared" si="66"/>
        <v>#VALUE!</v>
      </c>
      <c r="CA140" s="141" t="e">
        <f t="shared" si="67"/>
        <v>#VALUE!</v>
      </c>
    </row>
    <row r="141" ht="15.75" customHeight="1" spans="1:79" x14ac:dyDescent="0.25">
      <c r="A141" s="162"/>
      <c r="B141" s="162"/>
      <c r="C141" s="1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4"/>
      <c r="V141" s="164"/>
      <c r="W141" s="164"/>
      <c r="X141" s="164"/>
      <c r="Y141" s="163"/>
      <c r="Z141" s="163"/>
      <c r="AA141" s="164"/>
      <c r="AB141" s="163"/>
      <c r="AC141" s="163"/>
      <c r="AD141" s="164"/>
      <c r="AE141" s="163"/>
      <c r="AF141" s="163"/>
      <c r="AG141" s="163"/>
      <c r="AH141" s="163"/>
      <c r="AI141" s="162"/>
      <c r="AJ141" s="162"/>
      <c r="AK141" s="162"/>
      <c r="AL141" s="162"/>
      <c r="AM141" s="162"/>
      <c r="AN141" s="162"/>
      <c r="AO141" s="162"/>
      <c r="AP141" s="162"/>
      <c r="AQ141" s="162"/>
      <c r="AR141" s="164"/>
      <c r="AS141" s="164"/>
      <c r="AT141" s="162"/>
      <c r="AU141" s="162"/>
      <c r="AV141" s="162"/>
      <c r="AW141" s="162"/>
      <c r="AX141" s="162"/>
      <c r="AY141" s="162"/>
      <c r="AZ141" s="162"/>
      <c r="BA141" s="170"/>
      <c r="BB141" s="1"/>
      <c r="BC141" s="1"/>
      <c r="BD141" s="1"/>
      <c r="BE141" s="1"/>
      <c r="BF141" s="1"/>
      <c r="BG141" s="216">
        <f t="shared" si="48"/>
        <v>0</v>
      </c>
      <c r="BH141" s="217">
        <f t="shared" si="49"/>
        <v>0</v>
      </c>
      <c r="BI141" s="218"/>
      <c r="BJ141" s="219">
        <f t="shared" si="50"/>
        <v>0</v>
      </c>
      <c r="BK141" s="140" t="e">
        <f t="shared" si="51"/>
        <v>#VALUE!</v>
      </c>
      <c r="BL141" s="141" t="e">
        <f t="shared" si="52"/>
        <v>#VALUE!</v>
      </c>
      <c r="BM141" s="142">
        <f t="shared" si="53"/>
        <v>0</v>
      </c>
      <c r="BN141" s="140" t="e">
        <f t="shared" si="54"/>
        <v>#VALUE!</v>
      </c>
      <c r="BO141" s="141" t="e">
        <f t="shared" si="55"/>
        <v>#VALUE!</v>
      </c>
      <c r="BP141" s="142">
        <f t="shared" si="56"/>
        <v>0</v>
      </c>
      <c r="BQ141" s="140" t="e">
        <f t="shared" si="57"/>
        <v>#VALUE!</v>
      </c>
      <c r="BR141" s="141" t="e">
        <f t="shared" si="58"/>
        <v>#VALUE!</v>
      </c>
      <c r="BS141" s="142">
        <f t="shared" si="59"/>
        <v>0</v>
      </c>
      <c r="BT141" s="140" t="e">
        <f t="shared" si="60"/>
        <v>#VALUE!</v>
      </c>
      <c r="BU141" s="141" t="e">
        <f t="shared" si="61"/>
        <v>#VALUE!</v>
      </c>
      <c r="BV141" s="142">
        <f t="shared" si="62"/>
        <v>0</v>
      </c>
      <c r="BW141" s="140" t="e">
        <f t="shared" si="63"/>
        <v>#VALUE!</v>
      </c>
      <c r="BX141" s="141" t="e">
        <f t="shared" si="64"/>
        <v>#VALUE!</v>
      </c>
      <c r="BY141" s="142">
        <f t="shared" si="65"/>
        <v>0</v>
      </c>
      <c r="BZ141" s="140" t="e">
        <f t="shared" si="66"/>
        <v>#VALUE!</v>
      </c>
      <c r="CA141" s="141" t="e">
        <f t="shared" si="67"/>
        <v>#VALUE!</v>
      </c>
    </row>
    <row r="142" ht="15.75" customHeight="1" spans="1:79" x14ac:dyDescent="0.25">
      <c r="A142" s="162"/>
      <c r="B142" s="162"/>
      <c r="C142" s="1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3"/>
      <c r="T142" s="163"/>
      <c r="U142" s="164"/>
      <c r="V142" s="164"/>
      <c r="W142" s="164"/>
      <c r="X142" s="164"/>
      <c r="Y142" s="163"/>
      <c r="Z142" s="163"/>
      <c r="AA142" s="164"/>
      <c r="AB142" s="163"/>
      <c r="AC142" s="163"/>
      <c r="AD142" s="164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4"/>
      <c r="AS142" s="164"/>
      <c r="AT142" s="163"/>
      <c r="AU142" s="163"/>
      <c r="AV142" s="163"/>
      <c r="AW142" s="163"/>
      <c r="AX142" s="163"/>
      <c r="AY142" s="163"/>
      <c r="AZ142" s="163"/>
      <c r="BA142" s="170"/>
      <c r="BB142" s="1"/>
      <c r="BC142" s="1"/>
      <c r="BD142" s="1"/>
      <c r="BE142" s="1"/>
      <c r="BF142" s="1"/>
      <c r="BG142" s="216">
        <f t="shared" si="48"/>
        <v>0</v>
      </c>
      <c r="BH142" s="217">
        <f t="shared" si="49"/>
        <v>0</v>
      </c>
      <c r="BI142" s="218"/>
      <c r="BJ142" s="219">
        <f t="shared" si="50"/>
        <v>0</v>
      </c>
      <c r="BK142" s="140" t="e">
        <f t="shared" si="51"/>
        <v>#VALUE!</v>
      </c>
      <c r="BL142" s="141" t="e">
        <f t="shared" si="52"/>
        <v>#VALUE!</v>
      </c>
      <c r="BM142" s="142">
        <f t="shared" si="53"/>
        <v>0</v>
      </c>
      <c r="BN142" s="140" t="e">
        <f t="shared" si="54"/>
        <v>#VALUE!</v>
      </c>
      <c r="BO142" s="141" t="e">
        <f t="shared" si="55"/>
        <v>#VALUE!</v>
      </c>
      <c r="BP142" s="142">
        <f t="shared" si="56"/>
        <v>0</v>
      </c>
      <c r="BQ142" s="140" t="e">
        <f t="shared" si="57"/>
        <v>#VALUE!</v>
      </c>
      <c r="BR142" s="141" t="e">
        <f t="shared" si="58"/>
        <v>#VALUE!</v>
      </c>
      <c r="BS142" s="142">
        <f t="shared" si="59"/>
        <v>0</v>
      </c>
      <c r="BT142" s="140" t="e">
        <f t="shared" si="60"/>
        <v>#VALUE!</v>
      </c>
      <c r="BU142" s="141" t="e">
        <f t="shared" si="61"/>
        <v>#VALUE!</v>
      </c>
      <c r="BV142" s="142">
        <f t="shared" si="62"/>
        <v>0</v>
      </c>
      <c r="BW142" s="140" t="e">
        <f t="shared" si="63"/>
        <v>#VALUE!</v>
      </c>
      <c r="BX142" s="141" t="e">
        <f t="shared" si="64"/>
        <v>#VALUE!</v>
      </c>
      <c r="BY142" s="142">
        <f t="shared" si="65"/>
        <v>0</v>
      </c>
      <c r="BZ142" s="140" t="e">
        <f t="shared" si="66"/>
        <v>#VALUE!</v>
      </c>
      <c r="CA142" s="141" t="e">
        <f t="shared" si="67"/>
        <v>#VALUE!</v>
      </c>
    </row>
    <row r="143" ht="15.75" customHeight="1" spans="1:79" x14ac:dyDescent="0.25">
      <c r="A143" s="162"/>
      <c r="B143" s="162"/>
      <c r="C143" s="1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4"/>
      <c r="V143" s="164"/>
      <c r="W143" s="164"/>
      <c r="X143" s="164"/>
      <c r="Y143" s="163"/>
      <c r="Z143" s="163"/>
      <c r="AA143" s="164"/>
      <c r="AB143" s="163"/>
      <c r="AC143" s="163"/>
      <c r="AD143" s="164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4"/>
      <c r="AS143" s="164"/>
      <c r="AT143" s="163"/>
      <c r="AU143" s="163"/>
      <c r="AV143" s="163"/>
      <c r="AW143" s="163"/>
      <c r="AX143" s="163"/>
      <c r="AY143" s="163"/>
      <c r="AZ143" s="163"/>
      <c r="BA143" s="170"/>
      <c r="BB143" s="1"/>
      <c r="BC143" s="1"/>
      <c r="BD143" s="1"/>
      <c r="BE143" s="1"/>
      <c r="BF143" s="1"/>
      <c r="BG143" s="216">
        <f t="shared" si="48"/>
        <v>0</v>
      </c>
      <c r="BH143" s="217">
        <f t="shared" si="49"/>
        <v>0</v>
      </c>
      <c r="BI143" s="218"/>
      <c r="BJ143" s="219">
        <f t="shared" si="50"/>
        <v>0</v>
      </c>
      <c r="BK143" s="140" t="e">
        <f t="shared" si="51"/>
        <v>#VALUE!</v>
      </c>
      <c r="BL143" s="141" t="e">
        <f t="shared" si="52"/>
        <v>#VALUE!</v>
      </c>
      <c r="BM143" s="142">
        <f t="shared" si="53"/>
        <v>0</v>
      </c>
      <c r="BN143" s="140" t="e">
        <f t="shared" si="54"/>
        <v>#VALUE!</v>
      </c>
      <c r="BO143" s="141" t="e">
        <f t="shared" si="55"/>
        <v>#VALUE!</v>
      </c>
      <c r="BP143" s="142">
        <f t="shared" si="56"/>
        <v>0</v>
      </c>
      <c r="BQ143" s="140" t="e">
        <f t="shared" si="57"/>
        <v>#VALUE!</v>
      </c>
      <c r="BR143" s="141" t="e">
        <f t="shared" si="58"/>
        <v>#VALUE!</v>
      </c>
      <c r="BS143" s="142">
        <f t="shared" si="59"/>
        <v>0</v>
      </c>
      <c r="BT143" s="140" t="e">
        <f t="shared" si="60"/>
        <v>#VALUE!</v>
      </c>
      <c r="BU143" s="141" t="e">
        <f t="shared" si="61"/>
        <v>#VALUE!</v>
      </c>
      <c r="BV143" s="142">
        <f t="shared" si="62"/>
        <v>0</v>
      </c>
      <c r="BW143" s="140" t="e">
        <f t="shared" si="63"/>
        <v>#VALUE!</v>
      </c>
      <c r="BX143" s="141" t="e">
        <f t="shared" si="64"/>
        <v>#VALUE!</v>
      </c>
      <c r="BY143" s="142">
        <f t="shared" si="65"/>
        <v>0</v>
      </c>
      <c r="BZ143" s="140" t="e">
        <f t="shared" si="66"/>
        <v>#VALUE!</v>
      </c>
      <c r="CA143" s="141" t="e">
        <f t="shared" si="67"/>
        <v>#VALUE!</v>
      </c>
    </row>
    <row r="144" ht="15.75" customHeight="1" spans="1:79" x14ac:dyDescent="0.25">
      <c r="A144" s="162"/>
      <c r="B144" s="162"/>
      <c r="C144" s="1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3"/>
      <c r="T144" s="163"/>
      <c r="U144" s="164"/>
      <c r="V144" s="164"/>
      <c r="W144" s="164"/>
      <c r="X144" s="164"/>
      <c r="Y144" s="163"/>
      <c r="Z144" s="163"/>
      <c r="AA144" s="164"/>
      <c r="AB144" s="163"/>
      <c r="AC144" s="163"/>
      <c r="AD144" s="164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4"/>
      <c r="AS144" s="164"/>
      <c r="AT144" s="163"/>
      <c r="AU144" s="163"/>
      <c r="AV144" s="163"/>
      <c r="AW144" s="163"/>
      <c r="AX144" s="163"/>
      <c r="AY144" s="163"/>
      <c r="AZ144" s="163"/>
      <c r="BA144" s="170"/>
      <c r="BB144" s="1"/>
      <c r="BC144" s="1"/>
      <c r="BD144" s="1"/>
      <c r="BE144" s="1"/>
      <c r="BF144" s="1"/>
      <c r="BG144" s="216">
        <f t="shared" si="48"/>
        <v>0</v>
      </c>
      <c r="BH144" s="217">
        <f t="shared" si="49"/>
        <v>0</v>
      </c>
      <c r="BI144" s="218"/>
      <c r="BJ144" s="219">
        <f t="shared" si="50"/>
        <v>0</v>
      </c>
      <c r="BK144" s="140" t="e">
        <f t="shared" si="51"/>
        <v>#VALUE!</v>
      </c>
      <c r="BL144" s="141" t="e">
        <f t="shared" si="52"/>
        <v>#VALUE!</v>
      </c>
      <c r="BM144" s="142">
        <f t="shared" si="53"/>
        <v>0</v>
      </c>
      <c r="BN144" s="140" t="e">
        <f t="shared" si="54"/>
        <v>#VALUE!</v>
      </c>
      <c r="BO144" s="141" t="e">
        <f t="shared" si="55"/>
        <v>#VALUE!</v>
      </c>
      <c r="BP144" s="142">
        <f t="shared" si="56"/>
        <v>0</v>
      </c>
      <c r="BQ144" s="140" t="e">
        <f t="shared" si="57"/>
        <v>#VALUE!</v>
      </c>
      <c r="BR144" s="141" t="e">
        <f t="shared" si="58"/>
        <v>#VALUE!</v>
      </c>
      <c r="BS144" s="142">
        <f t="shared" si="59"/>
        <v>0</v>
      </c>
      <c r="BT144" s="140" t="e">
        <f t="shared" si="60"/>
        <v>#VALUE!</v>
      </c>
      <c r="BU144" s="141" t="e">
        <f t="shared" si="61"/>
        <v>#VALUE!</v>
      </c>
      <c r="BV144" s="142">
        <f t="shared" si="62"/>
        <v>0</v>
      </c>
      <c r="BW144" s="140" t="e">
        <f t="shared" si="63"/>
        <v>#VALUE!</v>
      </c>
      <c r="BX144" s="141" t="e">
        <f t="shared" si="64"/>
        <v>#VALUE!</v>
      </c>
      <c r="BY144" s="142">
        <f t="shared" si="65"/>
        <v>0</v>
      </c>
      <c r="BZ144" s="140" t="e">
        <f t="shared" si="66"/>
        <v>#VALUE!</v>
      </c>
      <c r="CA144" s="141" t="e">
        <f t="shared" si="67"/>
        <v>#VALUE!</v>
      </c>
    </row>
    <row r="145" ht="15.75" customHeight="1" spans="1:79" x14ac:dyDescent="0.25">
      <c r="A145" s="162"/>
      <c r="B145" s="162"/>
      <c r="C145" s="1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4"/>
      <c r="V145" s="164"/>
      <c r="W145" s="164"/>
      <c r="X145" s="164"/>
      <c r="Y145" s="163"/>
      <c r="Z145" s="163"/>
      <c r="AA145" s="164"/>
      <c r="AB145" s="163"/>
      <c r="AC145" s="163"/>
      <c r="AD145" s="164"/>
      <c r="AE145" s="163"/>
      <c r="AF145" s="163"/>
      <c r="AG145" s="163"/>
      <c r="AH145" s="163"/>
      <c r="AI145" s="162"/>
      <c r="AJ145" s="162"/>
      <c r="AK145" s="162"/>
      <c r="AL145" s="162"/>
      <c r="AM145" s="162"/>
      <c r="AN145" s="162"/>
      <c r="AO145" s="162"/>
      <c r="AP145" s="162"/>
      <c r="AQ145" s="162"/>
      <c r="AR145" s="164"/>
      <c r="AS145" s="164"/>
      <c r="AT145" s="162"/>
      <c r="AU145" s="162"/>
      <c r="AV145" s="162"/>
      <c r="AW145" s="162"/>
      <c r="AX145" s="162"/>
      <c r="AY145" s="162"/>
      <c r="AZ145" s="162"/>
      <c r="BA145" s="170"/>
      <c r="BB145" s="1"/>
      <c r="BC145" s="1"/>
      <c r="BD145" s="1"/>
      <c r="BE145" s="1"/>
      <c r="BF145" s="1"/>
      <c r="BG145" s="216">
        <f t="shared" si="48"/>
        <v>0</v>
      </c>
      <c r="BH145" s="217">
        <f t="shared" si="49"/>
        <v>0</v>
      </c>
      <c r="BI145" s="218"/>
      <c r="BJ145" s="219">
        <f t="shared" si="50"/>
        <v>0</v>
      </c>
      <c r="BK145" s="140" t="e">
        <f t="shared" si="51"/>
        <v>#VALUE!</v>
      </c>
      <c r="BL145" s="141" t="e">
        <f t="shared" si="52"/>
        <v>#VALUE!</v>
      </c>
      <c r="BM145" s="142">
        <f t="shared" si="53"/>
        <v>0</v>
      </c>
      <c r="BN145" s="140" t="e">
        <f t="shared" si="54"/>
        <v>#VALUE!</v>
      </c>
      <c r="BO145" s="141" t="e">
        <f t="shared" si="55"/>
        <v>#VALUE!</v>
      </c>
      <c r="BP145" s="142">
        <f t="shared" si="56"/>
        <v>0</v>
      </c>
      <c r="BQ145" s="140" t="e">
        <f t="shared" si="57"/>
        <v>#VALUE!</v>
      </c>
      <c r="BR145" s="141" t="e">
        <f t="shared" si="58"/>
        <v>#VALUE!</v>
      </c>
      <c r="BS145" s="142">
        <f t="shared" si="59"/>
        <v>0</v>
      </c>
      <c r="BT145" s="140" t="e">
        <f t="shared" si="60"/>
        <v>#VALUE!</v>
      </c>
      <c r="BU145" s="141" t="e">
        <f t="shared" si="61"/>
        <v>#VALUE!</v>
      </c>
      <c r="BV145" s="142">
        <f t="shared" si="62"/>
        <v>0</v>
      </c>
      <c r="BW145" s="140" t="e">
        <f t="shared" si="63"/>
        <v>#VALUE!</v>
      </c>
      <c r="BX145" s="141" t="e">
        <f t="shared" si="64"/>
        <v>#VALUE!</v>
      </c>
      <c r="BY145" s="142">
        <f t="shared" si="65"/>
        <v>0</v>
      </c>
      <c r="BZ145" s="140" t="e">
        <f t="shared" si="66"/>
        <v>#VALUE!</v>
      </c>
      <c r="CA145" s="141" t="e">
        <f t="shared" si="67"/>
        <v>#VALUE!</v>
      </c>
    </row>
    <row r="146" ht="15.75" customHeight="1" spans="1:79" x14ac:dyDescent="0.25">
      <c r="A146" s="162"/>
      <c r="B146" s="162"/>
      <c r="C146" s="1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4"/>
      <c r="V146" s="164"/>
      <c r="W146" s="164"/>
      <c r="X146" s="164"/>
      <c r="Y146" s="163"/>
      <c r="Z146" s="163"/>
      <c r="AA146" s="164"/>
      <c r="AB146" s="163"/>
      <c r="AC146" s="163"/>
      <c r="AD146" s="164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4"/>
      <c r="AS146" s="164"/>
      <c r="AT146" s="163"/>
      <c r="AU146" s="163"/>
      <c r="AV146" s="163"/>
      <c r="AW146" s="163"/>
      <c r="AX146" s="163"/>
      <c r="AY146" s="163"/>
      <c r="AZ146" s="163"/>
      <c r="BA146" s="170"/>
      <c r="BB146" s="1"/>
      <c r="BC146" s="1"/>
      <c r="BD146" s="1"/>
      <c r="BE146" s="1"/>
      <c r="BF146" s="1"/>
      <c r="BG146" s="216">
        <f t="shared" si="48"/>
        <v>0</v>
      </c>
      <c r="BH146" s="217">
        <f t="shared" si="49"/>
        <v>0</v>
      </c>
      <c r="BI146" s="218"/>
      <c r="BJ146" s="219">
        <f t="shared" si="50"/>
        <v>0</v>
      </c>
      <c r="BK146" s="140" t="e">
        <f t="shared" si="51"/>
        <v>#VALUE!</v>
      </c>
      <c r="BL146" s="141" t="e">
        <f t="shared" si="52"/>
        <v>#VALUE!</v>
      </c>
      <c r="BM146" s="142">
        <f t="shared" si="53"/>
        <v>0</v>
      </c>
      <c r="BN146" s="140" t="e">
        <f t="shared" si="54"/>
        <v>#VALUE!</v>
      </c>
      <c r="BO146" s="141" t="e">
        <f t="shared" si="55"/>
        <v>#VALUE!</v>
      </c>
      <c r="BP146" s="142">
        <f t="shared" si="56"/>
        <v>0</v>
      </c>
      <c r="BQ146" s="140" t="e">
        <f t="shared" si="57"/>
        <v>#VALUE!</v>
      </c>
      <c r="BR146" s="141" t="e">
        <f t="shared" si="58"/>
        <v>#VALUE!</v>
      </c>
      <c r="BS146" s="142">
        <f t="shared" si="59"/>
        <v>0</v>
      </c>
      <c r="BT146" s="140" t="e">
        <f t="shared" si="60"/>
        <v>#VALUE!</v>
      </c>
      <c r="BU146" s="141" t="e">
        <f t="shared" si="61"/>
        <v>#VALUE!</v>
      </c>
      <c r="BV146" s="142">
        <f t="shared" si="62"/>
        <v>0</v>
      </c>
      <c r="BW146" s="140" t="e">
        <f t="shared" si="63"/>
        <v>#VALUE!</v>
      </c>
      <c r="BX146" s="141" t="e">
        <f t="shared" si="64"/>
        <v>#VALUE!</v>
      </c>
      <c r="BY146" s="142">
        <f t="shared" si="65"/>
        <v>0</v>
      </c>
      <c r="BZ146" s="140" t="e">
        <f t="shared" si="66"/>
        <v>#VALUE!</v>
      </c>
      <c r="CA146" s="141" t="e">
        <f t="shared" si="67"/>
        <v>#VALUE!</v>
      </c>
    </row>
    <row r="147" ht="15.75" customHeight="1" spans="1:79" x14ac:dyDescent="0.25">
      <c r="A147" s="162"/>
      <c r="B147" s="162"/>
      <c r="C147" s="1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4"/>
      <c r="V147" s="164"/>
      <c r="W147" s="164"/>
      <c r="X147" s="164"/>
      <c r="Y147" s="163"/>
      <c r="Z147" s="163"/>
      <c r="AA147" s="164"/>
      <c r="AB147" s="163"/>
      <c r="AC147" s="163"/>
      <c r="AD147" s="164"/>
      <c r="AE147" s="163"/>
      <c r="AF147" s="163"/>
      <c r="AG147" s="163"/>
      <c r="AH147" s="163"/>
      <c r="AI147" s="162"/>
      <c r="AJ147" s="162"/>
      <c r="AK147" s="162"/>
      <c r="AL147" s="162"/>
      <c r="AM147" s="162"/>
      <c r="AN147" s="162"/>
      <c r="AO147" s="162"/>
      <c r="AP147" s="162"/>
      <c r="AQ147" s="162"/>
      <c r="AR147" s="164"/>
      <c r="AS147" s="164"/>
      <c r="AT147" s="162"/>
      <c r="AU147" s="162"/>
      <c r="AV147" s="162"/>
      <c r="AW147" s="162"/>
      <c r="AX147" s="162"/>
      <c r="AY147" s="162"/>
      <c r="AZ147" s="162"/>
      <c r="BA147" s="170"/>
      <c r="BB147" s="1"/>
      <c r="BC147" s="1"/>
      <c r="BD147" s="1"/>
      <c r="BE147" s="1"/>
      <c r="BF147" s="1"/>
      <c r="BG147" s="216">
        <f t="shared" si="48"/>
        <v>0</v>
      </c>
      <c r="BH147" s="217">
        <f t="shared" si="49"/>
        <v>0</v>
      </c>
      <c r="BI147" s="218"/>
      <c r="BJ147" s="219">
        <f t="shared" si="50"/>
        <v>0</v>
      </c>
      <c r="BK147" s="140" t="e">
        <f t="shared" si="51"/>
        <v>#VALUE!</v>
      </c>
      <c r="BL147" s="141" t="e">
        <f t="shared" si="52"/>
        <v>#VALUE!</v>
      </c>
      <c r="BM147" s="142">
        <f t="shared" si="53"/>
        <v>0</v>
      </c>
      <c r="BN147" s="140" t="e">
        <f t="shared" si="54"/>
        <v>#VALUE!</v>
      </c>
      <c r="BO147" s="141" t="e">
        <f t="shared" si="55"/>
        <v>#VALUE!</v>
      </c>
      <c r="BP147" s="142">
        <f t="shared" si="56"/>
        <v>0</v>
      </c>
      <c r="BQ147" s="140" t="e">
        <f t="shared" si="57"/>
        <v>#VALUE!</v>
      </c>
      <c r="BR147" s="141" t="e">
        <f t="shared" si="58"/>
        <v>#VALUE!</v>
      </c>
      <c r="BS147" s="142">
        <f t="shared" si="59"/>
        <v>0</v>
      </c>
      <c r="BT147" s="140" t="e">
        <f t="shared" si="60"/>
        <v>#VALUE!</v>
      </c>
      <c r="BU147" s="141" t="e">
        <f t="shared" si="61"/>
        <v>#VALUE!</v>
      </c>
      <c r="BV147" s="142">
        <f t="shared" si="62"/>
        <v>0</v>
      </c>
      <c r="BW147" s="140" t="e">
        <f t="shared" si="63"/>
        <v>#VALUE!</v>
      </c>
      <c r="BX147" s="141" t="e">
        <f t="shared" si="64"/>
        <v>#VALUE!</v>
      </c>
      <c r="BY147" s="142">
        <f t="shared" si="65"/>
        <v>0</v>
      </c>
      <c r="BZ147" s="140" t="e">
        <f t="shared" si="66"/>
        <v>#VALUE!</v>
      </c>
      <c r="CA147" s="141" t="e">
        <f t="shared" si="67"/>
        <v>#VALUE!</v>
      </c>
    </row>
    <row r="148" ht="15.75" customHeight="1" spans="1:79" x14ac:dyDescent="0.25">
      <c r="A148" s="1"/>
      <c r="B148" s="1"/>
      <c r="C148" s="168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4"/>
      <c r="V148" s="164"/>
      <c r="W148" s="164"/>
      <c r="X148" s="164"/>
      <c r="Y148" s="169"/>
      <c r="Z148" s="169"/>
      <c r="AA148" s="164"/>
      <c r="AB148" s="169"/>
      <c r="AC148" s="169"/>
      <c r="AD148" s="164"/>
      <c r="AE148" s="169"/>
      <c r="AF148" s="169"/>
      <c r="AG148" s="169"/>
      <c r="AH148" s="169"/>
      <c r="AI148" s="170"/>
      <c r="AJ148" s="170"/>
      <c r="AK148" s="170"/>
      <c r="AL148" s="170"/>
      <c r="AM148" s="170"/>
      <c r="AN148" s="170"/>
      <c r="AO148" s="170"/>
      <c r="AP148" s="170"/>
      <c r="AQ148" s="170"/>
      <c r="AR148" s="164"/>
      <c r="AS148" s="164"/>
      <c r="AT148" s="170"/>
      <c r="AU148" s="170"/>
      <c r="AV148" s="170"/>
      <c r="AW148" s="170"/>
      <c r="AX148" s="170"/>
      <c r="AY148" s="170"/>
      <c r="AZ148" s="170"/>
      <c r="BA148" s="170"/>
      <c r="BB148" s="1"/>
      <c r="BC148" s="1"/>
      <c r="BD148" s="1"/>
      <c r="BE148" s="1"/>
      <c r="BF148" s="1"/>
      <c r="BG148" s="216">
        <f t="shared" si="48"/>
        <v>0</v>
      </c>
      <c r="BH148" s="217">
        <f t="shared" si="49"/>
        <v>0</v>
      </c>
      <c r="BI148" s="218"/>
      <c r="BJ148" s="219">
        <f t="shared" si="50"/>
        <v>0</v>
      </c>
      <c r="BK148" s="140" t="e">
        <f t="shared" si="51"/>
        <v>#VALUE!</v>
      </c>
      <c r="BL148" s="141" t="e">
        <f t="shared" si="52"/>
        <v>#VALUE!</v>
      </c>
      <c r="BM148" s="142">
        <f t="shared" si="53"/>
        <v>0</v>
      </c>
      <c r="BN148" s="140" t="e">
        <f t="shared" si="54"/>
        <v>#VALUE!</v>
      </c>
      <c r="BO148" s="141" t="e">
        <f t="shared" si="55"/>
        <v>#VALUE!</v>
      </c>
      <c r="BP148" s="142">
        <f t="shared" si="56"/>
        <v>0</v>
      </c>
      <c r="BQ148" s="140" t="e">
        <f t="shared" si="57"/>
        <v>#VALUE!</v>
      </c>
      <c r="BR148" s="141" t="e">
        <f t="shared" si="58"/>
        <v>#VALUE!</v>
      </c>
      <c r="BS148" s="142">
        <f t="shared" si="59"/>
        <v>0</v>
      </c>
      <c r="BT148" s="140" t="e">
        <f t="shared" si="60"/>
        <v>#VALUE!</v>
      </c>
      <c r="BU148" s="141" t="e">
        <f t="shared" si="61"/>
        <v>#VALUE!</v>
      </c>
      <c r="BV148" s="142">
        <f t="shared" si="62"/>
        <v>0</v>
      </c>
      <c r="BW148" s="140" t="e">
        <f t="shared" si="63"/>
        <v>#VALUE!</v>
      </c>
      <c r="BX148" s="141" t="e">
        <f t="shared" si="64"/>
        <v>#VALUE!</v>
      </c>
      <c r="BY148" s="142">
        <f t="shared" si="65"/>
        <v>0</v>
      </c>
      <c r="BZ148" s="140" t="e">
        <f t="shared" si="66"/>
        <v>#VALUE!</v>
      </c>
      <c r="CA148" s="141" t="e">
        <f t="shared" si="67"/>
        <v>#VALUE!</v>
      </c>
    </row>
    <row r="149" ht="15.75" customHeight="1" spans="1:79" x14ac:dyDescent="0.25">
      <c r="A149" s="1"/>
      <c r="B149" s="1"/>
      <c r="C149" s="168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4"/>
      <c r="V149" s="164"/>
      <c r="W149" s="164"/>
      <c r="X149" s="164"/>
      <c r="Y149" s="169"/>
      <c r="Z149" s="169"/>
      <c r="AA149" s="164"/>
      <c r="AB149" s="169"/>
      <c r="AC149" s="169"/>
      <c r="AD149" s="164"/>
      <c r="AE149" s="169"/>
      <c r="AF149" s="169"/>
      <c r="AG149" s="169"/>
      <c r="AH149" s="169"/>
      <c r="AI149" s="170"/>
      <c r="AJ149" s="170"/>
      <c r="AK149" s="170"/>
      <c r="AL149" s="170"/>
      <c r="AM149" s="170"/>
      <c r="AN149" s="170"/>
      <c r="AO149" s="170"/>
      <c r="AP149" s="170"/>
      <c r="AQ149" s="170"/>
      <c r="AR149" s="164"/>
      <c r="AS149" s="164"/>
      <c r="AT149" s="170"/>
      <c r="AU149" s="170"/>
      <c r="AV149" s="170"/>
      <c r="AW149" s="170"/>
      <c r="AX149" s="170"/>
      <c r="AY149" s="170"/>
      <c r="AZ149" s="170"/>
      <c r="BA149" s="170"/>
      <c r="BB149" s="1"/>
      <c r="BC149" s="1"/>
      <c r="BD149" s="1"/>
      <c r="BE149" s="1"/>
      <c r="BF149" s="1"/>
      <c r="BG149" s="216">
        <f t="shared" si="48"/>
        <v>0</v>
      </c>
      <c r="BH149" s="217">
        <f t="shared" si="49"/>
        <v>0</v>
      </c>
      <c r="BI149" s="218"/>
      <c r="BJ149" s="219">
        <f t="shared" si="50"/>
        <v>0</v>
      </c>
      <c r="BK149" s="140" t="e">
        <f t="shared" si="51"/>
        <v>#VALUE!</v>
      </c>
      <c r="BL149" s="141" t="e">
        <f t="shared" si="52"/>
        <v>#VALUE!</v>
      </c>
      <c r="BM149" s="142">
        <f t="shared" si="53"/>
        <v>0</v>
      </c>
      <c r="BN149" s="140" t="e">
        <f t="shared" si="54"/>
        <v>#VALUE!</v>
      </c>
      <c r="BO149" s="141" t="e">
        <f t="shared" si="55"/>
        <v>#VALUE!</v>
      </c>
      <c r="BP149" s="142">
        <f t="shared" si="56"/>
        <v>0</v>
      </c>
      <c r="BQ149" s="140" t="e">
        <f t="shared" si="57"/>
        <v>#VALUE!</v>
      </c>
      <c r="BR149" s="141" t="e">
        <f t="shared" si="58"/>
        <v>#VALUE!</v>
      </c>
      <c r="BS149" s="142">
        <f t="shared" si="59"/>
        <v>0</v>
      </c>
      <c r="BT149" s="140" t="e">
        <f t="shared" si="60"/>
        <v>#VALUE!</v>
      </c>
      <c r="BU149" s="141" t="e">
        <f t="shared" si="61"/>
        <v>#VALUE!</v>
      </c>
      <c r="BV149" s="142">
        <f t="shared" si="62"/>
        <v>0</v>
      </c>
      <c r="BW149" s="140" t="e">
        <f t="shared" si="63"/>
        <v>#VALUE!</v>
      </c>
      <c r="BX149" s="141" t="e">
        <f t="shared" si="64"/>
        <v>#VALUE!</v>
      </c>
      <c r="BY149" s="142">
        <f t="shared" si="65"/>
        <v>0</v>
      </c>
      <c r="BZ149" s="140" t="e">
        <f t="shared" si="66"/>
        <v>#VALUE!</v>
      </c>
      <c r="CA149" s="141" t="e">
        <f t="shared" si="67"/>
        <v>#VALUE!</v>
      </c>
    </row>
    <row r="150" ht="15.75" customHeight="1" spans="1:79" x14ac:dyDescent="0.25">
      <c r="A150" s="1"/>
      <c r="B150" s="1"/>
      <c r="C150" s="168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4"/>
      <c r="V150" s="164"/>
      <c r="W150" s="164"/>
      <c r="X150" s="164"/>
      <c r="Y150" s="169"/>
      <c r="Z150" s="169"/>
      <c r="AA150" s="164"/>
      <c r="AB150" s="169"/>
      <c r="AC150" s="169"/>
      <c r="AD150" s="164"/>
      <c r="AE150" s="169"/>
      <c r="AF150" s="169"/>
      <c r="AG150" s="169"/>
      <c r="AH150" s="169"/>
      <c r="AI150" s="170"/>
      <c r="AJ150" s="170"/>
      <c r="AK150" s="170"/>
      <c r="AL150" s="170"/>
      <c r="AM150" s="170"/>
      <c r="AN150" s="170"/>
      <c r="AO150" s="170"/>
      <c r="AP150" s="170"/>
      <c r="AQ150" s="170"/>
      <c r="AR150" s="164"/>
      <c r="AS150" s="164"/>
      <c r="AT150" s="170"/>
      <c r="AU150" s="170"/>
      <c r="AV150" s="170"/>
      <c r="AW150" s="170"/>
      <c r="AX150" s="170"/>
      <c r="AY150" s="170"/>
      <c r="AZ150" s="170"/>
      <c r="BA150" s="170"/>
      <c r="BB150" s="1"/>
      <c r="BC150" s="1"/>
      <c r="BD150" s="1"/>
      <c r="BE150" s="1"/>
      <c r="BF150" s="1"/>
      <c r="BG150" s="216">
        <f t="shared" si="48"/>
        <v>0</v>
      </c>
      <c r="BH150" s="217">
        <f t="shared" si="49"/>
        <v>0</v>
      </c>
      <c r="BI150" s="218"/>
      <c r="BJ150" s="219">
        <f t="shared" si="50"/>
        <v>0</v>
      </c>
      <c r="BK150" s="140" t="e">
        <f t="shared" si="51"/>
        <v>#VALUE!</v>
      </c>
      <c r="BL150" s="141" t="e">
        <f t="shared" si="52"/>
        <v>#VALUE!</v>
      </c>
      <c r="BM150" s="142">
        <f t="shared" si="53"/>
        <v>0</v>
      </c>
      <c r="BN150" s="140" t="e">
        <f t="shared" si="54"/>
        <v>#VALUE!</v>
      </c>
      <c r="BO150" s="141" t="e">
        <f t="shared" si="55"/>
        <v>#VALUE!</v>
      </c>
      <c r="BP150" s="142">
        <f t="shared" si="56"/>
        <v>0</v>
      </c>
      <c r="BQ150" s="140" t="e">
        <f t="shared" si="57"/>
        <v>#VALUE!</v>
      </c>
      <c r="BR150" s="141" t="e">
        <f t="shared" si="58"/>
        <v>#VALUE!</v>
      </c>
      <c r="BS150" s="142">
        <f t="shared" si="59"/>
        <v>0</v>
      </c>
      <c r="BT150" s="140" t="e">
        <f t="shared" si="60"/>
        <v>#VALUE!</v>
      </c>
      <c r="BU150" s="141" t="e">
        <f t="shared" si="61"/>
        <v>#VALUE!</v>
      </c>
      <c r="BV150" s="142">
        <f t="shared" si="62"/>
        <v>0</v>
      </c>
      <c r="BW150" s="140" t="e">
        <f t="shared" si="63"/>
        <v>#VALUE!</v>
      </c>
      <c r="BX150" s="141" t="e">
        <f t="shared" si="64"/>
        <v>#VALUE!</v>
      </c>
      <c r="BY150" s="142">
        <f t="shared" si="65"/>
        <v>0</v>
      </c>
      <c r="BZ150" s="140" t="e">
        <f t="shared" si="66"/>
        <v>#VALUE!</v>
      </c>
      <c r="CA150" s="141" t="e">
        <f t="shared" si="67"/>
        <v>#VALUE!</v>
      </c>
    </row>
    <row r="151" ht="15.75" customHeight="1" spans="1:79" x14ac:dyDescent="0.25">
      <c r="A151" s="1"/>
      <c r="B151" s="1"/>
      <c r="C151" s="168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4"/>
      <c r="V151" s="164"/>
      <c r="W151" s="164"/>
      <c r="X151" s="164"/>
      <c r="Y151" s="169"/>
      <c r="Z151" s="169"/>
      <c r="AA151" s="164"/>
      <c r="AB151" s="169"/>
      <c r="AC151" s="169"/>
      <c r="AD151" s="164"/>
      <c r="AE151" s="169"/>
      <c r="AF151" s="169"/>
      <c r="AG151" s="169"/>
      <c r="AH151" s="169"/>
      <c r="AI151" s="170"/>
      <c r="AJ151" s="170"/>
      <c r="AK151" s="170"/>
      <c r="AL151" s="170"/>
      <c r="AM151" s="170"/>
      <c r="AN151" s="170"/>
      <c r="AO151" s="170"/>
      <c r="AP151" s="170"/>
      <c r="AQ151" s="170"/>
      <c r="AR151" s="164"/>
      <c r="AS151" s="164"/>
      <c r="AT151" s="170"/>
      <c r="AU151" s="170"/>
      <c r="AV151" s="170"/>
      <c r="AW151" s="170"/>
      <c r="AX151" s="170"/>
      <c r="AY151" s="170"/>
      <c r="AZ151" s="170"/>
      <c r="BA151" s="170"/>
      <c r="BB151" s="1"/>
      <c r="BC151" s="1"/>
      <c r="BD151" s="1"/>
      <c r="BE151" s="1"/>
      <c r="BF151" s="1"/>
      <c r="BG151" s="216">
        <f t="shared" si="48"/>
        <v>0</v>
      </c>
      <c r="BH151" s="217">
        <f t="shared" si="49"/>
        <v>0</v>
      </c>
      <c r="BI151" s="218"/>
      <c r="BJ151" s="219">
        <f t="shared" si="50"/>
        <v>0</v>
      </c>
      <c r="BK151" s="140" t="e">
        <f t="shared" si="51"/>
        <v>#VALUE!</v>
      </c>
      <c r="BL151" s="141" t="e">
        <f t="shared" si="52"/>
        <v>#VALUE!</v>
      </c>
      <c r="BM151" s="142">
        <f t="shared" si="53"/>
        <v>0</v>
      </c>
      <c r="BN151" s="140" t="e">
        <f t="shared" si="54"/>
        <v>#VALUE!</v>
      </c>
      <c r="BO151" s="141" t="e">
        <f t="shared" si="55"/>
        <v>#VALUE!</v>
      </c>
      <c r="BP151" s="142">
        <f t="shared" si="56"/>
        <v>0</v>
      </c>
      <c r="BQ151" s="140" t="e">
        <f t="shared" si="57"/>
        <v>#VALUE!</v>
      </c>
      <c r="BR151" s="141" t="e">
        <f t="shared" si="58"/>
        <v>#VALUE!</v>
      </c>
      <c r="BS151" s="142">
        <f t="shared" si="59"/>
        <v>0</v>
      </c>
      <c r="BT151" s="140" t="e">
        <f t="shared" si="60"/>
        <v>#VALUE!</v>
      </c>
      <c r="BU151" s="141" t="e">
        <f t="shared" si="61"/>
        <v>#VALUE!</v>
      </c>
      <c r="BV151" s="142">
        <f t="shared" si="62"/>
        <v>0</v>
      </c>
      <c r="BW151" s="140" t="e">
        <f t="shared" si="63"/>
        <v>#VALUE!</v>
      </c>
      <c r="BX151" s="141" t="e">
        <f t="shared" si="64"/>
        <v>#VALUE!</v>
      </c>
      <c r="BY151" s="142">
        <f t="shared" si="65"/>
        <v>0</v>
      </c>
      <c r="BZ151" s="140" t="e">
        <f t="shared" si="66"/>
        <v>#VALUE!</v>
      </c>
      <c r="CA151" s="141" t="e">
        <f t="shared" si="67"/>
        <v>#VALUE!</v>
      </c>
    </row>
    <row r="152" ht="15.75" customHeight="1" spans="1:79" x14ac:dyDescent="0.25">
      <c r="A152" s="1"/>
      <c r="B152" s="1"/>
      <c r="C152" s="168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4"/>
      <c r="V152" s="164"/>
      <c r="W152" s="164"/>
      <c r="X152" s="164"/>
      <c r="Y152" s="169"/>
      <c r="Z152" s="169"/>
      <c r="AA152" s="164"/>
      <c r="AB152" s="169"/>
      <c r="AC152" s="169"/>
      <c r="AD152" s="164"/>
      <c r="AE152" s="169"/>
      <c r="AF152" s="169"/>
      <c r="AG152" s="169"/>
      <c r="AH152" s="169"/>
      <c r="AI152" s="170"/>
      <c r="AJ152" s="170"/>
      <c r="AK152" s="170"/>
      <c r="AL152" s="170"/>
      <c r="AM152" s="170"/>
      <c r="AN152" s="170"/>
      <c r="AO152" s="170"/>
      <c r="AP152" s="170"/>
      <c r="AQ152" s="170"/>
      <c r="AR152" s="164"/>
      <c r="AS152" s="164"/>
      <c r="AT152" s="170"/>
      <c r="AU152" s="170"/>
      <c r="AV152" s="170"/>
      <c r="AW152" s="170"/>
      <c r="AX152" s="170"/>
      <c r="AY152" s="170"/>
      <c r="AZ152" s="170"/>
      <c r="BA152" s="170"/>
      <c r="BB152" s="1"/>
      <c r="BC152" s="1"/>
      <c r="BD152" s="1"/>
      <c r="BE152" s="1"/>
      <c r="BF152" s="1"/>
      <c r="BG152" s="216">
        <f t="shared" si="48"/>
        <v>0</v>
      </c>
      <c r="BH152" s="217">
        <f t="shared" si="49"/>
        <v>0</v>
      </c>
      <c r="BI152" s="218"/>
      <c r="BJ152" s="219">
        <f t="shared" si="50"/>
        <v>0</v>
      </c>
      <c r="BK152" s="140" t="e">
        <f t="shared" si="51"/>
        <v>#VALUE!</v>
      </c>
      <c r="BL152" s="141" t="e">
        <f t="shared" si="52"/>
        <v>#VALUE!</v>
      </c>
      <c r="BM152" s="142">
        <f t="shared" si="53"/>
        <v>0</v>
      </c>
      <c r="BN152" s="140" t="e">
        <f t="shared" si="54"/>
        <v>#VALUE!</v>
      </c>
      <c r="BO152" s="141" t="e">
        <f t="shared" si="55"/>
        <v>#VALUE!</v>
      </c>
      <c r="BP152" s="142">
        <f t="shared" si="56"/>
        <v>0</v>
      </c>
      <c r="BQ152" s="140" t="e">
        <f t="shared" si="57"/>
        <v>#VALUE!</v>
      </c>
      <c r="BR152" s="141" t="e">
        <f t="shared" si="58"/>
        <v>#VALUE!</v>
      </c>
      <c r="BS152" s="142">
        <f t="shared" si="59"/>
        <v>0</v>
      </c>
      <c r="BT152" s="140" t="e">
        <f t="shared" si="60"/>
        <v>#VALUE!</v>
      </c>
      <c r="BU152" s="141" t="e">
        <f t="shared" si="61"/>
        <v>#VALUE!</v>
      </c>
      <c r="BV152" s="142">
        <f t="shared" si="62"/>
        <v>0</v>
      </c>
      <c r="BW152" s="140" t="e">
        <f t="shared" si="63"/>
        <v>#VALUE!</v>
      </c>
      <c r="BX152" s="141" t="e">
        <f t="shared" si="64"/>
        <v>#VALUE!</v>
      </c>
      <c r="BY152" s="142">
        <f t="shared" si="65"/>
        <v>0</v>
      </c>
      <c r="BZ152" s="140" t="e">
        <f t="shared" si="66"/>
        <v>#VALUE!</v>
      </c>
      <c r="CA152" s="141" t="e">
        <f t="shared" si="67"/>
        <v>#VALUE!</v>
      </c>
    </row>
    <row r="153" ht="15.75" customHeight="1" spans="1:79" x14ac:dyDescent="0.25">
      <c r="A153" s="1"/>
      <c r="B153" s="1"/>
      <c r="C153" s="168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4"/>
      <c r="V153" s="164"/>
      <c r="W153" s="164"/>
      <c r="X153" s="164"/>
      <c r="Y153" s="169"/>
      <c r="Z153" s="169"/>
      <c r="AA153" s="164"/>
      <c r="AB153" s="169"/>
      <c r="AC153" s="169"/>
      <c r="AD153" s="164"/>
      <c r="AE153" s="169"/>
      <c r="AF153" s="169"/>
      <c r="AG153" s="169"/>
      <c r="AH153" s="169"/>
      <c r="AI153" s="170"/>
      <c r="AJ153" s="170"/>
      <c r="AK153" s="170"/>
      <c r="AL153" s="170"/>
      <c r="AM153" s="170"/>
      <c r="AN153" s="170"/>
      <c r="AO153" s="170"/>
      <c r="AP153" s="170"/>
      <c r="AQ153" s="170"/>
      <c r="AR153" s="164"/>
      <c r="AS153" s="164"/>
      <c r="AT153" s="170"/>
      <c r="AU153" s="170"/>
      <c r="AV153" s="170"/>
      <c r="AW153" s="170"/>
      <c r="AX153" s="170"/>
      <c r="AY153" s="170"/>
      <c r="AZ153" s="170"/>
      <c r="BA153" s="170"/>
      <c r="BB153" s="1"/>
      <c r="BC153" s="1"/>
      <c r="BD153" s="1"/>
      <c r="BE153" s="1"/>
      <c r="BF153" s="1"/>
      <c r="BG153" s="216">
        <f t="shared" si="48"/>
        <v>0</v>
      </c>
      <c r="BH153" s="217">
        <f t="shared" si="49"/>
        <v>0</v>
      </c>
      <c r="BI153" s="218"/>
      <c r="BJ153" s="219">
        <f t="shared" si="50"/>
        <v>0</v>
      </c>
      <c r="BK153" s="140" t="e">
        <f t="shared" si="51"/>
        <v>#VALUE!</v>
      </c>
      <c r="BL153" s="141" t="e">
        <f t="shared" si="52"/>
        <v>#VALUE!</v>
      </c>
      <c r="BM153" s="142">
        <f t="shared" si="53"/>
        <v>0</v>
      </c>
      <c r="BN153" s="140" t="e">
        <f t="shared" si="54"/>
        <v>#VALUE!</v>
      </c>
      <c r="BO153" s="141" t="e">
        <f t="shared" si="55"/>
        <v>#VALUE!</v>
      </c>
      <c r="BP153" s="142">
        <f t="shared" si="56"/>
        <v>0</v>
      </c>
      <c r="BQ153" s="140" t="e">
        <f t="shared" si="57"/>
        <v>#VALUE!</v>
      </c>
      <c r="BR153" s="141" t="e">
        <f t="shared" si="58"/>
        <v>#VALUE!</v>
      </c>
      <c r="BS153" s="142">
        <f t="shared" si="59"/>
        <v>0</v>
      </c>
      <c r="BT153" s="140" t="e">
        <f t="shared" si="60"/>
        <v>#VALUE!</v>
      </c>
      <c r="BU153" s="141" t="e">
        <f t="shared" si="61"/>
        <v>#VALUE!</v>
      </c>
      <c r="BV153" s="142">
        <f t="shared" si="62"/>
        <v>0</v>
      </c>
      <c r="BW153" s="140" t="e">
        <f t="shared" si="63"/>
        <v>#VALUE!</v>
      </c>
      <c r="BX153" s="141" t="e">
        <f t="shared" si="64"/>
        <v>#VALUE!</v>
      </c>
      <c r="BY153" s="142">
        <f t="shared" si="65"/>
        <v>0</v>
      </c>
      <c r="BZ153" s="140" t="e">
        <f t="shared" si="66"/>
        <v>#VALUE!</v>
      </c>
      <c r="CA153" s="141" t="e">
        <f t="shared" si="67"/>
        <v>#VALUE!</v>
      </c>
    </row>
    <row r="154" ht="15.75" customHeight="1" spans="1:79" x14ac:dyDescent="0.25">
      <c r="A154" s="1"/>
      <c r="B154" s="1"/>
      <c r="C154" s="168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4"/>
      <c r="V154" s="164"/>
      <c r="W154" s="164"/>
      <c r="X154" s="164"/>
      <c r="Y154" s="169"/>
      <c r="Z154" s="169"/>
      <c r="AA154" s="164"/>
      <c r="AB154" s="169"/>
      <c r="AC154" s="169"/>
      <c r="AD154" s="164"/>
      <c r="AE154" s="169"/>
      <c r="AF154" s="169"/>
      <c r="AG154" s="169"/>
      <c r="AH154" s="169"/>
      <c r="AI154" s="170"/>
      <c r="AJ154" s="170"/>
      <c r="AK154" s="170"/>
      <c r="AL154" s="170"/>
      <c r="AM154" s="170"/>
      <c r="AN154" s="170"/>
      <c r="AO154" s="170"/>
      <c r="AP154" s="170"/>
      <c r="AQ154" s="170"/>
      <c r="AR154" s="164"/>
      <c r="AS154" s="164"/>
      <c r="AT154" s="170"/>
      <c r="AU154" s="170"/>
      <c r="AV154" s="170"/>
      <c r="AW154" s="170"/>
      <c r="AX154" s="170"/>
      <c r="AY154" s="170"/>
      <c r="AZ154" s="170"/>
      <c r="BA154" s="170"/>
      <c r="BB154" s="1"/>
      <c r="BC154" s="1"/>
      <c r="BD154" s="1"/>
      <c r="BE154" s="1"/>
      <c r="BF154" s="1"/>
      <c r="BG154" s="216">
        <f t="shared" si="48"/>
        <v>0</v>
      </c>
      <c r="BH154" s="217">
        <f t="shared" si="49"/>
        <v>0</v>
      </c>
      <c r="BI154" s="218"/>
      <c r="BJ154" s="219">
        <f t="shared" si="50"/>
        <v>0</v>
      </c>
      <c r="BK154" s="140" t="e">
        <f t="shared" si="51"/>
        <v>#VALUE!</v>
      </c>
      <c r="BL154" s="141" t="e">
        <f t="shared" si="52"/>
        <v>#VALUE!</v>
      </c>
      <c r="BM154" s="142">
        <f t="shared" si="53"/>
        <v>0</v>
      </c>
      <c r="BN154" s="140" t="e">
        <f t="shared" si="54"/>
        <v>#VALUE!</v>
      </c>
      <c r="BO154" s="141" t="e">
        <f t="shared" si="55"/>
        <v>#VALUE!</v>
      </c>
      <c r="BP154" s="142">
        <f t="shared" si="56"/>
        <v>0</v>
      </c>
      <c r="BQ154" s="140" t="e">
        <f t="shared" si="57"/>
        <v>#VALUE!</v>
      </c>
      <c r="BR154" s="141" t="e">
        <f t="shared" si="58"/>
        <v>#VALUE!</v>
      </c>
      <c r="BS154" s="142">
        <f t="shared" si="59"/>
        <v>0</v>
      </c>
      <c r="BT154" s="140" t="e">
        <f t="shared" si="60"/>
        <v>#VALUE!</v>
      </c>
      <c r="BU154" s="141" t="e">
        <f t="shared" si="61"/>
        <v>#VALUE!</v>
      </c>
      <c r="BV154" s="142">
        <f t="shared" si="62"/>
        <v>0</v>
      </c>
      <c r="BW154" s="140" t="e">
        <f t="shared" si="63"/>
        <v>#VALUE!</v>
      </c>
      <c r="BX154" s="141" t="e">
        <f t="shared" si="64"/>
        <v>#VALUE!</v>
      </c>
      <c r="BY154" s="142">
        <f t="shared" si="65"/>
        <v>0</v>
      </c>
      <c r="BZ154" s="140" t="e">
        <f t="shared" si="66"/>
        <v>#VALUE!</v>
      </c>
      <c r="CA154" s="141" t="e">
        <f t="shared" si="67"/>
        <v>#VALUE!</v>
      </c>
    </row>
    <row r="155" ht="15.75" customHeight="1" spans="1:79" x14ac:dyDescent="0.25">
      <c r="A155" s="1"/>
      <c r="B155" s="1"/>
      <c r="C155" s="168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4"/>
      <c r="AB155" s="169"/>
      <c r="AC155" s="169"/>
      <c r="AD155" s="164"/>
      <c r="AE155" s="169"/>
      <c r="AF155" s="169"/>
      <c r="AG155" s="169"/>
      <c r="AH155" s="169"/>
      <c r="AI155" s="170"/>
      <c r="AJ155" s="170"/>
      <c r="AK155" s="170"/>
      <c r="AL155" s="170"/>
      <c r="AM155" s="170"/>
      <c r="AN155" s="170"/>
      <c r="AO155" s="170"/>
      <c r="AP155" s="170"/>
      <c r="AQ155" s="170"/>
      <c r="AR155" s="164"/>
      <c r="AS155" s="164"/>
      <c r="AT155" s="170"/>
      <c r="AU155" s="170"/>
      <c r="AV155" s="170"/>
      <c r="AW155" s="170"/>
      <c r="AX155" s="170"/>
      <c r="AY155" s="170"/>
      <c r="AZ155" s="170"/>
      <c r="BA155" s="170"/>
      <c r="BB155" s="1"/>
      <c r="BC155" s="1"/>
      <c r="BD155" s="1"/>
      <c r="BE155" s="1"/>
      <c r="BF155" s="1"/>
      <c r="BG155" s="216">
        <f t="shared" si="48"/>
        <v>0</v>
      </c>
      <c r="BH155" s="217">
        <f t="shared" si="49"/>
        <v>0</v>
      </c>
      <c r="BI155" s="218"/>
      <c r="BJ155" s="219">
        <f t="shared" si="50"/>
        <v>0</v>
      </c>
      <c r="BK155" s="140" t="e">
        <f t="shared" si="51"/>
        <v>#VALUE!</v>
      </c>
      <c r="BL155" s="141" t="e">
        <f t="shared" si="52"/>
        <v>#VALUE!</v>
      </c>
      <c r="BM155" s="142">
        <f t="shared" si="53"/>
        <v>0</v>
      </c>
      <c r="BN155" s="140" t="e">
        <f t="shared" si="54"/>
        <v>#VALUE!</v>
      </c>
      <c r="BO155" s="141" t="e">
        <f t="shared" si="55"/>
        <v>#VALUE!</v>
      </c>
      <c r="BP155" s="142">
        <f t="shared" si="56"/>
        <v>0</v>
      </c>
      <c r="BQ155" s="140" t="e">
        <f t="shared" si="57"/>
        <v>#VALUE!</v>
      </c>
      <c r="BR155" s="141" t="e">
        <f t="shared" si="58"/>
        <v>#VALUE!</v>
      </c>
      <c r="BS155" s="142">
        <f t="shared" si="59"/>
        <v>0</v>
      </c>
      <c r="BT155" s="140" t="e">
        <f t="shared" si="60"/>
        <v>#VALUE!</v>
      </c>
      <c r="BU155" s="141" t="e">
        <f t="shared" si="61"/>
        <v>#VALUE!</v>
      </c>
      <c r="BV155" s="142">
        <f t="shared" si="62"/>
        <v>0</v>
      </c>
      <c r="BW155" s="140" t="e">
        <f t="shared" si="63"/>
        <v>#VALUE!</v>
      </c>
      <c r="BX155" s="141" t="e">
        <f t="shared" si="64"/>
        <v>#VALUE!</v>
      </c>
      <c r="BY155" s="142">
        <f t="shared" si="65"/>
        <v>0</v>
      </c>
      <c r="BZ155" s="140" t="e">
        <f t="shared" si="66"/>
        <v>#VALUE!</v>
      </c>
      <c r="CA155" s="141" t="e">
        <f t="shared" si="67"/>
        <v>#VALUE!</v>
      </c>
    </row>
    <row r="156" ht="15.75" customHeight="1" spans="1:79" x14ac:dyDescent="0.25">
      <c r="A156" s="1"/>
      <c r="B156" s="1"/>
      <c r="C156" s="168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4"/>
      <c r="AB156" s="169"/>
      <c r="AC156" s="169"/>
      <c r="AD156" s="164"/>
      <c r="AE156" s="169"/>
      <c r="AF156" s="169"/>
      <c r="AG156" s="169"/>
      <c r="AH156" s="169"/>
      <c r="AI156" s="170"/>
      <c r="AJ156" s="170"/>
      <c r="AK156" s="170"/>
      <c r="AL156" s="170"/>
      <c r="AM156" s="170"/>
      <c r="AN156" s="170"/>
      <c r="AO156" s="170"/>
      <c r="AP156" s="170"/>
      <c r="AQ156" s="170"/>
      <c r="AR156" s="164"/>
      <c r="AS156" s="164"/>
      <c r="AT156" s="170"/>
      <c r="AU156" s="170"/>
      <c r="AV156" s="170"/>
      <c r="AW156" s="170"/>
      <c r="AX156" s="170"/>
      <c r="AY156" s="170"/>
      <c r="AZ156" s="170"/>
      <c r="BA156" s="170"/>
      <c r="BB156" s="1"/>
      <c r="BC156" s="1"/>
      <c r="BD156" s="1"/>
      <c r="BE156" s="1"/>
      <c r="BF156" s="1"/>
      <c r="BG156" s="216">
        <f t="shared" si="48"/>
        <v>0</v>
      </c>
      <c r="BH156" s="217">
        <f t="shared" si="49"/>
        <v>0</v>
      </c>
      <c r="BI156" s="218"/>
      <c r="BJ156" s="219">
        <f t="shared" si="50"/>
        <v>0</v>
      </c>
      <c r="BK156" s="140" t="e">
        <f t="shared" si="51"/>
        <v>#VALUE!</v>
      </c>
      <c r="BL156" s="141" t="e">
        <f t="shared" si="52"/>
        <v>#VALUE!</v>
      </c>
      <c r="BM156" s="142">
        <f t="shared" si="53"/>
        <v>0</v>
      </c>
      <c r="BN156" s="140" t="e">
        <f t="shared" si="54"/>
        <v>#VALUE!</v>
      </c>
      <c r="BO156" s="141" t="e">
        <f t="shared" si="55"/>
        <v>#VALUE!</v>
      </c>
      <c r="BP156" s="142">
        <f t="shared" si="56"/>
        <v>0</v>
      </c>
      <c r="BQ156" s="140" t="e">
        <f t="shared" si="57"/>
        <v>#VALUE!</v>
      </c>
      <c r="BR156" s="141" t="e">
        <f t="shared" si="58"/>
        <v>#VALUE!</v>
      </c>
      <c r="BS156" s="142">
        <f t="shared" si="59"/>
        <v>0</v>
      </c>
      <c r="BT156" s="140" t="e">
        <f t="shared" si="60"/>
        <v>#VALUE!</v>
      </c>
      <c r="BU156" s="141" t="e">
        <f t="shared" si="61"/>
        <v>#VALUE!</v>
      </c>
      <c r="BV156" s="142">
        <f t="shared" si="62"/>
        <v>0</v>
      </c>
      <c r="BW156" s="140" t="e">
        <f t="shared" si="63"/>
        <v>#VALUE!</v>
      </c>
      <c r="BX156" s="141" t="e">
        <f t="shared" si="64"/>
        <v>#VALUE!</v>
      </c>
      <c r="BY156" s="142">
        <f t="shared" si="65"/>
        <v>0</v>
      </c>
      <c r="BZ156" s="140" t="e">
        <f t="shared" si="66"/>
        <v>#VALUE!</v>
      </c>
      <c r="CA156" s="141" t="e">
        <f t="shared" si="67"/>
        <v>#VALUE!</v>
      </c>
    </row>
    <row r="157" ht="15.75" customHeight="1" spans="1:79" x14ac:dyDescent="0.25">
      <c r="A157" s="1"/>
      <c r="B157" s="1"/>
      <c r="C157" s="168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4"/>
      <c r="AB157" s="169"/>
      <c r="AC157" s="169"/>
      <c r="AD157" s="164"/>
      <c r="AE157" s="169"/>
      <c r="AF157" s="169"/>
      <c r="AG157" s="169"/>
      <c r="AH157" s="169"/>
      <c r="AI157" s="170"/>
      <c r="AJ157" s="170"/>
      <c r="AK157" s="170"/>
      <c r="AL157" s="170"/>
      <c r="AM157" s="170"/>
      <c r="AN157" s="170"/>
      <c r="AO157" s="170"/>
      <c r="AP157" s="170"/>
      <c r="AQ157" s="170"/>
      <c r="AR157" s="164"/>
      <c r="AS157" s="164"/>
      <c r="AT157" s="170"/>
      <c r="AU157" s="170"/>
      <c r="AV157" s="170"/>
      <c r="AW157" s="170"/>
      <c r="AX157" s="170"/>
      <c r="AY157" s="170"/>
      <c r="AZ157" s="170"/>
      <c r="BA157" s="170"/>
      <c r="BB157" s="1"/>
      <c r="BC157" s="1"/>
      <c r="BD157" s="1"/>
      <c r="BE157" s="1"/>
      <c r="BF157" s="1"/>
      <c r="BG157" s="216">
        <f t="shared" si="48"/>
        <v>0</v>
      </c>
      <c r="BH157" s="217">
        <f t="shared" si="49"/>
        <v>0</v>
      </c>
      <c r="BI157" s="218"/>
      <c r="BJ157" s="219">
        <f t="shared" si="50"/>
        <v>0</v>
      </c>
      <c r="BK157" s="140" t="e">
        <f t="shared" si="51"/>
        <v>#VALUE!</v>
      </c>
      <c r="BL157" s="141" t="e">
        <f t="shared" si="52"/>
        <v>#VALUE!</v>
      </c>
      <c r="BM157" s="142">
        <f t="shared" si="53"/>
        <v>0</v>
      </c>
      <c r="BN157" s="140" t="e">
        <f t="shared" si="54"/>
        <v>#VALUE!</v>
      </c>
      <c r="BO157" s="141" t="e">
        <f t="shared" si="55"/>
        <v>#VALUE!</v>
      </c>
      <c r="BP157" s="142">
        <f t="shared" si="56"/>
        <v>0</v>
      </c>
      <c r="BQ157" s="140" t="e">
        <f t="shared" si="57"/>
        <v>#VALUE!</v>
      </c>
      <c r="BR157" s="141" t="e">
        <f t="shared" si="58"/>
        <v>#VALUE!</v>
      </c>
      <c r="BS157" s="142">
        <f t="shared" si="59"/>
        <v>0</v>
      </c>
      <c r="BT157" s="140" t="e">
        <f t="shared" si="60"/>
        <v>#VALUE!</v>
      </c>
      <c r="BU157" s="141" t="e">
        <f t="shared" si="61"/>
        <v>#VALUE!</v>
      </c>
      <c r="BV157" s="142">
        <f t="shared" si="62"/>
        <v>0</v>
      </c>
      <c r="BW157" s="140" t="e">
        <f t="shared" si="63"/>
        <v>#VALUE!</v>
      </c>
      <c r="BX157" s="141" t="e">
        <f t="shared" si="64"/>
        <v>#VALUE!</v>
      </c>
      <c r="BY157" s="142">
        <f t="shared" si="65"/>
        <v>0</v>
      </c>
      <c r="BZ157" s="140" t="e">
        <f t="shared" si="66"/>
        <v>#VALUE!</v>
      </c>
      <c r="CA157" s="141" t="e">
        <f t="shared" si="67"/>
        <v>#VALUE!</v>
      </c>
    </row>
    <row r="158" ht="15.75" customHeight="1" spans="1:79" x14ac:dyDescent="0.25">
      <c r="A158" s="1"/>
      <c r="B158" s="1"/>
      <c r="C158" s="168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4"/>
      <c r="AB158" s="169"/>
      <c r="AC158" s="169"/>
      <c r="AD158" s="164"/>
      <c r="AE158" s="169"/>
      <c r="AF158" s="169"/>
      <c r="AG158" s="169"/>
      <c r="AH158" s="169"/>
      <c r="AI158" s="170"/>
      <c r="AJ158" s="170"/>
      <c r="AK158" s="170"/>
      <c r="AL158" s="170"/>
      <c r="AM158" s="170"/>
      <c r="AN158" s="170"/>
      <c r="AO158" s="170"/>
      <c r="AP158" s="170"/>
      <c r="AQ158" s="170"/>
      <c r="AR158" s="164"/>
      <c r="AS158" s="164"/>
      <c r="AT158" s="170"/>
      <c r="AU158" s="170"/>
      <c r="AV158" s="170"/>
      <c r="AW158" s="170"/>
      <c r="AX158" s="170"/>
      <c r="AY158" s="170"/>
      <c r="AZ158" s="170"/>
      <c r="BA158" s="170"/>
      <c r="BB158" s="1"/>
      <c r="BC158" s="1"/>
      <c r="BD158" s="1"/>
      <c r="BE158" s="1"/>
      <c r="BF158" s="1"/>
      <c r="BG158" s="216">
        <f t="shared" si="48"/>
        <v>0</v>
      </c>
      <c r="BH158" s="217">
        <f t="shared" si="49"/>
        <v>0</v>
      </c>
      <c r="BI158" s="218"/>
      <c r="BJ158" s="219">
        <f t="shared" si="50"/>
        <v>0</v>
      </c>
      <c r="BK158" s="140" t="e">
        <f t="shared" si="51"/>
        <v>#VALUE!</v>
      </c>
      <c r="BL158" s="141" t="e">
        <f t="shared" si="52"/>
        <v>#VALUE!</v>
      </c>
      <c r="BM158" s="142">
        <f t="shared" si="53"/>
        <v>0</v>
      </c>
      <c r="BN158" s="140" t="e">
        <f t="shared" si="54"/>
        <v>#VALUE!</v>
      </c>
      <c r="BO158" s="141" t="e">
        <f t="shared" si="55"/>
        <v>#VALUE!</v>
      </c>
      <c r="BP158" s="142">
        <f t="shared" si="56"/>
        <v>0</v>
      </c>
      <c r="BQ158" s="140" t="e">
        <f t="shared" si="57"/>
        <v>#VALUE!</v>
      </c>
      <c r="BR158" s="141" t="e">
        <f t="shared" si="58"/>
        <v>#VALUE!</v>
      </c>
      <c r="BS158" s="142">
        <f t="shared" si="59"/>
        <v>0</v>
      </c>
      <c r="BT158" s="140" t="e">
        <f t="shared" si="60"/>
        <v>#VALUE!</v>
      </c>
      <c r="BU158" s="141" t="e">
        <f t="shared" si="61"/>
        <v>#VALUE!</v>
      </c>
      <c r="BV158" s="142">
        <f t="shared" si="62"/>
        <v>0</v>
      </c>
      <c r="BW158" s="140" t="e">
        <f t="shared" si="63"/>
        <v>#VALUE!</v>
      </c>
      <c r="BX158" s="141" t="e">
        <f t="shared" si="64"/>
        <v>#VALUE!</v>
      </c>
      <c r="BY158" s="142">
        <f t="shared" si="65"/>
        <v>0</v>
      </c>
      <c r="BZ158" s="140" t="e">
        <f t="shared" si="66"/>
        <v>#VALUE!</v>
      </c>
      <c r="CA158" s="141" t="e">
        <f t="shared" si="67"/>
        <v>#VALUE!</v>
      </c>
    </row>
    <row r="159" ht="15.75" customHeight="1" spans="1:79" x14ac:dyDescent="0.25">
      <c r="A159" s="1"/>
      <c r="B159" s="1"/>
      <c r="C159" s="168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4"/>
      <c r="AB159" s="169"/>
      <c r="AC159" s="169"/>
      <c r="AD159" s="164"/>
      <c r="AE159" s="169"/>
      <c r="AF159" s="169"/>
      <c r="AG159" s="169"/>
      <c r="AH159" s="169"/>
      <c r="AI159" s="170"/>
      <c r="AJ159" s="170"/>
      <c r="AK159" s="170"/>
      <c r="AL159" s="170"/>
      <c r="AM159" s="170"/>
      <c r="AN159" s="170"/>
      <c r="AO159" s="170"/>
      <c r="AP159" s="170"/>
      <c r="AQ159" s="170"/>
      <c r="AR159" s="164"/>
      <c r="AS159" s="164"/>
      <c r="AT159" s="170"/>
      <c r="AU159" s="170"/>
      <c r="AV159" s="170"/>
      <c r="AW159" s="170"/>
      <c r="AX159" s="170"/>
      <c r="AY159" s="170"/>
      <c r="AZ159" s="170"/>
      <c r="BA159" s="170"/>
      <c r="BB159" s="1"/>
      <c r="BC159" s="1"/>
      <c r="BD159" s="1"/>
      <c r="BE159" s="1"/>
      <c r="BF159" s="1"/>
      <c r="BG159" s="216">
        <f t="shared" si="48"/>
        <v>0</v>
      </c>
      <c r="BH159" s="217">
        <f t="shared" si="49"/>
        <v>0</v>
      </c>
      <c r="BI159" s="218"/>
      <c r="BJ159" s="219">
        <f t="shared" si="50"/>
        <v>0</v>
      </c>
      <c r="BK159" s="140" t="e">
        <f t="shared" si="51"/>
        <v>#VALUE!</v>
      </c>
      <c r="BL159" s="141" t="e">
        <f t="shared" si="52"/>
        <v>#VALUE!</v>
      </c>
      <c r="BM159" s="142">
        <f t="shared" si="53"/>
        <v>0</v>
      </c>
      <c r="BN159" s="140" t="e">
        <f t="shared" si="54"/>
        <v>#VALUE!</v>
      </c>
      <c r="BO159" s="141" t="e">
        <f t="shared" si="55"/>
        <v>#VALUE!</v>
      </c>
      <c r="BP159" s="142">
        <f t="shared" si="56"/>
        <v>0</v>
      </c>
      <c r="BQ159" s="140" t="e">
        <f t="shared" si="57"/>
        <v>#VALUE!</v>
      </c>
      <c r="BR159" s="141" t="e">
        <f t="shared" si="58"/>
        <v>#VALUE!</v>
      </c>
      <c r="BS159" s="142">
        <f t="shared" si="59"/>
        <v>0</v>
      </c>
      <c r="BT159" s="140" t="e">
        <f t="shared" si="60"/>
        <v>#VALUE!</v>
      </c>
      <c r="BU159" s="141" t="e">
        <f t="shared" si="61"/>
        <v>#VALUE!</v>
      </c>
      <c r="BV159" s="142">
        <f t="shared" si="62"/>
        <v>0</v>
      </c>
      <c r="BW159" s="140" t="e">
        <f t="shared" si="63"/>
        <v>#VALUE!</v>
      </c>
      <c r="BX159" s="141" t="e">
        <f t="shared" si="64"/>
        <v>#VALUE!</v>
      </c>
      <c r="BY159" s="142">
        <f t="shared" si="65"/>
        <v>0</v>
      </c>
      <c r="BZ159" s="140" t="e">
        <f t="shared" si="66"/>
        <v>#VALUE!</v>
      </c>
      <c r="CA159" s="141" t="e">
        <f t="shared" si="67"/>
        <v>#VALUE!</v>
      </c>
    </row>
    <row r="160" ht="15.75" customHeight="1" spans="1:7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64"/>
      <c r="AB160" s="1"/>
      <c r="AC160" s="1"/>
      <c r="AD160" s="164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64"/>
      <c r="AS160" s="164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216">
        <f t="shared" si="48"/>
        <v>0</v>
      </c>
      <c r="BH160" s="217">
        <f t="shared" si="49"/>
        <v>0</v>
      </c>
      <c r="BI160" s="218"/>
      <c r="BJ160" s="219">
        <f t="shared" si="50"/>
        <v>0</v>
      </c>
      <c r="BK160" s="140" t="e">
        <f t="shared" si="51"/>
        <v>#VALUE!</v>
      </c>
      <c r="BL160" s="141" t="e">
        <f t="shared" si="52"/>
        <v>#VALUE!</v>
      </c>
      <c r="BM160" s="142">
        <f t="shared" si="53"/>
        <v>0</v>
      </c>
      <c r="BN160" s="140" t="e">
        <f t="shared" si="54"/>
        <v>#VALUE!</v>
      </c>
      <c r="BO160" s="141" t="e">
        <f t="shared" si="55"/>
        <v>#VALUE!</v>
      </c>
      <c r="BP160" s="142">
        <f t="shared" si="56"/>
        <v>0</v>
      </c>
      <c r="BQ160" s="140" t="e">
        <f t="shared" si="57"/>
        <v>#VALUE!</v>
      </c>
      <c r="BR160" s="141" t="e">
        <f t="shared" si="58"/>
        <v>#VALUE!</v>
      </c>
      <c r="BS160" s="142">
        <f t="shared" si="59"/>
        <v>0</v>
      </c>
      <c r="BT160" s="140" t="e">
        <f t="shared" si="60"/>
        <v>#VALUE!</v>
      </c>
      <c r="BU160" s="141" t="e">
        <f t="shared" si="61"/>
        <v>#VALUE!</v>
      </c>
      <c r="BV160" s="142">
        <f t="shared" si="62"/>
        <v>0</v>
      </c>
      <c r="BW160" s="140" t="e">
        <f t="shared" si="63"/>
        <v>#VALUE!</v>
      </c>
      <c r="BX160" s="141" t="e">
        <f t="shared" si="64"/>
        <v>#VALUE!</v>
      </c>
      <c r="BY160" s="142">
        <f t="shared" si="65"/>
        <v>0</v>
      </c>
      <c r="BZ160" s="140" t="e">
        <f t="shared" si="66"/>
        <v>#VALUE!</v>
      </c>
      <c r="CA160" s="141" t="e">
        <f t="shared" si="67"/>
        <v>#VALUE!</v>
      </c>
    </row>
    <row r="161" ht="15.75" customHeight="1" spans="1:7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64"/>
      <c r="AB161" s="1"/>
      <c r="AC161" s="1"/>
      <c r="AD161" s="164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216">
        <f t="shared" si="48"/>
        <v>0</v>
      </c>
      <c r="BH161" s="217">
        <f t="shared" si="49"/>
        <v>0</v>
      </c>
      <c r="BI161" s="218"/>
      <c r="BJ161" s="219">
        <f t="shared" si="50"/>
        <v>0</v>
      </c>
      <c r="BK161" s="140" t="e">
        <f t="shared" si="51"/>
        <v>#VALUE!</v>
      </c>
      <c r="BL161" s="141" t="e">
        <f t="shared" si="52"/>
        <v>#VALUE!</v>
      </c>
      <c r="BM161" s="142">
        <f t="shared" si="53"/>
        <v>0</v>
      </c>
      <c r="BN161" s="140" t="e">
        <f t="shared" si="54"/>
        <v>#VALUE!</v>
      </c>
      <c r="BO161" s="141" t="e">
        <f t="shared" si="55"/>
        <v>#VALUE!</v>
      </c>
      <c r="BP161" s="142">
        <f t="shared" si="56"/>
        <v>0</v>
      </c>
      <c r="BQ161" s="140" t="e">
        <f t="shared" si="57"/>
        <v>#VALUE!</v>
      </c>
      <c r="BR161" s="141" t="e">
        <f t="shared" si="58"/>
        <v>#VALUE!</v>
      </c>
      <c r="BS161" s="142">
        <f t="shared" si="59"/>
        <v>0</v>
      </c>
      <c r="BT161" s="140" t="e">
        <f t="shared" si="60"/>
        <v>#VALUE!</v>
      </c>
      <c r="BU161" s="141" t="e">
        <f t="shared" si="61"/>
        <v>#VALUE!</v>
      </c>
      <c r="BV161" s="142">
        <f t="shared" si="62"/>
        <v>0</v>
      </c>
      <c r="BW161" s="140" t="e">
        <f t="shared" si="63"/>
        <v>#VALUE!</v>
      </c>
      <c r="BX161" s="141" t="e">
        <f t="shared" si="64"/>
        <v>#VALUE!</v>
      </c>
      <c r="BY161" s="142">
        <f t="shared" si="65"/>
        <v>0</v>
      </c>
      <c r="BZ161" s="140" t="e">
        <f t="shared" si="66"/>
        <v>#VALUE!</v>
      </c>
      <c r="CA161" s="141" t="e">
        <f t="shared" si="67"/>
        <v>#VALUE!</v>
      </c>
    </row>
    <row r="162" ht="15.75" customHeight="1" spans="1:7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64"/>
      <c r="AB162" s="1"/>
      <c r="AC162" s="1"/>
      <c r="AD162" s="164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216">
        <f t="shared" si="48"/>
        <v>0</v>
      </c>
      <c r="BH162" s="217">
        <f t="shared" si="49"/>
        <v>0</v>
      </c>
      <c r="BI162" s="218"/>
      <c r="BJ162" s="219">
        <f t="shared" si="50"/>
        <v>0</v>
      </c>
      <c r="BK162" s="140" t="e">
        <f t="shared" si="51"/>
        <v>#VALUE!</v>
      </c>
      <c r="BL162" s="141" t="e">
        <f t="shared" si="52"/>
        <v>#VALUE!</v>
      </c>
      <c r="BM162" s="142">
        <f t="shared" si="53"/>
        <v>0</v>
      </c>
      <c r="BN162" s="140" t="e">
        <f t="shared" si="54"/>
        <v>#VALUE!</v>
      </c>
      <c r="BO162" s="141" t="e">
        <f t="shared" si="55"/>
        <v>#VALUE!</v>
      </c>
      <c r="BP162" s="142">
        <f t="shared" si="56"/>
        <v>0</v>
      </c>
      <c r="BQ162" s="140" t="e">
        <f t="shared" si="57"/>
        <v>#VALUE!</v>
      </c>
      <c r="BR162" s="141" t="e">
        <f t="shared" si="58"/>
        <v>#VALUE!</v>
      </c>
      <c r="BS162" s="142">
        <f t="shared" si="59"/>
        <v>0</v>
      </c>
      <c r="BT162" s="140" t="e">
        <f t="shared" si="60"/>
        <v>#VALUE!</v>
      </c>
      <c r="BU162" s="141" t="e">
        <f t="shared" si="61"/>
        <v>#VALUE!</v>
      </c>
      <c r="BV162" s="142">
        <f t="shared" si="62"/>
        <v>0</v>
      </c>
      <c r="BW162" s="140" t="e">
        <f t="shared" si="63"/>
        <v>#VALUE!</v>
      </c>
      <c r="BX162" s="141" t="e">
        <f t="shared" si="64"/>
        <v>#VALUE!</v>
      </c>
      <c r="BY162" s="142">
        <f t="shared" si="65"/>
        <v>0</v>
      </c>
      <c r="BZ162" s="140" t="e">
        <f t="shared" si="66"/>
        <v>#VALUE!</v>
      </c>
      <c r="CA162" s="141" t="e">
        <f t="shared" si="67"/>
        <v>#VALUE!</v>
      </c>
    </row>
    <row r="163" ht="15.75" customHeight="1" spans="1:79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64"/>
      <c r="AB163" s="1"/>
      <c r="AC163" s="1"/>
      <c r="AD163" s="164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216">
        <f t="shared" si="48"/>
        <v>0</v>
      </c>
      <c r="BH163" s="217">
        <f t="shared" si="49"/>
        <v>0</v>
      </c>
      <c r="BI163" s="218"/>
      <c r="BJ163" s="219">
        <f t="shared" si="50"/>
        <v>0</v>
      </c>
      <c r="BK163" s="140" t="e">
        <f t="shared" si="51"/>
        <v>#VALUE!</v>
      </c>
      <c r="BL163" s="141" t="e">
        <f t="shared" si="52"/>
        <v>#VALUE!</v>
      </c>
      <c r="BM163" s="142">
        <f t="shared" si="53"/>
        <v>0</v>
      </c>
      <c r="BN163" s="140" t="e">
        <f t="shared" si="54"/>
        <v>#VALUE!</v>
      </c>
      <c r="BO163" s="141" t="e">
        <f t="shared" si="55"/>
        <v>#VALUE!</v>
      </c>
      <c r="BP163" s="142">
        <f t="shared" si="56"/>
        <v>0</v>
      </c>
      <c r="BQ163" s="140" t="e">
        <f t="shared" si="57"/>
        <v>#VALUE!</v>
      </c>
      <c r="BR163" s="141" t="e">
        <f t="shared" si="58"/>
        <v>#VALUE!</v>
      </c>
      <c r="BS163" s="142">
        <f t="shared" si="59"/>
        <v>0</v>
      </c>
      <c r="BT163" s="140" t="e">
        <f t="shared" si="60"/>
        <v>#VALUE!</v>
      </c>
      <c r="BU163" s="141" t="e">
        <f t="shared" si="61"/>
        <v>#VALUE!</v>
      </c>
      <c r="BV163" s="142">
        <f t="shared" si="62"/>
        <v>0</v>
      </c>
      <c r="BW163" s="140" t="e">
        <f t="shared" si="63"/>
        <v>#VALUE!</v>
      </c>
      <c r="BX163" s="141" t="e">
        <f t="shared" si="64"/>
        <v>#VALUE!</v>
      </c>
      <c r="BY163" s="142">
        <f t="shared" si="65"/>
        <v>0</v>
      </c>
      <c r="BZ163" s="140" t="e">
        <f t="shared" si="66"/>
        <v>#VALUE!</v>
      </c>
      <c r="CA163" s="141" t="e">
        <f t="shared" si="67"/>
        <v>#VALUE!</v>
      </c>
    </row>
    <row r="164" ht="15.75" customHeight="1" spans="1:79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64"/>
      <c r="AB164" s="1"/>
      <c r="AC164" s="1"/>
      <c r="AD164" s="164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216">
        <f t="shared" si="48"/>
        <v>0</v>
      </c>
      <c r="BH164" s="217">
        <f t="shared" si="49"/>
        <v>0</v>
      </c>
      <c r="BI164" s="218"/>
      <c r="BJ164" s="219">
        <f t="shared" si="50"/>
        <v>0</v>
      </c>
      <c r="BK164" s="140" t="e">
        <f t="shared" si="51"/>
        <v>#VALUE!</v>
      </c>
      <c r="BL164" s="141" t="e">
        <f t="shared" si="52"/>
        <v>#VALUE!</v>
      </c>
      <c r="BM164" s="142">
        <f t="shared" si="53"/>
        <v>0</v>
      </c>
      <c r="BN164" s="140" t="e">
        <f t="shared" si="54"/>
        <v>#VALUE!</v>
      </c>
      <c r="BO164" s="141" t="e">
        <f t="shared" si="55"/>
        <v>#VALUE!</v>
      </c>
      <c r="BP164" s="142">
        <f t="shared" si="56"/>
        <v>0</v>
      </c>
      <c r="BQ164" s="140" t="e">
        <f t="shared" si="57"/>
        <v>#VALUE!</v>
      </c>
      <c r="BR164" s="141" t="e">
        <f t="shared" si="58"/>
        <v>#VALUE!</v>
      </c>
      <c r="BS164" s="142">
        <f t="shared" si="59"/>
        <v>0</v>
      </c>
      <c r="BT164" s="140" t="e">
        <f t="shared" si="60"/>
        <v>#VALUE!</v>
      </c>
      <c r="BU164" s="141" t="e">
        <f t="shared" si="61"/>
        <v>#VALUE!</v>
      </c>
      <c r="BV164" s="142">
        <f t="shared" si="62"/>
        <v>0</v>
      </c>
      <c r="BW164" s="140" t="e">
        <f t="shared" si="63"/>
        <v>#VALUE!</v>
      </c>
      <c r="BX164" s="141" t="e">
        <f t="shared" si="64"/>
        <v>#VALUE!</v>
      </c>
      <c r="BY164" s="142">
        <f t="shared" si="65"/>
        <v>0</v>
      </c>
      <c r="BZ164" s="140" t="e">
        <f t="shared" si="66"/>
        <v>#VALUE!</v>
      </c>
      <c r="CA164" s="141" t="e">
        <f t="shared" si="67"/>
        <v>#VALUE!</v>
      </c>
    </row>
    <row r="165" ht="15.75" customHeight="1" spans="1:79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64"/>
      <c r="AB165" s="1"/>
      <c r="AC165" s="1"/>
      <c r="AD165" s="164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216">
        <f t="shared" si="48"/>
        <v>0</v>
      </c>
      <c r="BH165" s="217">
        <f t="shared" si="49"/>
        <v>0</v>
      </c>
      <c r="BI165" s="218"/>
      <c r="BJ165" s="219">
        <f t="shared" si="50"/>
        <v>0</v>
      </c>
      <c r="BK165" s="140" t="e">
        <f t="shared" si="51"/>
        <v>#VALUE!</v>
      </c>
      <c r="BL165" s="141" t="e">
        <f t="shared" si="52"/>
        <v>#VALUE!</v>
      </c>
      <c r="BM165" s="142">
        <f t="shared" si="53"/>
        <v>0</v>
      </c>
      <c r="BN165" s="140" t="e">
        <f t="shared" si="54"/>
        <v>#VALUE!</v>
      </c>
      <c r="BO165" s="141" t="e">
        <f t="shared" si="55"/>
        <v>#VALUE!</v>
      </c>
      <c r="BP165" s="142">
        <f t="shared" si="56"/>
        <v>0</v>
      </c>
      <c r="BQ165" s="140" t="e">
        <f t="shared" si="57"/>
        <v>#VALUE!</v>
      </c>
      <c r="BR165" s="141" t="e">
        <f t="shared" si="58"/>
        <v>#VALUE!</v>
      </c>
      <c r="BS165" s="142">
        <f t="shared" si="59"/>
        <v>0</v>
      </c>
      <c r="BT165" s="140" t="e">
        <f t="shared" si="60"/>
        <v>#VALUE!</v>
      </c>
      <c r="BU165" s="141" t="e">
        <f t="shared" si="61"/>
        <v>#VALUE!</v>
      </c>
      <c r="BV165" s="142">
        <f t="shared" si="62"/>
        <v>0</v>
      </c>
      <c r="BW165" s="140" t="e">
        <f t="shared" si="63"/>
        <v>#VALUE!</v>
      </c>
      <c r="BX165" s="141" t="e">
        <f t="shared" si="64"/>
        <v>#VALUE!</v>
      </c>
      <c r="BY165" s="142">
        <f t="shared" si="65"/>
        <v>0</v>
      </c>
      <c r="BZ165" s="140" t="e">
        <f t="shared" si="66"/>
        <v>#VALUE!</v>
      </c>
      <c r="CA165" s="141" t="e">
        <f t="shared" si="67"/>
        <v>#VALUE!</v>
      </c>
    </row>
    <row r="166" ht="15.75" customHeight="1" spans="1:79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64"/>
      <c r="AB166" s="1"/>
      <c r="AC166" s="1"/>
      <c r="AD166" s="164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216">
        <f t="shared" si="48"/>
        <v>0</v>
      </c>
      <c r="BH166" s="217">
        <f t="shared" si="49"/>
        <v>0</v>
      </c>
      <c r="BI166" s="218"/>
      <c r="BJ166" s="219">
        <f t="shared" si="50"/>
        <v>0</v>
      </c>
      <c r="BK166" s="140" t="e">
        <f t="shared" si="51"/>
        <v>#VALUE!</v>
      </c>
      <c r="BL166" s="141" t="e">
        <f t="shared" si="52"/>
        <v>#VALUE!</v>
      </c>
      <c r="BM166" s="142">
        <f t="shared" si="53"/>
        <v>0</v>
      </c>
      <c r="BN166" s="140" t="e">
        <f t="shared" si="54"/>
        <v>#VALUE!</v>
      </c>
      <c r="BO166" s="141" t="e">
        <f t="shared" si="55"/>
        <v>#VALUE!</v>
      </c>
      <c r="BP166" s="142">
        <f t="shared" si="56"/>
        <v>0</v>
      </c>
      <c r="BQ166" s="140" t="e">
        <f t="shared" si="57"/>
        <v>#VALUE!</v>
      </c>
      <c r="BR166" s="141" t="e">
        <f t="shared" si="58"/>
        <v>#VALUE!</v>
      </c>
      <c r="BS166" s="142">
        <f t="shared" si="59"/>
        <v>0</v>
      </c>
      <c r="BT166" s="140" t="e">
        <f t="shared" si="60"/>
        <v>#VALUE!</v>
      </c>
      <c r="BU166" s="141" t="e">
        <f t="shared" si="61"/>
        <v>#VALUE!</v>
      </c>
      <c r="BV166" s="142">
        <f t="shared" si="62"/>
        <v>0</v>
      </c>
      <c r="BW166" s="140" t="e">
        <f t="shared" si="63"/>
        <v>#VALUE!</v>
      </c>
      <c r="BX166" s="141" t="e">
        <f t="shared" si="64"/>
        <v>#VALUE!</v>
      </c>
      <c r="BY166" s="142">
        <f t="shared" si="65"/>
        <v>0</v>
      </c>
      <c r="BZ166" s="140" t="e">
        <f t="shared" si="66"/>
        <v>#VALUE!</v>
      </c>
      <c r="CA166" s="141" t="e">
        <f t="shared" si="67"/>
        <v>#VALUE!</v>
      </c>
    </row>
    <row r="167" ht="15.75" customHeight="1" spans="1:79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64"/>
      <c r="AB167" s="1"/>
      <c r="AC167" s="1"/>
      <c r="AD167" s="164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216">
        <f t="shared" si="48"/>
        <v>0</v>
      </c>
      <c r="BH167" s="217">
        <f t="shared" si="49"/>
        <v>0</v>
      </c>
      <c r="BI167" s="218"/>
      <c r="BJ167" s="219">
        <f t="shared" si="50"/>
        <v>0</v>
      </c>
      <c r="BK167" s="140" t="e">
        <f t="shared" si="51"/>
        <v>#VALUE!</v>
      </c>
      <c r="BL167" s="141" t="e">
        <f t="shared" si="52"/>
        <v>#VALUE!</v>
      </c>
      <c r="BM167" s="142">
        <f t="shared" si="53"/>
        <v>0</v>
      </c>
      <c r="BN167" s="140" t="e">
        <f t="shared" si="54"/>
        <v>#VALUE!</v>
      </c>
      <c r="BO167" s="141" t="e">
        <f t="shared" si="55"/>
        <v>#VALUE!</v>
      </c>
      <c r="BP167" s="142">
        <f t="shared" si="56"/>
        <v>0</v>
      </c>
      <c r="BQ167" s="140" t="e">
        <f t="shared" si="57"/>
        <v>#VALUE!</v>
      </c>
      <c r="BR167" s="141" t="e">
        <f t="shared" si="58"/>
        <v>#VALUE!</v>
      </c>
      <c r="BS167" s="142">
        <f t="shared" si="59"/>
        <v>0</v>
      </c>
      <c r="BT167" s="140" t="e">
        <f t="shared" si="60"/>
        <v>#VALUE!</v>
      </c>
      <c r="BU167" s="141" t="e">
        <f t="shared" si="61"/>
        <v>#VALUE!</v>
      </c>
      <c r="BV167" s="142">
        <f t="shared" si="62"/>
        <v>0</v>
      </c>
      <c r="BW167" s="140" t="e">
        <f t="shared" si="63"/>
        <v>#VALUE!</v>
      </c>
      <c r="BX167" s="141" t="e">
        <f t="shared" si="64"/>
        <v>#VALUE!</v>
      </c>
      <c r="BY167" s="142">
        <f t="shared" si="65"/>
        <v>0</v>
      </c>
      <c r="BZ167" s="140" t="e">
        <f t="shared" si="66"/>
        <v>#VALUE!</v>
      </c>
      <c r="CA167" s="141" t="e">
        <f t="shared" si="67"/>
        <v>#VALUE!</v>
      </c>
    </row>
    <row r="168" ht="15.75" customHeight="1" spans="1:79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64"/>
      <c r="AB168" s="1"/>
      <c r="AC168" s="1"/>
      <c r="AD168" s="164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216">
        <f t="shared" ref="BG168:BG200" si="68">SUM(D168:R168)</f>
        <v>0</v>
      </c>
      <c r="BH168" s="217">
        <f t="shared" si="49"/>
        <v>0</v>
      </c>
      <c r="BI168" s="218"/>
      <c r="BJ168" s="219">
        <f t="shared" ref="BJ168:BJ200" si="69">SUMIF($D$7:$AG$7,"1",$D168:$BH168)</f>
        <v>0</v>
      </c>
      <c r="BK168" s="140" t="e">
        <f t="shared" ref="BK168:BK200" si="70">SUMIFS($D$9:$AG$9,$D$7:$AG$7,"1",$D168:$BH168,"&gt;"&amp;-1)</f>
        <v>#VALUE!</v>
      </c>
      <c r="BL168" s="141" t="e">
        <f t="shared" ref="BL168:BL199" si="71">ROUNDUP(IF(BK168,BJ168/BK168%,0),2)</f>
        <v>#VALUE!</v>
      </c>
      <c r="BM168" s="142">
        <f t="shared" ref="BM168:BM200" si="72">SUMIF($D$7:$AG$7,"2",$D168:$BH168)</f>
        <v>0</v>
      </c>
      <c r="BN168" s="140" t="e">
        <f t="shared" ref="BN168:BN200" si="73">SUMIFS($D$9:$AG$9,$D$7:$AG$7,"2",$D168:$BH168,"&gt;"&amp;-1)</f>
        <v>#VALUE!</v>
      </c>
      <c r="BO168" s="141" t="e">
        <f t="shared" ref="BO168:BO199" si="74">ROUNDUP(IF(BN168,BM168/BN168%,0),2)</f>
        <v>#VALUE!</v>
      </c>
      <c r="BP168" s="142">
        <f t="shared" ref="BP168:BP200" si="75">SUMIF($D$7:$AG$7,"3",$D168:$BH168)</f>
        <v>0</v>
      </c>
      <c r="BQ168" s="140" t="e">
        <f t="shared" ref="BQ168:BQ200" si="76">SUMIFS($D$9:$AG$9,$D$7:$AG$7,"3",$D168:$BH168,"&gt;"&amp;-1)</f>
        <v>#VALUE!</v>
      </c>
      <c r="BR168" s="141" t="e">
        <f t="shared" ref="BR168:BR199" si="77">ROUNDUP(IF(BQ168,BP168/BQ168%,0),2)</f>
        <v>#VALUE!</v>
      </c>
      <c r="BS168" s="142">
        <f t="shared" ref="BS168:BS200" si="78">SUMIF($D$7:$AG$7,"4",$D168:$BH168)</f>
        <v>0</v>
      </c>
      <c r="BT168" s="140" t="e">
        <f t="shared" ref="BT168:BT200" si="79">SUMIFS($D$9:$AG$9,$D$7:$AG$7,"4",$D168:$BH168,"&gt;"&amp;-1)</f>
        <v>#VALUE!</v>
      </c>
      <c r="BU168" s="141" t="e">
        <f t="shared" ref="BU168:BU199" si="80">ROUNDUP(IF(BT168,BS168/BT168%,0),2)</f>
        <v>#VALUE!</v>
      </c>
      <c r="BV168" s="142">
        <f t="shared" ref="BV168:BV200" si="81">SUMIF($D$7:$AG$7,"5",$D168:$BH168)</f>
        <v>0</v>
      </c>
      <c r="BW168" s="140" t="e">
        <f t="shared" ref="BW168:BW200" si="82">SUMIFS($D$9:$AG$9,$D$7:$AG$7,"5",$D168:$BH168,"&gt;"&amp;-1)</f>
        <v>#VALUE!</v>
      </c>
      <c r="BX168" s="141" t="e">
        <f t="shared" ref="BX168:BX199" si="83">ROUNDUP(IF(BW168,BV168/BW168%,0),2)</f>
        <v>#VALUE!</v>
      </c>
      <c r="BY168" s="142">
        <f t="shared" ref="BY168:BY200" si="84">SUMIF($D$7:$AG$7,"6",$D168:$BH168)</f>
        <v>0</v>
      </c>
      <c r="BZ168" s="140" t="e">
        <f t="shared" ref="BZ168:BZ200" si="85">SUMIFS($D$9:$AG$9,$D$7:$AG$7,"6",$D168:$BH168,"&gt;"&amp;-1)</f>
        <v>#VALUE!</v>
      </c>
      <c r="CA168" s="141" t="e">
        <f t="shared" ref="CA168:CA199" si="86">ROUNDUP(IF(BZ168,BY168/BZ168%,0),2)</f>
        <v>#VALUE!</v>
      </c>
    </row>
    <row r="169" ht="15.75" customHeight="1" spans="1:79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B169" s="1"/>
      <c r="AC169" s="1"/>
      <c r="AD169" s="164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216">
        <f t="shared" si="68"/>
        <v>0</v>
      </c>
      <c r="BH169" s="217">
        <f t="shared" si="49"/>
        <v>0</v>
      </c>
      <c r="BI169" s="218"/>
      <c r="BJ169" s="219">
        <f t="shared" si="69"/>
        <v>0</v>
      </c>
      <c r="BK169" s="140" t="e">
        <f t="shared" si="70"/>
        <v>#VALUE!</v>
      </c>
      <c r="BL169" s="141" t="e">
        <f t="shared" si="71"/>
        <v>#VALUE!</v>
      </c>
      <c r="BM169" s="142">
        <f t="shared" si="72"/>
        <v>0</v>
      </c>
      <c r="BN169" s="140" t="e">
        <f t="shared" si="73"/>
        <v>#VALUE!</v>
      </c>
      <c r="BO169" s="141" t="e">
        <f t="shared" si="74"/>
        <v>#VALUE!</v>
      </c>
      <c r="BP169" s="142">
        <f t="shared" si="75"/>
        <v>0</v>
      </c>
      <c r="BQ169" s="140" t="e">
        <f t="shared" si="76"/>
        <v>#VALUE!</v>
      </c>
      <c r="BR169" s="141" t="e">
        <f t="shared" si="77"/>
        <v>#VALUE!</v>
      </c>
      <c r="BS169" s="142">
        <f t="shared" si="78"/>
        <v>0</v>
      </c>
      <c r="BT169" s="140" t="e">
        <f t="shared" si="79"/>
        <v>#VALUE!</v>
      </c>
      <c r="BU169" s="141" t="e">
        <f t="shared" si="80"/>
        <v>#VALUE!</v>
      </c>
      <c r="BV169" s="142">
        <f t="shared" si="81"/>
        <v>0</v>
      </c>
      <c r="BW169" s="140" t="e">
        <f t="shared" si="82"/>
        <v>#VALUE!</v>
      </c>
      <c r="BX169" s="141" t="e">
        <f t="shared" si="83"/>
        <v>#VALUE!</v>
      </c>
      <c r="BY169" s="142">
        <f t="shared" si="84"/>
        <v>0</v>
      </c>
      <c r="BZ169" s="140" t="e">
        <f t="shared" si="85"/>
        <v>#VALUE!</v>
      </c>
      <c r="CA169" s="141" t="e">
        <f t="shared" si="86"/>
        <v>#VALUE!</v>
      </c>
    </row>
    <row r="170" ht="15.75" customHeight="1" spans="1:79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B170" s="1"/>
      <c r="AC170" s="1"/>
      <c r="AD170" s="164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216">
        <f t="shared" si="68"/>
        <v>0</v>
      </c>
      <c r="BH170" s="217">
        <f t="shared" si="49"/>
        <v>0</v>
      </c>
      <c r="BI170" s="218"/>
      <c r="BJ170" s="219">
        <f t="shared" si="69"/>
        <v>0</v>
      </c>
      <c r="BK170" s="140" t="e">
        <f t="shared" si="70"/>
        <v>#VALUE!</v>
      </c>
      <c r="BL170" s="141" t="e">
        <f t="shared" si="71"/>
        <v>#VALUE!</v>
      </c>
      <c r="BM170" s="142">
        <f t="shared" si="72"/>
        <v>0</v>
      </c>
      <c r="BN170" s="140" t="e">
        <f t="shared" si="73"/>
        <v>#VALUE!</v>
      </c>
      <c r="BO170" s="141" t="e">
        <f t="shared" si="74"/>
        <v>#VALUE!</v>
      </c>
      <c r="BP170" s="142">
        <f t="shared" si="75"/>
        <v>0</v>
      </c>
      <c r="BQ170" s="140" t="e">
        <f t="shared" si="76"/>
        <v>#VALUE!</v>
      </c>
      <c r="BR170" s="141" t="e">
        <f t="shared" si="77"/>
        <v>#VALUE!</v>
      </c>
      <c r="BS170" s="142">
        <f t="shared" si="78"/>
        <v>0</v>
      </c>
      <c r="BT170" s="140" t="e">
        <f t="shared" si="79"/>
        <v>#VALUE!</v>
      </c>
      <c r="BU170" s="141" t="e">
        <f t="shared" si="80"/>
        <v>#VALUE!</v>
      </c>
      <c r="BV170" s="142">
        <f t="shared" si="81"/>
        <v>0</v>
      </c>
      <c r="BW170" s="140" t="e">
        <f t="shared" si="82"/>
        <v>#VALUE!</v>
      </c>
      <c r="BX170" s="141" t="e">
        <f t="shared" si="83"/>
        <v>#VALUE!</v>
      </c>
      <c r="BY170" s="142">
        <f t="shared" si="84"/>
        <v>0</v>
      </c>
      <c r="BZ170" s="140" t="e">
        <f t="shared" si="85"/>
        <v>#VALUE!</v>
      </c>
      <c r="CA170" s="141" t="e">
        <f t="shared" si="86"/>
        <v>#VALUE!</v>
      </c>
    </row>
    <row r="171" ht="15.75" customHeight="1" spans="1:79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216">
        <f t="shared" si="68"/>
        <v>0</v>
      </c>
      <c r="BH171" s="217">
        <f t="shared" si="49"/>
        <v>0</v>
      </c>
      <c r="BI171" s="218"/>
      <c r="BJ171" s="219">
        <f t="shared" si="69"/>
        <v>0</v>
      </c>
      <c r="BK171" s="140" t="e">
        <f t="shared" si="70"/>
        <v>#VALUE!</v>
      </c>
      <c r="BL171" s="141" t="e">
        <f t="shared" si="71"/>
        <v>#VALUE!</v>
      </c>
      <c r="BM171" s="142">
        <f t="shared" si="72"/>
        <v>0</v>
      </c>
      <c r="BN171" s="140" t="e">
        <f t="shared" si="73"/>
        <v>#VALUE!</v>
      </c>
      <c r="BO171" s="141" t="e">
        <f t="shared" si="74"/>
        <v>#VALUE!</v>
      </c>
      <c r="BP171" s="142">
        <f t="shared" si="75"/>
        <v>0</v>
      </c>
      <c r="BQ171" s="140" t="e">
        <f t="shared" si="76"/>
        <v>#VALUE!</v>
      </c>
      <c r="BR171" s="141" t="e">
        <f t="shared" si="77"/>
        <v>#VALUE!</v>
      </c>
      <c r="BS171" s="142">
        <f t="shared" si="78"/>
        <v>0</v>
      </c>
      <c r="BT171" s="140" t="e">
        <f t="shared" si="79"/>
        <v>#VALUE!</v>
      </c>
      <c r="BU171" s="141" t="e">
        <f t="shared" si="80"/>
        <v>#VALUE!</v>
      </c>
      <c r="BV171" s="142">
        <f t="shared" si="81"/>
        <v>0</v>
      </c>
      <c r="BW171" s="140" t="e">
        <f t="shared" si="82"/>
        <v>#VALUE!</v>
      </c>
      <c r="BX171" s="141" t="e">
        <f t="shared" si="83"/>
        <v>#VALUE!</v>
      </c>
      <c r="BY171" s="142">
        <f t="shared" si="84"/>
        <v>0</v>
      </c>
      <c r="BZ171" s="140" t="e">
        <f t="shared" si="85"/>
        <v>#VALUE!</v>
      </c>
      <c r="CA171" s="141" t="e">
        <f t="shared" si="86"/>
        <v>#VALUE!</v>
      </c>
    </row>
    <row r="172" ht="15.75" customHeight="1" spans="1:79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216">
        <f t="shared" si="68"/>
        <v>0</v>
      </c>
      <c r="BH172" s="217">
        <f t="shared" si="49"/>
        <v>0</v>
      </c>
      <c r="BI172" s="218"/>
      <c r="BJ172" s="219">
        <f t="shared" si="69"/>
        <v>0</v>
      </c>
      <c r="BK172" s="140" t="e">
        <f t="shared" si="70"/>
        <v>#VALUE!</v>
      </c>
      <c r="BL172" s="141" t="e">
        <f t="shared" si="71"/>
        <v>#VALUE!</v>
      </c>
      <c r="BM172" s="142">
        <f t="shared" si="72"/>
        <v>0</v>
      </c>
      <c r="BN172" s="140" t="e">
        <f t="shared" si="73"/>
        <v>#VALUE!</v>
      </c>
      <c r="BO172" s="141" t="e">
        <f t="shared" si="74"/>
        <v>#VALUE!</v>
      </c>
      <c r="BP172" s="142">
        <f t="shared" si="75"/>
        <v>0</v>
      </c>
      <c r="BQ172" s="140" t="e">
        <f t="shared" si="76"/>
        <v>#VALUE!</v>
      </c>
      <c r="BR172" s="141" t="e">
        <f t="shared" si="77"/>
        <v>#VALUE!</v>
      </c>
      <c r="BS172" s="142">
        <f t="shared" si="78"/>
        <v>0</v>
      </c>
      <c r="BT172" s="140" t="e">
        <f t="shared" si="79"/>
        <v>#VALUE!</v>
      </c>
      <c r="BU172" s="141" t="e">
        <f t="shared" si="80"/>
        <v>#VALUE!</v>
      </c>
      <c r="BV172" s="142">
        <f t="shared" si="81"/>
        <v>0</v>
      </c>
      <c r="BW172" s="140" t="e">
        <f t="shared" si="82"/>
        <v>#VALUE!</v>
      </c>
      <c r="BX172" s="141" t="e">
        <f t="shared" si="83"/>
        <v>#VALUE!</v>
      </c>
      <c r="BY172" s="142">
        <f t="shared" si="84"/>
        <v>0</v>
      </c>
      <c r="BZ172" s="140" t="e">
        <f t="shared" si="85"/>
        <v>#VALUE!</v>
      </c>
      <c r="CA172" s="141" t="e">
        <f t="shared" si="86"/>
        <v>#VALUE!</v>
      </c>
    </row>
    <row r="173" ht="15.75" customHeight="1" spans="1:79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216">
        <f t="shared" si="68"/>
        <v>0</v>
      </c>
      <c r="BH173" s="217">
        <f t="shared" si="49"/>
        <v>0</v>
      </c>
      <c r="BI173" s="218"/>
      <c r="BJ173" s="219">
        <f t="shared" si="69"/>
        <v>0</v>
      </c>
      <c r="BK173" s="140" t="e">
        <f t="shared" si="70"/>
        <v>#VALUE!</v>
      </c>
      <c r="BL173" s="141" t="e">
        <f t="shared" si="71"/>
        <v>#VALUE!</v>
      </c>
      <c r="BM173" s="142">
        <f t="shared" si="72"/>
        <v>0</v>
      </c>
      <c r="BN173" s="140" t="e">
        <f t="shared" si="73"/>
        <v>#VALUE!</v>
      </c>
      <c r="BO173" s="141" t="e">
        <f t="shared" si="74"/>
        <v>#VALUE!</v>
      </c>
      <c r="BP173" s="142">
        <f t="shared" si="75"/>
        <v>0</v>
      </c>
      <c r="BQ173" s="140" t="e">
        <f t="shared" si="76"/>
        <v>#VALUE!</v>
      </c>
      <c r="BR173" s="141" t="e">
        <f t="shared" si="77"/>
        <v>#VALUE!</v>
      </c>
      <c r="BS173" s="142">
        <f t="shared" si="78"/>
        <v>0</v>
      </c>
      <c r="BT173" s="140" t="e">
        <f t="shared" si="79"/>
        <v>#VALUE!</v>
      </c>
      <c r="BU173" s="141" t="e">
        <f t="shared" si="80"/>
        <v>#VALUE!</v>
      </c>
      <c r="BV173" s="142">
        <f t="shared" si="81"/>
        <v>0</v>
      </c>
      <c r="BW173" s="140" t="e">
        <f t="shared" si="82"/>
        <v>#VALUE!</v>
      </c>
      <c r="BX173" s="141" t="e">
        <f t="shared" si="83"/>
        <v>#VALUE!</v>
      </c>
      <c r="BY173" s="142">
        <f t="shared" si="84"/>
        <v>0</v>
      </c>
      <c r="BZ173" s="140" t="e">
        <f t="shared" si="85"/>
        <v>#VALUE!</v>
      </c>
      <c r="CA173" s="141" t="e">
        <f t="shared" si="86"/>
        <v>#VALUE!</v>
      </c>
    </row>
    <row r="174" ht="15.75" customHeight="1" spans="1:79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216">
        <f t="shared" si="68"/>
        <v>0</v>
      </c>
      <c r="BH174" s="217">
        <f t="shared" si="49"/>
        <v>0</v>
      </c>
      <c r="BI174" s="218"/>
      <c r="BJ174" s="219">
        <f t="shared" si="69"/>
        <v>0</v>
      </c>
      <c r="BK174" s="140" t="e">
        <f t="shared" si="70"/>
        <v>#VALUE!</v>
      </c>
      <c r="BL174" s="141" t="e">
        <f t="shared" si="71"/>
        <v>#VALUE!</v>
      </c>
      <c r="BM174" s="142">
        <f t="shared" si="72"/>
        <v>0</v>
      </c>
      <c r="BN174" s="140" t="e">
        <f t="shared" si="73"/>
        <v>#VALUE!</v>
      </c>
      <c r="BO174" s="141" t="e">
        <f t="shared" si="74"/>
        <v>#VALUE!</v>
      </c>
      <c r="BP174" s="142">
        <f t="shared" si="75"/>
        <v>0</v>
      </c>
      <c r="BQ174" s="140" t="e">
        <f t="shared" si="76"/>
        <v>#VALUE!</v>
      </c>
      <c r="BR174" s="141" t="e">
        <f t="shared" si="77"/>
        <v>#VALUE!</v>
      </c>
      <c r="BS174" s="142">
        <f t="shared" si="78"/>
        <v>0</v>
      </c>
      <c r="BT174" s="140" t="e">
        <f t="shared" si="79"/>
        <v>#VALUE!</v>
      </c>
      <c r="BU174" s="141" t="e">
        <f t="shared" si="80"/>
        <v>#VALUE!</v>
      </c>
      <c r="BV174" s="142">
        <f t="shared" si="81"/>
        <v>0</v>
      </c>
      <c r="BW174" s="140" t="e">
        <f t="shared" si="82"/>
        <v>#VALUE!</v>
      </c>
      <c r="BX174" s="141" t="e">
        <f t="shared" si="83"/>
        <v>#VALUE!</v>
      </c>
      <c r="BY174" s="142">
        <f t="shared" si="84"/>
        <v>0</v>
      </c>
      <c r="BZ174" s="140" t="e">
        <f t="shared" si="85"/>
        <v>#VALUE!</v>
      </c>
      <c r="CA174" s="141" t="e">
        <f t="shared" si="86"/>
        <v>#VALUE!</v>
      </c>
    </row>
    <row r="175" ht="15.75" customHeight="1" spans="1:7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216">
        <f t="shared" si="68"/>
        <v>0</v>
      </c>
      <c r="BH175" s="217">
        <f t="shared" si="49"/>
        <v>0</v>
      </c>
      <c r="BI175" s="218"/>
      <c r="BJ175" s="219">
        <f t="shared" si="69"/>
        <v>0</v>
      </c>
      <c r="BK175" s="140" t="e">
        <f t="shared" si="70"/>
        <v>#VALUE!</v>
      </c>
      <c r="BL175" s="141" t="e">
        <f t="shared" si="71"/>
        <v>#VALUE!</v>
      </c>
      <c r="BM175" s="142">
        <f t="shared" si="72"/>
        <v>0</v>
      </c>
      <c r="BN175" s="140" t="e">
        <f t="shared" si="73"/>
        <v>#VALUE!</v>
      </c>
      <c r="BO175" s="141" t="e">
        <f t="shared" si="74"/>
        <v>#VALUE!</v>
      </c>
      <c r="BP175" s="142">
        <f t="shared" si="75"/>
        <v>0</v>
      </c>
      <c r="BQ175" s="140" t="e">
        <f t="shared" si="76"/>
        <v>#VALUE!</v>
      </c>
      <c r="BR175" s="141" t="e">
        <f t="shared" si="77"/>
        <v>#VALUE!</v>
      </c>
      <c r="BS175" s="142">
        <f t="shared" si="78"/>
        <v>0</v>
      </c>
      <c r="BT175" s="140" t="e">
        <f t="shared" si="79"/>
        <v>#VALUE!</v>
      </c>
      <c r="BU175" s="141" t="e">
        <f t="shared" si="80"/>
        <v>#VALUE!</v>
      </c>
      <c r="BV175" s="142">
        <f t="shared" si="81"/>
        <v>0</v>
      </c>
      <c r="BW175" s="140" t="e">
        <f t="shared" si="82"/>
        <v>#VALUE!</v>
      </c>
      <c r="BX175" s="141" t="e">
        <f t="shared" si="83"/>
        <v>#VALUE!</v>
      </c>
      <c r="BY175" s="142">
        <f t="shared" si="84"/>
        <v>0</v>
      </c>
      <c r="BZ175" s="140" t="e">
        <f t="shared" si="85"/>
        <v>#VALUE!</v>
      </c>
      <c r="CA175" s="141" t="e">
        <f t="shared" si="86"/>
        <v>#VALUE!</v>
      </c>
    </row>
    <row r="176" ht="15.75" customHeight="1" spans="1:7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216">
        <f t="shared" si="68"/>
        <v>0</v>
      </c>
      <c r="BH176" s="217">
        <f t="shared" si="49"/>
        <v>0</v>
      </c>
      <c r="BI176" s="218"/>
      <c r="BJ176" s="219">
        <f t="shared" si="69"/>
        <v>0</v>
      </c>
      <c r="BK176" s="140" t="e">
        <f t="shared" si="70"/>
        <v>#VALUE!</v>
      </c>
      <c r="BL176" s="141" t="e">
        <f t="shared" si="71"/>
        <v>#VALUE!</v>
      </c>
      <c r="BM176" s="142">
        <f t="shared" si="72"/>
        <v>0</v>
      </c>
      <c r="BN176" s="140" t="e">
        <f t="shared" si="73"/>
        <v>#VALUE!</v>
      </c>
      <c r="BO176" s="141" t="e">
        <f t="shared" si="74"/>
        <v>#VALUE!</v>
      </c>
      <c r="BP176" s="142">
        <f t="shared" si="75"/>
        <v>0</v>
      </c>
      <c r="BQ176" s="140" t="e">
        <f t="shared" si="76"/>
        <v>#VALUE!</v>
      </c>
      <c r="BR176" s="141" t="e">
        <f t="shared" si="77"/>
        <v>#VALUE!</v>
      </c>
      <c r="BS176" s="142">
        <f t="shared" si="78"/>
        <v>0</v>
      </c>
      <c r="BT176" s="140" t="e">
        <f t="shared" si="79"/>
        <v>#VALUE!</v>
      </c>
      <c r="BU176" s="141" t="e">
        <f t="shared" si="80"/>
        <v>#VALUE!</v>
      </c>
      <c r="BV176" s="142">
        <f t="shared" si="81"/>
        <v>0</v>
      </c>
      <c r="BW176" s="140" t="e">
        <f t="shared" si="82"/>
        <v>#VALUE!</v>
      </c>
      <c r="BX176" s="141" t="e">
        <f t="shared" si="83"/>
        <v>#VALUE!</v>
      </c>
      <c r="BY176" s="142">
        <f t="shared" si="84"/>
        <v>0</v>
      </c>
      <c r="BZ176" s="140" t="e">
        <f t="shared" si="85"/>
        <v>#VALUE!</v>
      </c>
      <c r="CA176" s="141" t="e">
        <f t="shared" si="86"/>
        <v>#VALUE!</v>
      </c>
    </row>
    <row r="177" ht="15.75" customHeight="1" spans="1:79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216">
        <f t="shared" si="68"/>
        <v>0</v>
      </c>
      <c r="BH177" s="217">
        <f t="shared" si="49"/>
        <v>0</v>
      </c>
      <c r="BI177" s="218"/>
      <c r="BJ177" s="219">
        <f t="shared" si="69"/>
        <v>0</v>
      </c>
      <c r="BK177" s="140" t="e">
        <f t="shared" si="70"/>
        <v>#VALUE!</v>
      </c>
      <c r="BL177" s="141" t="e">
        <f t="shared" si="71"/>
        <v>#VALUE!</v>
      </c>
      <c r="BM177" s="142">
        <f t="shared" si="72"/>
        <v>0</v>
      </c>
      <c r="BN177" s="140" t="e">
        <f t="shared" si="73"/>
        <v>#VALUE!</v>
      </c>
      <c r="BO177" s="141" t="e">
        <f t="shared" si="74"/>
        <v>#VALUE!</v>
      </c>
      <c r="BP177" s="142">
        <f t="shared" si="75"/>
        <v>0</v>
      </c>
      <c r="BQ177" s="140" t="e">
        <f t="shared" si="76"/>
        <v>#VALUE!</v>
      </c>
      <c r="BR177" s="141" t="e">
        <f t="shared" si="77"/>
        <v>#VALUE!</v>
      </c>
      <c r="BS177" s="142">
        <f t="shared" si="78"/>
        <v>0</v>
      </c>
      <c r="BT177" s="140" t="e">
        <f t="shared" si="79"/>
        <v>#VALUE!</v>
      </c>
      <c r="BU177" s="141" t="e">
        <f t="shared" si="80"/>
        <v>#VALUE!</v>
      </c>
      <c r="BV177" s="142">
        <f t="shared" si="81"/>
        <v>0</v>
      </c>
      <c r="BW177" s="140" t="e">
        <f t="shared" si="82"/>
        <v>#VALUE!</v>
      </c>
      <c r="BX177" s="141" t="e">
        <f t="shared" si="83"/>
        <v>#VALUE!</v>
      </c>
      <c r="BY177" s="142">
        <f t="shared" si="84"/>
        <v>0</v>
      </c>
      <c r="BZ177" s="140" t="e">
        <f t="shared" si="85"/>
        <v>#VALUE!</v>
      </c>
      <c r="CA177" s="141" t="e">
        <f t="shared" si="86"/>
        <v>#VALUE!</v>
      </c>
    </row>
    <row r="178" ht="15.75" customHeight="1" spans="1:79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216">
        <f t="shared" si="68"/>
        <v>0</v>
      </c>
      <c r="BH178" s="217">
        <f t="shared" si="49"/>
        <v>0</v>
      </c>
      <c r="BI178" s="218"/>
      <c r="BJ178" s="219">
        <f t="shared" si="69"/>
        <v>0</v>
      </c>
      <c r="BK178" s="140" t="e">
        <f t="shared" si="70"/>
        <v>#VALUE!</v>
      </c>
      <c r="BL178" s="141" t="e">
        <f t="shared" si="71"/>
        <v>#VALUE!</v>
      </c>
      <c r="BM178" s="142">
        <f t="shared" si="72"/>
        <v>0</v>
      </c>
      <c r="BN178" s="140" t="e">
        <f t="shared" si="73"/>
        <v>#VALUE!</v>
      </c>
      <c r="BO178" s="141" t="e">
        <f t="shared" si="74"/>
        <v>#VALUE!</v>
      </c>
      <c r="BP178" s="142">
        <f t="shared" si="75"/>
        <v>0</v>
      </c>
      <c r="BQ178" s="140" t="e">
        <f t="shared" si="76"/>
        <v>#VALUE!</v>
      </c>
      <c r="BR178" s="141" t="e">
        <f t="shared" si="77"/>
        <v>#VALUE!</v>
      </c>
      <c r="BS178" s="142">
        <f t="shared" si="78"/>
        <v>0</v>
      </c>
      <c r="BT178" s="140" t="e">
        <f t="shared" si="79"/>
        <v>#VALUE!</v>
      </c>
      <c r="BU178" s="141" t="e">
        <f t="shared" si="80"/>
        <v>#VALUE!</v>
      </c>
      <c r="BV178" s="142">
        <f t="shared" si="81"/>
        <v>0</v>
      </c>
      <c r="BW178" s="140" t="e">
        <f t="shared" si="82"/>
        <v>#VALUE!</v>
      </c>
      <c r="BX178" s="141" t="e">
        <f t="shared" si="83"/>
        <v>#VALUE!</v>
      </c>
      <c r="BY178" s="142">
        <f t="shared" si="84"/>
        <v>0</v>
      </c>
      <c r="BZ178" s="140" t="e">
        <f t="shared" si="85"/>
        <v>#VALUE!</v>
      </c>
      <c r="CA178" s="141" t="e">
        <f t="shared" si="86"/>
        <v>#VALUE!</v>
      </c>
    </row>
    <row r="179" ht="15.75" customHeight="1" spans="1:79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216">
        <f t="shared" si="68"/>
        <v>0</v>
      </c>
      <c r="BH179" s="217">
        <f t="shared" si="49"/>
        <v>0</v>
      </c>
      <c r="BI179" s="218"/>
      <c r="BJ179" s="219">
        <f t="shared" si="69"/>
        <v>0</v>
      </c>
      <c r="BK179" s="140" t="e">
        <f t="shared" si="70"/>
        <v>#VALUE!</v>
      </c>
      <c r="BL179" s="141" t="e">
        <f t="shared" si="71"/>
        <v>#VALUE!</v>
      </c>
      <c r="BM179" s="142">
        <f t="shared" si="72"/>
        <v>0</v>
      </c>
      <c r="BN179" s="140" t="e">
        <f t="shared" si="73"/>
        <v>#VALUE!</v>
      </c>
      <c r="BO179" s="141" t="e">
        <f t="shared" si="74"/>
        <v>#VALUE!</v>
      </c>
      <c r="BP179" s="142">
        <f t="shared" si="75"/>
        <v>0</v>
      </c>
      <c r="BQ179" s="140" t="e">
        <f t="shared" si="76"/>
        <v>#VALUE!</v>
      </c>
      <c r="BR179" s="141" t="e">
        <f t="shared" si="77"/>
        <v>#VALUE!</v>
      </c>
      <c r="BS179" s="142">
        <f t="shared" si="78"/>
        <v>0</v>
      </c>
      <c r="BT179" s="140" t="e">
        <f t="shared" si="79"/>
        <v>#VALUE!</v>
      </c>
      <c r="BU179" s="141" t="e">
        <f t="shared" si="80"/>
        <v>#VALUE!</v>
      </c>
      <c r="BV179" s="142">
        <f t="shared" si="81"/>
        <v>0</v>
      </c>
      <c r="BW179" s="140" t="e">
        <f t="shared" si="82"/>
        <v>#VALUE!</v>
      </c>
      <c r="BX179" s="141" t="e">
        <f t="shared" si="83"/>
        <v>#VALUE!</v>
      </c>
      <c r="BY179" s="142">
        <f t="shared" si="84"/>
        <v>0</v>
      </c>
      <c r="BZ179" s="140" t="e">
        <f t="shared" si="85"/>
        <v>#VALUE!</v>
      </c>
      <c r="CA179" s="141" t="e">
        <f t="shared" si="86"/>
        <v>#VALUE!</v>
      </c>
    </row>
    <row r="180" ht="15.75" customHeight="1" spans="1:79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216">
        <f t="shared" si="68"/>
        <v>0</v>
      </c>
      <c r="BH180" s="217">
        <f t="shared" si="49"/>
        <v>0</v>
      </c>
      <c r="BI180" s="218"/>
      <c r="BJ180" s="219">
        <f t="shared" si="69"/>
        <v>0</v>
      </c>
      <c r="BK180" s="140" t="e">
        <f t="shared" si="70"/>
        <v>#VALUE!</v>
      </c>
      <c r="BL180" s="141" t="e">
        <f t="shared" si="71"/>
        <v>#VALUE!</v>
      </c>
      <c r="BM180" s="142">
        <f t="shared" si="72"/>
        <v>0</v>
      </c>
      <c r="BN180" s="140" t="e">
        <f t="shared" si="73"/>
        <v>#VALUE!</v>
      </c>
      <c r="BO180" s="141" t="e">
        <f t="shared" si="74"/>
        <v>#VALUE!</v>
      </c>
      <c r="BP180" s="142">
        <f t="shared" si="75"/>
        <v>0</v>
      </c>
      <c r="BQ180" s="140" t="e">
        <f t="shared" si="76"/>
        <v>#VALUE!</v>
      </c>
      <c r="BR180" s="141" t="e">
        <f t="shared" si="77"/>
        <v>#VALUE!</v>
      </c>
      <c r="BS180" s="142">
        <f t="shared" si="78"/>
        <v>0</v>
      </c>
      <c r="BT180" s="140" t="e">
        <f t="shared" si="79"/>
        <v>#VALUE!</v>
      </c>
      <c r="BU180" s="141" t="e">
        <f t="shared" si="80"/>
        <v>#VALUE!</v>
      </c>
      <c r="BV180" s="142">
        <f t="shared" si="81"/>
        <v>0</v>
      </c>
      <c r="BW180" s="140" t="e">
        <f t="shared" si="82"/>
        <v>#VALUE!</v>
      </c>
      <c r="BX180" s="141" t="e">
        <f t="shared" si="83"/>
        <v>#VALUE!</v>
      </c>
      <c r="BY180" s="142">
        <f t="shared" si="84"/>
        <v>0</v>
      </c>
      <c r="BZ180" s="140" t="e">
        <f t="shared" si="85"/>
        <v>#VALUE!</v>
      </c>
      <c r="CA180" s="141" t="e">
        <f t="shared" si="86"/>
        <v>#VALUE!</v>
      </c>
    </row>
    <row r="181" ht="15.75" customHeight="1" spans="1:79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216">
        <f t="shared" si="68"/>
        <v>0</v>
      </c>
      <c r="BH181" s="217">
        <f t="shared" si="49"/>
        <v>0</v>
      </c>
      <c r="BI181" s="218"/>
      <c r="BJ181" s="219">
        <f t="shared" si="69"/>
        <v>0</v>
      </c>
      <c r="BK181" s="140" t="e">
        <f t="shared" si="70"/>
        <v>#VALUE!</v>
      </c>
      <c r="BL181" s="141" t="e">
        <f t="shared" si="71"/>
        <v>#VALUE!</v>
      </c>
      <c r="BM181" s="142">
        <f t="shared" si="72"/>
        <v>0</v>
      </c>
      <c r="BN181" s="140" t="e">
        <f t="shared" si="73"/>
        <v>#VALUE!</v>
      </c>
      <c r="BO181" s="141" t="e">
        <f t="shared" si="74"/>
        <v>#VALUE!</v>
      </c>
      <c r="BP181" s="142">
        <f t="shared" si="75"/>
        <v>0</v>
      </c>
      <c r="BQ181" s="140" t="e">
        <f t="shared" si="76"/>
        <v>#VALUE!</v>
      </c>
      <c r="BR181" s="141" t="e">
        <f t="shared" si="77"/>
        <v>#VALUE!</v>
      </c>
      <c r="BS181" s="142">
        <f t="shared" si="78"/>
        <v>0</v>
      </c>
      <c r="BT181" s="140" t="e">
        <f t="shared" si="79"/>
        <v>#VALUE!</v>
      </c>
      <c r="BU181" s="141" t="e">
        <f t="shared" si="80"/>
        <v>#VALUE!</v>
      </c>
      <c r="BV181" s="142">
        <f t="shared" si="81"/>
        <v>0</v>
      </c>
      <c r="BW181" s="140" t="e">
        <f t="shared" si="82"/>
        <v>#VALUE!</v>
      </c>
      <c r="BX181" s="141" t="e">
        <f t="shared" si="83"/>
        <v>#VALUE!</v>
      </c>
      <c r="BY181" s="142">
        <f t="shared" si="84"/>
        <v>0</v>
      </c>
      <c r="BZ181" s="140" t="e">
        <f t="shared" si="85"/>
        <v>#VALUE!</v>
      </c>
      <c r="CA181" s="141" t="e">
        <f t="shared" si="86"/>
        <v>#VALUE!</v>
      </c>
    </row>
    <row r="182" ht="15.75" customHeight="1" spans="1:79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216">
        <f t="shared" si="68"/>
        <v>0</v>
      </c>
      <c r="BH182" s="217">
        <f t="shared" si="49"/>
        <v>0</v>
      </c>
      <c r="BI182" s="218"/>
      <c r="BJ182" s="219">
        <f t="shared" si="69"/>
        <v>0</v>
      </c>
      <c r="BK182" s="140" t="e">
        <f t="shared" si="70"/>
        <v>#VALUE!</v>
      </c>
      <c r="BL182" s="141" t="e">
        <f t="shared" si="71"/>
        <v>#VALUE!</v>
      </c>
      <c r="BM182" s="142">
        <f t="shared" si="72"/>
        <v>0</v>
      </c>
      <c r="BN182" s="140" t="e">
        <f t="shared" si="73"/>
        <v>#VALUE!</v>
      </c>
      <c r="BO182" s="141" t="e">
        <f t="shared" si="74"/>
        <v>#VALUE!</v>
      </c>
      <c r="BP182" s="142">
        <f t="shared" si="75"/>
        <v>0</v>
      </c>
      <c r="BQ182" s="140" t="e">
        <f t="shared" si="76"/>
        <v>#VALUE!</v>
      </c>
      <c r="BR182" s="141" t="e">
        <f t="shared" si="77"/>
        <v>#VALUE!</v>
      </c>
      <c r="BS182" s="142">
        <f t="shared" si="78"/>
        <v>0</v>
      </c>
      <c r="BT182" s="140" t="e">
        <f t="shared" si="79"/>
        <v>#VALUE!</v>
      </c>
      <c r="BU182" s="141" t="e">
        <f t="shared" si="80"/>
        <v>#VALUE!</v>
      </c>
      <c r="BV182" s="142">
        <f t="shared" si="81"/>
        <v>0</v>
      </c>
      <c r="BW182" s="140" t="e">
        <f t="shared" si="82"/>
        <v>#VALUE!</v>
      </c>
      <c r="BX182" s="141" t="e">
        <f t="shared" si="83"/>
        <v>#VALUE!</v>
      </c>
      <c r="BY182" s="142">
        <f t="shared" si="84"/>
        <v>0</v>
      </c>
      <c r="BZ182" s="140" t="e">
        <f t="shared" si="85"/>
        <v>#VALUE!</v>
      </c>
      <c r="CA182" s="141" t="e">
        <f t="shared" si="86"/>
        <v>#VALUE!</v>
      </c>
    </row>
    <row r="183" ht="15.75" customHeight="1" spans="1:79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216">
        <f t="shared" si="68"/>
        <v>0</v>
      </c>
      <c r="BH183" s="217">
        <f t="shared" si="49"/>
        <v>0</v>
      </c>
      <c r="BI183" s="218"/>
      <c r="BJ183" s="219">
        <f t="shared" si="69"/>
        <v>0</v>
      </c>
      <c r="BK183" s="140" t="e">
        <f t="shared" si="70"/>
        <v>#VALUE!</v>
      </c>
      <c r="BL183" s="141" t="e">
        <f t="shared" si="71"/>
        <v>#VALUE!</v>
      </c>
      <c r="BM183" s="142">
        <f t="shared" si="72"/>
        <v>0</v>
      </c>
      <c r="BN183" s="140" t="e">
        <f t="shared" si="73"/>
        <v>#VALUE!</v>
      </c>
      <c r="BO183" s="141" t="e">
        <f t="shared" si="74"/>
        <v>#VALUE!</v>
      </c>
      <c r="BP183" s="142">
        <f t="shared" si="75"/>
        <v>0</v>
      </c>
      <c r="BQ183" s="140" t="e">
        <f t="shared" si="76"/>
        <v>#VALUE!</v>
      </c>
      <c r="BR183" s="141" t="e">
        <f t="shared" si="77"/>
        <v>#VALUE!</v>
      </c>
      <c r="BS183" s="142">
        <f t="shared" si="78"/>
        <v>0</v>
      </c>
      <c r="BT183" s="140" t="e">
        <f t="shared" si="79"/>
        <v>#VALUE!</v>
      </c>
      <c r="BU183" s="141" t="e">
        <f t="shared" si="80"/>
        <v>#VALUE!</v>
      </c>
      <c r="BV183" s="142">
        <f t="shared" si="81"/>
        <v>0</v>
      </c>
      <c r="BW183" s="140" t="e">
        <f t="shared" si="82"/>
        <v>#VALUE!</v>
      </c>
      <c r="BX183" s="141" t="e">
        <f t="shared" si="83"/>
        <v>#VALUE!</v>
      </c>
      <c r="BY183" s="142">
        <f t="shared" si="84"/>
        <v>0</v>
      </c>
      <c r="BZ183" s="140" t="e">
        <f t="shared" si="85"/>
        <v>#VALUE!</v>
      </c>
      <c r="CA183" s="141" t="e">
        <f t="shared" si="86"/>
        <v>#VALUE!</v>
      </c>
    </row>
    <row r="184" ht="15.75" customHeight="1" spans="1:79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216">
        <f t="shared" si="68"/>
        <v>0</v>
      </c>
      <c r="BH184" s="217">
        <f t="shared" si="49"/>
        <v>0</v>
      </c>
      <c r="BI184" s="1"/>
      <c r="BJ184" s="219">
        <f t="shared" si="69"/>
        <v>0</v>
      </c>
      <c r="BK184" s="140" t="e">
        <f t="shared" si="70"/>
        <v>#VALUE!</v>
      </c>
      <c r="BL184" s="141" t="e">
        <f t="shared" si="71"/>
        <v>#VALUE!</v>
      </c>
      <c r="BM184" s="142">
        <f t="shared" si="72"/>
        <v>0</v>
      </c>
      <c r="BN184" s="140" t="e">
        <f t="shared" si="73"/>
        <v>#VALUE!</v>
      </c>
      <c r="BO184" s="141" t="e">
        <f t="shared" si="74"/>
        <v>#VALUE!</v>
      </c>
      <c r="BP184" s="142">
        <f t="shared" si="75"/>
        <v>0</v>
      </c>
      <c r="BQ184" s="140" t="e">
        <f t="shared" si="76"/>
        <v>#VALUE!</v>
      </c>
      <c r="BR184" s="141" t="e">
        <f t="shared" si="77"/>
        <v>#VALUE!</v>
      </c>
      <c r="BS184" s="142">
        <f t="shared" si="78"/>
        <v>0</v>
      </c>
      <c r="BT184" s="140" t="e">
        <f t="shared" si="79"/>
        <v>#VALUE!</v>
      </c>
      <c r="BU184" s="141" t="e">
        <f t="shared" si="80"/>
        <v>#VALUE!</v>
      </c>
      <c r="BV184" s="142">
        <f t="shared" si="81"/>
        <v>0</v>
      </c>
      <c r="BW184" s="140" t="e">
        <f t="shared" si="82"/>
        <v>#VALUE!</v>
      </c>
      <c r="BX184" s="141" t="e">
        <f t="shared" si="83"/>
        <v>#VALUE!</v>
      </c>
      <c r="BY184" s="142">
        <f t="shared" si="84"/>
        <v>0</v>
      </c>
      <c r="BZ184" s="140" t="e">
        <f t="shared" si="85"/>
        <v>#VALUE!</v>
      </c>
      <c r="CA184" s="141" t="e">
        <f t="shared" si="86"/>
        <v>#VALUE!</v>
      </c>
    </row>
    <row r="185" ht="15.75" customHeight="1" spans="1:79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216">
        <f t="shared" si="68"/>
        <v>0</v>
      </c>
      <c r="BH185" s="217">
        <f t="shared" si="49"/>
        <v>0</v>
      </c>
      <c r="BI185" s="1"/>
      <c r="BJ185" s="219">
        <f t="shared" si="69"/>
        <v>0</v>
      </c>
      <c r="BK185" s="140" t="e">
        <f t="shared" si="70"/>
        <v>#VALUE!</v>
      </c>
      <c r="BL185" s="141" t="e">
        <f t="shared" si="71"/>
        <v>#VALUE!</v>
      </c>
      <c r="BM185" s="142">
        <f t="shared" si="72"/>
        <v>0</v>
      </c>
      <c r="BN185" s="140" t="e">
        <f t="shared" si="73"/>
        <v>#VALUE!</v>
      </c>
      <c r="BO185" s="141" t="e">
        <f t="shared" si="74"/>
        <v>#VALUE!</v>
      </c>
      <c r="BP185" s="142">
        <f t="shared" si="75"/>
        <v>0</v>
      </c>
      <c r="BQ185" s="140" t="e">
        <f t="shared" si="76"/>
        <v>#VALUE!</v>
      </c>
      <c r="BR185" s="141" t="e">
        <f t="shared" si="77"/>
        <v>#VALUE!</v>
      </c>
      <c r="BS185" s="142">
        <f t="shared" si="78"/>
        <v>0</v>
      </c>
      <c r="BT185" s="140" t="e">
        <f t="shared" si="79"/>
        <v>#VALUE!</v>
      </c>
      <c r="BU185" s="141" t="e">
        <f t="shared" si="80"/>
        <v>#VALUE!</v>
      </c>
      <c r="BV185" s="142">
        <f t="shared" si="81"/>
        <v>0</v>
      </c>
      <c r="BW185" s="140" t="e">
        <f t="shared" si="82"/>
        <v>#VALUE!</v>
      </c>
      <c r="BX185" s="141" t="e">
        <f t="shared" si="83"/>
        <v>#VALUE!</v>
      </c>
      <c r="BY185" s="142">
        <f t="shared" si="84"/>
        <v>0</v>
      </c>
      <c r="BZ185" s="140" t="e">
        <f t="shared" si="85"/>
        <v>#VALUE!</v>
      </c>
      <c r="CA185" s="141" t="e">
        <f t="shared" si="86"/>
        <v>#VALUE!</v>
      </c>
    </row>
    <row r="186" ht="15.75" customHeight="1" spans="1:79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216">
        <f t="shared" si="68"/>
        <v>0</v>
      </c>
      <c r="BH186" s="217">
        <f t="shared" si="49"/>
        <v>0</v>
      </c>
      <c r="BI186" s="1"/>
      <c r="BJ186" s="219">
        <f t="shared" si="69"/>
        <v>0</v>
      </c>
      <c r="BK186" s="140" t="e">
        <f t="shared" si="70"/>
        <v>#VALUE!</v>
      </c>
      <c r="BL186" s="141" t="e">
        <f t="shared" si="71"/>
        <v>#VALUE!</v>
      </c>
      <c r="BM186" s="142">
        <f t="shared" si="72"/>
        <v>0</v>
      </c>
      <c r="BN186" s="140" t="e">
        <f t="shared" si="73"/>
        <v>#VALUE!</v>
      </c>
      <c r="BO186" s="141" t="e">
        <f t="shared" si="74"/>
        <v>#VALUE!</v>
      </c>
      <c r="BP186" s="142">
        <f t="shared" si="75"/>
        <v>0</v>
      </c>
      <c r="BQ186" s="140" t="e">
        <f t="shared" si="76"/>
        <v>#VALUE!</v>
      </c>
      <c r="BR186" s="141" t="e">
        <f t="shared" si="77"/>
        <v>#VALUE!</v>
      </c>
      <c r="BS186" s="142">
        <f t="shared" si="78"/>
        <v>0</v>
      </c>
      <c r="BT186" s="140" t="e">
        <f t="shared" si="79"/>
        <v>#VALUE!</v>
      </c>
      <c r="BU186" s="141" t="e">
        <f t="shared" si="80"/>
        <v>#VALUE!</v>
      </c>
      <c r="BV186" s="142">
        <f t="shared" si="81"/>
        <v>0</v>
      </c>
      <c r="BW186" s="140" t="e">
        <f t="shared" si="82"/>
        <v>#VALUE!</v>
      </c>
      <c r="BX186" s="141" t="e">
        <f t="shared" si="83"/>
        <v>#VALUE!</v>
      </c>
      <c r="BY186" s="142">
        <f t="shared" si="84"/>
        <v>0</v>
      </c>
      <c r="BZ186" s="140" t="e">
        <f t="shared" si="85"/>
        <v>#VALUE!</v>
      </c>
      <c r="CA186" s="141" t="e">
        <f t="shared" si="86"/>
        <v>#VALUE!</v>
      </c>
    </row>
    <row r="187" ht="15.75" customHeight="1" spans="1:79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216">
        <f t="shared" si="68"/>
        <v>0</v>
      </c>
      <c r="BH187" s="217">
        <f t="shared" si="49"/>
        <v>0</v>
      </c>
      <c r="BI187" s="1"/>
      <c r="BJ187" s="219">
        <f t="shared" si="69"/>
        <v>0</v>
      </c>
      <c r="BK187" s="140" t="e">
        <f t="shared" si="70"/>
        <v>#VALUE!</v>
      </c>
      <c r="BL187" s="141" t="e">
        <f t="shared" si="71"/>
        <v>#VALUE!</v>
      </c>
      <c r="BM187" s="142">
        <f t="shared" si="72"/>
        <v>0</v>
      </c>
      <c r="BN187" s="140" t="e">
        <f t="shared" si="73"/>
        <v>#VALUE!</v>
      </c>
      <c r="BO187" s="141" t="e">
        <f t="shared" si="74"/>
        <v>#VALUE!</v>
      </c>
      <c r="BP187" s="142">
        <f t="shared" si="75"/>
        <v>0</v>
      </c>
      <c r="BQ187" s="140" t="e">
        <f t="shared" si="76"/>
        <v>#VALUE!</v>
      </c>
      <c r="BR187" s="141" t="e">
        <f t="shared" si="77"/>
        <v>#VALUE!</v>
      </c>
      <c r="BS187" s="142">
        <f t="shared" si="78"/>
        <v>0</v>
      </c>
      <c r="BT187" s="140" t="e">
        <f t="shared" si="79"/>
        <v>#VALUE!</v>
      </c>
      <c r="BU187" s="141" t="e">
        <f t="shared" si="80"/>
        <v>#VALUE!</v>
      </c>
      <c r="BV187" s="142">
        <f t="shared" si="81"/>
        <v>0</v>
      </c>
      <c r="BW187" s="140" t="e">
        <f t="shared" si="82"/>
        <v>#VALUE!</v>
      </c>
      <c r="BX187" s="141" t="e">
        <f t="shared" si="83"/>
        <v>#VALUE!</v>
      </c>
      <c r="BY187" s="142">
        <f t="shared" si="84"/>
        <v>0</v>
      </c>
      <c r="BZ187" s="140" t="e">
        <f t="shared" si="85"/>
        <v>#VALUE!</v>
      </c>
      <c r="CA187" s="141" t="e">
        <f t="shared" si="86"/>
        <v>#VALUE!</v>
      </c>
    </row>
    <row r="188" ht="15.75" customHeight="1" spans="1:79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216">
        <f t="shared" si="68"/>
        <v>0</v>
      </c>
      <c r="BH188" s="217">
        <f t="shared" si="49"/>
        <v>0</v>
      </c>
      <c r="BI188" s="1"/>
      <c r="BJ188" s="219">
        <f t="shared" si="69"/>
        <v>0</v>
      </c>
      <c r="BK188" s="140" t="e">
        <f t="shared" si="70"/>
        <v>#VALUE!</v>
      </c>
      <c r="BL188" s="141" t="e">
        <f t="shared" si="71"/>
        <v>#VALUE!</v>
      </c>
      <c r="BM188" s="142">
        <f t="shared" si="72"/>
        <v>0</v>
      </c>
      <c r="BN188" s="140" t="e">
        <f t="shared" si="73"/>
        <v>#VALUE!</v>
      </c>
      <c r="BO188" s="141" t="e">
        <f t="shared" si="74"/>
        <v>#VALUE!</v>
      </c>
      <c r="BP188" s="142">
        <f t="shared" si="75"/>
        <v>0</v>
      </c>
      <c r="BQ188" s="140" t="e">
        <f t="shared" si="76"/>
        <v>#VALUE!</v>
      </c>
      <c r="BR188" s="141" t="e">
        <f t="shared" si="77"/>
        <v>#VALUE!</v>
      </c>
      <c r="BS188" s="142">
        <f t="shared" si="78"/>
        <v>0</v>
      </c>
      <c r="BT188" s="140" t="e">
        <f t="shared" si="79"/>
        <v>#VALUE!</v>
      </c>
      <c r="BU188" s="141" t="e">
        <f t="shared" si="80"/>
        <v>#VALUE!</v>
      </c>
      <c r="BV188" s="142">
        <f t="shared" si="81"/>
        <v>0</v>
      </c>
      <c r="BW188" s="140" t="e">
        <f t="shared" si="82"/>
        <v>#VALUE!</v>
      </c>
      <c r="BX188" s="141" t="e">
        <f t="shared" si="83"/>
        <v>#VALUE!</v>
      </c>
      <c r="BY188" s="142">
        <f t="shared" si="84"/>
        <v>0</v>
      </c>
      <c r="BZ188" s="140" t="e">
        <f t="shared" si="85"/>
        <v>#VALUE!</v>
      </c>
      <c r="CA188" s="141" t="e">
        <f t="shared" si="86"/>
        <v>#VALUE!</v>
      </c>
    </row>
    <row r="189" ht="15.75" customHeight="1" spans="1:7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216">
        <f t="shared" si="68"/>
        <v>0</v>
      </c>
      <c r="BH189" s="217">
        <f t="shared" si="49"/>
        <v>0</v>
      </c>
      <c r="BI189" s="1"/>
      <c r="BJ189" s="219">
        <f t="shared" si="69"/>
        <v>0</v>
      </c>
      <c r="BK189" s="140" t="e">
        <f t="shared" si="70"/>
        <v>#VALUE!</v>
      </c>
      <c r="BL189" s="141" t="e">
        <f t="shared" si="71"/>
        <v>#VALUE!</v>
      </c>
      <c r="BM189" s="142">
        <f t="shared" si="72"/>
        <v>0</v>
      </c>
      <c r="BN189" s="140" t="e">
        <f t="shared" si="73"/>
        <v>#VALUE!</v>
      </c>
      <c r="BO189" s="141" t="e">
        <f t="shared" si="74"/>
        <v>#VALUE!</v>
      </c>
      <c r="BP189" s="142">
        <f t="shared" si="75"/>
        <v>0</v>
      </c>
      <c r="BQ189" s="140" t="e">
        <f t="shared" si="76"/>
        <v>#VALUE!</v>
      </c>
      <c r="BR189" s="141" t="e">
        <f t="shared" si="77"/>
        <v>#VALUE!</v>
      </c>
      <c r="BS189" s="142">
        <f t="shared" si="78"/>
        <v>0</v>
      </c>
      <c r="BT189" s="140" t="e">
        <f t="shared" si="79"/>
        <v>#VALUE!</v>
      </c>
      <c r="BU189" s="141" t="e">
        <f t="shared" si="80"/>
        <v>#VALUE!</v>
      </c>
      <c r="BV189" s="142">
        <f t="shared" si="81"/>
        <v>0</v>
      </c>
      <c r="BW189" s="140" t="e">
        <f t="shared" si="82"/>
        <v>#VALUE!</v>
      </c>
      <c r="BX189" s="141" t="e">
        <f t="shared" si="83"/>
        <v>#VALUE!</v>
      </c>
      <c r="BY189" s="142">
        <f t="shared" si="84"/>
        <v>0</v>
      </c>
      <c r="BZ189" s="140" t="e">
        <f t="shared" si="85"/>
        <v>#VALUE!</v>
      </c>
      <c r="CA189" s="141" t="e">
        <f t="shared" si="86"/>
        <v>#VALUE!</v>
      </c>
    </row>
    <row r="190" ht="15.75" customHeight="1" spans="1:7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216">
        <f t="shared" si="68"/>
        <v>0</v>
      </c>
      <c r="BH190" s="217">
        <f t="shared" si="49"/>
        <v>0</v>
      </c>
      <c r="BI190" s="1"/>
      <c r="BJ190" s="219">
        <f t="shared" si="69"/>
        <v>0</v>
      </c>
      <c r="BK190" s="140" t="e">
        <f t="shared" si="70"/>
        <v>#VALUE!</v>
      </c>
      <c r="BL190" s="141" t="e">
        <f t="shared" si="71"/>
        <v>#VALUE!</v>
      </c>
      <c r="BM190" s="142">
        <f t="shared" si="72"/>
        <v>0</v>
      </c>
      <c r="BN190" s="140" t="e">
        <f t="shared" si="73"/>
        <v>#VALUE!</v>
      </c>
      <c r="BO190" s="141" t="e">
        <f t="shared" si="74"/>
        <v>#VALUE!</v>
      </c>
      <c r="BP190" s="142">
        <f t="shared" si="75"/>
        <v>0</v>
      </c>
      <c r="BQ190" s="140" t="e">
        <f t="shared" si="76"/>
        <v>#VALUE!</v>
      </c>
      <c r="BR190" s="141" t="e">
        <f t="shared" si="77"/>
        <v>#VALUE!</v>
      </c>
      <c r="BS190" s="142">
        <f t="shared" si="78"/>
        <v>0</v>
      </c>
      <c r="BT190" s="140" t="e">
        <f t="shared" si="79"/>
        <v>#VALUE!</v>
      </c>
      <c r="BU190" s="141" t="e">
        <f t="shared" si="80"/>
        <v>#VALUE!</v>
      </c>
      <c r="BV190" s="142">
        <f t="shared" si="81"/>
        <v>0</v>
      </c>
      <c r="BW190" s="140" t="e">
        <f t="shared" si="82"/>
        <v>#VALUE!</v>
      </c>
      <c r="BX190" s="141" t="e">
        <f t="shared" si="83"/>
        <v>#VALUE!</v>
      </c>
      <c r="BY190" s="142">
        <f t="shared" si="84"/>
        <v>0</v>
      </c>
      <c r="BZ190" s="140" t="e">
        <f t="shared" si="85"/>
        <v>#VALUE!</v>
      </c>
      <c r="CA190" s="141" t="e">
        <f t="shared" si="86"/>
        <v>#VALUE!</v>
      </c>
    </row>
    <row r="191" ht="15.75" customHeight="1" spans="1:7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216">
        <f t="shared" si="68"/>
        <v>0</v>
      </c>
      <c r="BH191" s="217">
        <f t="shared" si="49"/>
        <v>0</v>
      </c>
      <c r="BI191" s="1"/>
      <c r="BJ191" s="219">
        <f t="shared" si="69"/>
        <v>0</v>
      </c>
      <c r="BK191" s="140" t="e">
        <f t="shared" si="70"/>
        <v>#VALUE!</v>
      </c>
      <c r="BL191" s="141" t="e">
        <f t="shared" si="71"/>
        <v>#VALUE!</v>
      </c>
      <c r="BM191" s="142">
        <f t="shared" si="72"/>
        <v>0</v>
      </c>
      <c r="BN191" s="140" t="e">
        <f t="shared" si="73"/>
        <v>#VALUE!</v>
      </c>
      <c r="BO191" s="141" t="e">
        <f t="shared" si="74"/>
        <v>#VALUE!</v>
      </c>
      <c r="BP191" s="142">
        <f t="shared" si="75"/>
        <v>0</v>
      </c>
      <c r="BQ191" s="140" t="e">
        <f t="shared" si="76"/>
        <v>#VALUE!</v>
      </c>
      <c r="BR191" s="141" t="e">
        <f t="shared" si="77"/>
        <v>#VALUE!</v>
      </c>
      <c r="BS191" s="142">
        <f t="shared" si="78"/>
        <v>0</v>
      </c>
      <c r="BT191" s="140" t="e">
        <f t="shared" si="79"/>
        <v>#VALUE!</v>
      </c>
      <c r="BU191" s="141" t="e">
        <f t="shared" si="80"/>
        <v>#VALUE!</v>
      </c>
      <c r="BV191" s="142">
        <f t="shared" si="81"/>
        <v>0</v>
      </c>
      <c r="BW191" s="140" t="e">
        <f t="shared" si="82"/>
        <v>#VALUE!</v>
      </c>
      <c r="BX191" s="141" t="e">
        <f t="shared" si="83"/>
        <v>#VALUE!</v>
      </c>
      <c r="BY191" s="142">
        <f t="shared" si="84"/>
        <v>0</v>
      </c>
      <c r="BZ191" s="140" t="e">
        <f t="shared" si="85"/>
        <v>#VALUE!</v>
      </c>
      <c r="CA191" s="141" t="e">
        <f t="shared" si="86"/>
        <v>#VALUE!</v>
      </c>
    </row>
    <row r="192" ht="15.75" customHeight="1" spans="1:7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216">
        <f t="shared" si="68"/>
        <v>0</v>
      </c>
      <c r="BH192" s="217">
        <f t="shared" si="49"/>
        <v>0</v>
      </c>
      <c r="BI192" s="1"/>
      <c r="BJ192" s="219">
        <f t="shared" si="69"/>
        <v>0</v>
      </c>
      <c r="BK192" s="140" t="e">
        <f t="shared" si="70"/>
        <v>#VALUE!</v>
      </c>
      <c r="BL192" s="141" t="e">
        <f t="shared" si="71"/>
        <v>#VALUE!</v>
      </c>
      <c r="BM192" s="142">
        <f t="shared" si="72"/>
        <v>0</v>
      </c>
      <c r="BN192" s="140" t="e">
        <f t="shared" si="73"/>
        <v>#VALUE!</v>
      </c>
      <c r="BO192" s="141" t="e">
        <f t="shared" si="74"/>
        <v>#VALUE!</v>
      </c>
      <c r="BP192" s="142">
        <f t="shared" si="75"/>
        <v>0</v>
      </c>
      <c r="BQ192" s="140" t="e">
        <f t="shared" si="76"/>
        <v>#VALUE!</v>
      </c>
      <c r="BR192" s="141" t="e">
        <f t="shared" si="77"/>
        <v>#VALUE!</v>
      </c>
      <c r="BS192" s="142">
        <f t="shared" si="78"/>
        <v>0</v>
      </c>
      <c r="BT192" s="140" t="e">
        <f t="shared" si="79"/>
        <v>#VALUE!</v>
      </c>
      <c r="BU192" s="141" t="e">
        <f t="shared" si="80"/>
        <v>#VALUE!</v>
      </c>
      <c r="BV192" s="142">
        <f t="shared" si="81"/>
        <v>0</v>
      </c>
      <c r="BW192" s="140" t="e">
        <f t="shared" si="82"/>
        <v>#VALUE!</v>
      </c>
      <c r="BX192" s="141" t="e">
        <f t="shared" si="83"/>
        <v>#VALUE!</v>
      </c>
      <c r="BY192" s="142">
        <f t="shared" si="84"/>
        <v>0</v>
      </c>
      <c r="BZ192" s="140" t="e">
        <f t="shared" si="85"/>
        <v>#VALUE!</v>
      </c>
      <c r="CA192" s="141" t="e">
        <f t="shared" si="86"/>
        <v>#VALUE!</v>
      </c>
    </row>
    <row r="193" ht="15.75" customHeight="1" spans="1:79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216">
        <f t="shared" si="68"/>
        <v>0</v>
      </c>
      <c r="BH193" s="217">
        <f t="shared" si="49"/>
        <v>0</v>
      </c>
      <c r="BI193" s="1"/>
      <c r="BJ193" s="219">
        <f t="shared" si="69"/>
        <v>0</v>
      </c>
      <c r="BK193" s="140" t="e">
        <f t="shared" si="70"/>
        <v>#VALUE!</v>
      </c>
      <c r="BL193" s="141" t="e">
        <f t="shared" si="71"/>
        <v>#VALUE!</v>
      </c>
      <c r="BM193" s="142">
        <f t="shared" si="72"/>
        <v>0</v>
      </c>
      <c r="BN193" s="140" t="e">
        <f t="shared" si="73"/>
        <v>#VALUE!</v>
      </c>
      <c r="BO193" s="141" t="e">
        <f t="shared" si="74"/>
        <v>#VALUE!</v>
      </c>
      <c r="BP193" s="142">
        <f t="shared" si="75"/>
        <v>0</v>
      </c>
      <c r="BQ193" s="140" t="e">
        <f t="shared" si="76"/>
        <v>#VALUE!</v>
      </c>
      <c r="BR193" s="141" t="e">
        <f t="shared" si="77"/>
        <v>#VALUE!</v>
      </c>
      <c r="BS193" s="142">
        <f t="shared" si="78"/>
        <v>0</v>
      </c>
      <c r="BT193" s="140" t="e">
        <f t="shared" si="79"/>
        <v>#VALUE!</v>
      </c>
      <c r="BU193" s="141" t="e">
        <f t="shared" si="80"/>
        <v>#VALUE!</v>
      </c>
      <c r="BV193" s="142">
        <f t="shared" si="81"/>
        <v>0</v>
      </c>
      <c r="BW193" s="140" t="e">
        <f t="shared" si="82"/>
        <v>#VALUE!</v>
      </c>
      <c r="BX193" s="141" t="e">
        <f t="shared" si="83"/>
        <v>#VALUE!</v>
      </c>
      <c r="BY193" s="142">
        <f t="shared" si="84"/>
        <v>0</v>
      </c>
      <c r="BZ193" s="140" t="e">
        <f t="shared" si="85"/>
        <v>#VALUE!</v>
      </c>
      <c r="CA193" s="141" t="e">
        <f t="shared" si="86"/>
        <v>#VALUE!</v>
      </c>
    </row>
    <row r="194" ht="15.75" customHeight="1" spans="1:79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216">
        <f t="shared" si="68"/>
        <v>0</v>
      </c>
      <c r="BH194" s="217">
        <f t="shared" si="49"/>
        <v>0</v>
      </c>
      <c r="BI194" s="1"/>
      <c r="BJ194" s="219">
        <f t="shared" si="69"/>
        <v>0</v>
      </c>
      <c r="BK194" s="140" t="e">
        <f t="shared" si="70"/>
        <v>#VALUE!</v>
      </c>
      <c r="BL194" s="141" t="e">
        <f t="shared" si="71"/>
        <v>#VALUE!</v>
      </c>
      <c r="BM194" s="142">
        <f t="shared" si="72"/>
        <v>0</v>
      </c>
      <c r="BN194" s="140" t="e">
        <f t="shared" si="73"/>
        <v>#VALUE!</v>
      </c>
      <c r="BO194" s="141" t="e">
        <f t="shared" si="74"/>
        <v>#VALUE!</v>
      </c>
      <c r="BP194" s="142">
        <f t="shared" si="75"/>
        <v>0</v>
      </c>
      <c r="BQ194" s="140" t="e">
        <f t="shared" si="76"/>
        <v>#VALUE!</v>
      </c>
      <c r="BR194" s="141" t="e">
        <f t="shared" si="77"/>
        <v>#VALUE!</v>
      </c>
      <c r="BS194" s="142">
        <f t="shared" si="78"/>
        <v>0</v>
      </c>
      <c r="BT194" s="140" t="e">
        <f t="shared" si="79"/>
        <v>#VALUE!</v>
      </c>
      <c r="BU194" s="141" t="e">
        <f t="shared" si="80"/>
        <v>#VALUE!</v>
      </c>
      <c r="BV194" s="142">
        <f t="shared" si="81"/>
        <v>0</v>
      </c>
      <c r="BW194" s="140" t="e">
        <f t="shared" si="82"/>
        <v>#VALUE!</v>
      </c>
      <c r="BX194" s="141" t="e">
        <f t="shared" si="83"/>
        <v>#VALUE!</v>
      </c>
      <c r="BY194" s="142">
        <f t="shared" si="84"/>
        <v>0</v>
      </c>
      <c r="BZ194" s="140" t="e">
        <f t="shared" si="85"/>
        <v>#VALUE!</v>
      </c>
      <c r="CA194" s="141" t="e">
        <f t="shared" si="86"/>
        <v>#VALUE!</v>
      </c>
    </row>
    <row r="195" ht="15.75" customHeight="1" spans="1:79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216">
        <f t="shared" si="68"/>
        <v>0</v>
      </c>
      <c r="BH195" s="217">
        <f t="shared" si="49"/>
        <v>0</v>
      </c>
      <c r="BI195" s="1"/>
      <c r="BJ195" s="219">
        <f t="shared" si="69"/>
        <v>0</v>
      </c>
      <c r="BK195" s="140" t="e">
        <f t="shared" si="70"/>
        <v>#VALUE!</v>
      </c>
      <c r="BL195" s="141" t="e">
        <f t="shared" si="71"/>
        <v>#VALUE!</v>
      </c>
      <c r="BM195" s="142">
        <f t="shared" si="72"/>
        <v>0</v>
      </c>
      <c r="BN195" s="140" t="e">
        <f t="shared" si="73"/>
        <v>#VALUE!</v>
      </c>
      <c r="BO195" s="141" t="e">
        <f t="shared" si="74"/>
        <v>#VALUE!</v>
      </c>
      <c r="BP195" s="142">
        <f t="shared" si="75"/>
        <v>0</v>
      </c>
      <c r="BQ195" s="140" t="e">
        <f t="shared" si="76"/>
        <v>#VALUE!</v>
      </c>
      <c r="BR195" s="141" t="e">
        <f t="shared" si="77"/>
        <v>#VALUE!</v>
      </c>
      <c r="BS195" s="142">
        <f t="shared" si="78"/>
        <v>0</v>
      </c>
      <c r="BT195" s="140" t="e">
        <f t="shared" si="79"/>
        <v>#VALUE!</v>
      </c>
      <c r="BU195" s="141" t="e">
        <f t="shared" si="80"/>
        <v>#VALUE!</v>
      </c>
      <c r="BV195" s="142">
        <f t="shared" si="81"/>
        <v>0</v>
      </c>
      <c r="BW195" s="140" t="e">
        <f t="shared" si="82"/>
        <v>#VALUE!</v>
      </c>
      <c r="BX195" s="141" t="e">
        <f t="shared" si="83"/>
        <v>#VALUE!</v>
      </c>
      <c r="BY195" s="142">
        <f t="shared" si="84"/>
        <v>0</v>
      </c>
      <c r="BZ195" s="140" t="e">
        <f t="shared" si="85"/>
        <v>#VALUE!</v>
      </c>
      <c r="CA195" s="141" t="e">
        <f t="shared" si="86"/>
        <v>#VALUE!</v>
      </c>
    </row>
    <row r="196" ht="15.75" customHeight="1" spans="1:79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216">
        <f t="shared" si="68"/>
        <v>0</v>
      </c>
      <c r="BH196" s="217">
        <f t="shared" si="49"/>
        <v>0</v>
      </c>
      <c r="BI196" s="1"/>
      <c r="BJ196" s="219">
        <f t="shared" si="69"/>
        <v>0</v>
      </c>
      <c r="BK196" s="140" t="e">
        <f t="shared" si="70"/>
        <v>#VALUE!</v>
      </c>
      <c r="BL196" s="141" t="e">
        <f t="shared" si="71"/>
        <v>#VALUE!</v>
      </c>
      <c r="BM196" s="142">
        <f t="shared" si="72"/>
        <v>0</v>
      </c>
      <c r="BN196" s="140" t="e">
        <f t="shared" si="73"/>
        <v>#VALUE!</v>
      </c>
      <c r="BO196" s="141" t="e">
        <f t="shared" si="74"/>
        <v>#VALUE!</v>
      </c>
      <c r="BP196" s="142">
        <f t="shared" si="75"/>
        <v>0</v>
      </c>
      <c r="BQ196" s="140" t="e">
        <f t="shared" si="76"/>
        <v>#VALUE!</v>
      </c>
      <c r="BR196" s="141" t="e">
        <f t="shared" si="77"/>
        <v>#VALUE!</v>
      </c>
      <c r="BS196" s="142">
        <f t="shared" si="78"/>
        <v>0</v>
      </c>
      <c r="BT196" s="140" t="e">
        <f t="shared" si="79"/>
        <v>#VALUE!</v>
      </c>
      <c r="BU196" s="141" t="e">
        <f t="shared" si="80"/>
        <v>#VALUE!</v>
      </c>
      <c r="BV196" s="142">
        <f t="shared" si="81"/>
        <v>0</v>
      </c>
      <c r="BW196" s="140" t="e">
        <f t="shared" si="82"/>
        <v>#VALUE!</v>
      </c>
      <c r="BX196" s="141" t="e">
        <f t="shared" si="83"/>
        <v>#VALUE!</v>
      </c>
      <c r="BY196" s="142">
        <f t="shared" si="84"/>
        <v>0</v>
      </c>
      <c r="BZ196" s="140" t="e">
        <f t="shared" si="85"/>
        <v>#VALUE!</v>
      </c>
      <c r="CA196" s="141" t="e">
        <f t="shared" si="86"/>
        <v>#VALUE!</v>
      </c>
    </row>
    <row r="197" ht="15.75" customHeight="1" spans="1:79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216">
        <f t="shared" si="68"/>
        <v>0</v>
      </c>
      <c r="BH197" s="217">
        <f t="shared" si="49"/>
        <v>0</v>
      </c>
      <c r="BI197" s="1"/>
      <c r="BJ197" s="219">
        <f t="shared" si="69"/>
        <v>0</v>
      </c>
      <c r="BK197" s="140" t="e">
        <f t="shared" si="70"/>
        <v>#VALUE!</v>
      </c>
      <c r="BL197" s="141" t="e">
        <f t="shared" si="71"/>
        <v>#VALUE!</v>
      </c>
      <c r="BM197" s="142">
        <f t="shared" si="72"/>
        <v>0</v>
      </c>
      <c r="BN197" s="140" t="e">
        <f t="shared" si="73"/>
        <v>#VALUE!</v>
      </c>
      <c r="BO197" s="141" t="e">
        <f t="shared" si="74"/>
        <v>#VALUE!</v>
      </c>
      <c r="BP197" s="142">
        <f t="shared" si="75"/>
        <v>0</v>
      </c>
      <c r="BQ197" s="140" t="e">
        <f t="shared" si="76"/>
        <v>#VALUE!</v>
      </c>
      <c r="BR197" s="141" t="e">
        <f t="shared" si="77"/>
        <v>#VALUE!</v>
      </c>
      <c r="BS197" s="142">
        <f t="shared" si="78"/>
        <v>0</v>
      </c>
      <c r="BT197" s="140" t="e">
        <f t="shared" si="79"/>
        <v>#VALUE!</v>
      </c>
      <c r="BU197" s="141" t="e">
        <f t="shared" si="80"/>
        <v>#VALUE!</v>
      </c>
      <c r="BV197" s="142">
        <f t="shared" si="81"/>
        <v>0</v>
      </c>
      <c r="BW197" s="140" t="e">
        <f t="shared" si="82"/>
        <v>#VALUE!</v>
      </c>
      <c r="BX197" s="141" t="e">
        <f t="shared" si="83"/>
        <v>#VALUE!</v>
      </c>
      <c r="BY197" s="142">
        <f t="shared" si="84"/>
        <v>0</v>
      </c>
      <c r="BZ197" s="140" t="e">
        <f t="shared" si="85"/>
        <v>#VALUE!</v>
      </c>
      <c r="CA197" s="141" t="e">
        <f t="shared" si="86"/>
        <v>#VALUE!</v>
      </c>
    </row>
    <row r="198" ht="15.75" customHeight="1" spans="1:79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216">
        <f t="shared" si="68"/>
        <v>0</v>
      </c>
      <c r="BH198" s="217">
        <f t="shared" si="49"/>
        <v>0</v>
      </c>
      <c r="BI198" s="1"/>
      <c r="BJ198" s="219">
        <f t="shared" si="69"/>
        <v>0</v>
      </c>
      <c r="BK198" s="140" t="e">
        <f t="shared" si="70"/>
        <v>#VALUE!</v>
      </c>
      <c r="BL198" s="141" t="e">
        <f t="shared" si="71"/>
        <v>#VALUE!</v>
      </c>
      <c r="BM198" s="142">
        <f t="shared" si="72"/>
        <v>0</v>
      </c>
      <c r="BN198" s="140" t="e">
        <f t="shared" si="73"/>
        <v>#VALUE!</v>
      </c>
      <c r="BO198" s="141" t="e">
        <f t="shared" si="74"/>
        <v>#VALUE!</v>
      </c>
      <c r="BP198" s="142">
        <f t="shared" si="75"/>
        <v>0</v>
      </c>
      <c r="BQ198" s="140" t="e">
        <f t="shared" si="76"/>
        <v>#VALUE!</v>
      </c>
      <c r="BR198" s="141" t="e">
        <f t="shared" si="77"/>
        <v>#VALUE!</v>
      </c>
      <c r="BS198" s="142">
        <f t="shared" si="78"/>
        <v>0</v>
      </c>
      <c r="BT198" s="140" t="e">
        <f t="shared" si="79"/>
        <v>#VALUE!</v>
      </c>
      <c r="BU198" s="141" t="e">
        <f t="shared" si="80"/>
        <v>#VALUE!</v>
      </c>
      <c r="BV198" s="142">
        <f t="shared" si="81"/>
        <v>0</v>
      </c>
      <c r="BW198" s="140" t="e">
        <f t="shared" si="82"/>
        <v>#VALUE!</v>
      </c>
      <c r="BX198" s="141" t="e">
        <f t="shared" si="83"/>
        <v>#VALUE!</v>
      </c>
      <c r="BY198" s="142">
        <f t="shared" si="84"/>
        <v>0</v>
      </c>
      <c r="BZ198" s="140" t="e">
        <f t="shared" si="85"/>
        <v>#VALUE!</v>
      </c>
      <c r="CA198" s="141" t="e">
        <f t="shared" si="86"/>
        <v>#VALUE!</v>
      </c>
    </row>
    <row r="199" ht="15.75" customHeight="1" spans="1:79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216">
        <f t="shared" si="68"/>
        <v>0</v>
      </c>
      <c r="BH199" s="217">
        <f t="shared" si="49"/>
        <v>0</v>
      </c>
      <c r="BI199" s="1"/>
      <c r="BJ199" s="219">
        <f t="shared" si="69"/>
        <v>0</v>
      </c>
      <c r="BK199" s="140" t="e">
        <f t="shared" si="70"/>
        <v>#VALUE!</v>
      </c>
      <c r="BL199" s="141" t="e">
        <f t="shared" si="71"/>
        <v>#VALUE!</v>
      </c>
      <c r="BM199" s="142">
        <f t="shared" si="72"/>
        <v>0</v>
      </c>
      <c r="BN199" s="140" t="e">
        <f t="shared" si="73"/>
        <v>#VALUE!</v>
      </c>
      <c r="BO199" s="141" t="e">
        <f t="shared" si="74"/>
        <v>#VALUE!</v>
      </c>
      <c r="BP199" s="142">
        <f t="shared" si="75"/>
        <v>0</v>
      </c>
      <c r="BQ199" s="140" t="e">
        <f t="shared" si="76"/>
        <v>#VALUE!</v>
      </c>
      <c r="BR199" s="141" t="e">
        <f t="shared" si="77"/>
        <v>#VALUE!</v>
      </c>
      <c r="BS199" s="142">
        <f t="shared" si="78"/>
        <v>0</v>
      </c>
      <c r="BT199" s="140" t="e">
        <f t="shared" si="79"/>
        <v>#VALUE!</v>
      </c>
      <c r="BU199" s="141" t="e">
        <f t="shared" si="80"/>
        <v>#VALUE!</v>
      </c>
      <c r="BV199" s="142">
        <f t="shared" si="81"/>
        <v>0</v>
      </c>
      <c r="BW199" s="140" t="e">
        <f t="shared" si="82"/>
        <v>#VALUE!</v>
      </c>
      <c r="BX199" s="141" t="e">
        <f t="shared" si="83"/>
        <v>#VALUE!</v>
      </c>
      <c r="BY199" s="142">
        <f t="shared" si="84"/>
        <v>0</v>
      </c>
      <c r="BZ199" s="140" t="e">
        <f t="shared" si="85"/>
        <v>#VALUE!</v>
      </c>
      <c r="CA199" s="141" t="e">
        <f t="shared" si="86"/>
        <v>#VALUE!</v>
      </c>
    </row>
    <row r="200" ht="15.75" customHeight="1" spans="1:79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216">
        <f t="shared" si="68"/>
        <v>0</v>
      </c>
      <c r="BH200" s="217">
        <f t="shared" si="49"/>
        <v>0</v>
      </c>
      <c r="BI200" s="1"/>
      <c r="BJ200" s="219">
        <f t="shared" si="69"/>
        <v>0</v>
      </c>
      <c r="BK200" s="140" t="e">
        <f t="shared" si="70"/>
        <v>#VALUE!</v>
      </c>
      <c r="BL200" s="141" t="e">
        <f t="shared" ref="BL200" si="87">ROUNDUP(IF(BK200,BJ200/BK200%,0),2)</f>
        <v>#VALUE!</v>
      </c>
      <c r="BM200" s="142">
        <f t="shared" si="72"/>
        <v>0</v>
      </c>
      <c r="BN200" s="140" t="e">
        <f t="shared" si="73"/>
        <v>#VALUE!</v>
      </c>
      <c r="BO200" s="141" t="e">
        <f t="shared" ref="BO200" si="88">ROUNDUP(IF(BN200,BM200/BN200%,0),2)</f>
        <v>#VALUE!</v>
      </c>
      <c r="BP200" s="142">
        <f t="shared" si="75"/>
        <v>0</v>
      </c>
      <c r="BQ200" s="140" t="e">
        <f t="shared" si="76"/>
        <v>#VALUE!</v>
      </c>
      <c r="BR200" s="141" t="e">
        <f t="shared" ref="BR200" si="89">ROUNDUP(IF(BQ200,BP200/BQ200%,0),2)</f>
        <v>#VALUE!</v>
      </c>
      <c r="BS200" s="142">
        <f t="shared" si="78"/>
        <v>0</v>
      </c>
      <c r="BT200" s="140" t="e">
        <f t="shared" si="79"/>
        <v>#VALUE!</v>
      </c>
      <c r="BU200" s="141" t="e">
        <f t="shared" ref="BU200" si="90">ROUNDUP(IF(BT200,BS200/BT200%,0),2)</f>
        <v>#VALUE!</v>
      </c>
      <c r="BV200" s="142">
        <f t="shared" si="81"/>
        <v>0</v>
      </c>
      <c r="BW200" s="140" t="e">
        <f t="shared" si="82"/>
        <v>#VALUE!</v>
      </c>
      <c r="BX200" s="141" t="e">
        <f t="shared" ref="BX200" si="91">ROUNDUP(IF(BW200,BV200/BW200%,0),2)</f>
        <v>#VALUE!</v>
      </c>
      <c r="BY200" s="142">
        <f t="shared" si="84"/>
        <v>0</v>
      </c>
      <c r="BZ200" s="140" t="e">
        <f t="shared" si="85"/>
        <v>#VALUE!</v>
      </c>
      <c r="CA200" s="141" t="e">
        <f t="shared" ref="CA200" si="92">ROUNDUP(IF(BZ200,BY200/BZ200%,0),2)</f>
        <v>#VALUE!</v>
      </c>
    </row>
    <row r="201" ht="15.75" customHeight="1" spans="1:79" x14ac:dyDescent="0.25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  <c r="BJ201" s="46"/>
      <c r="BK201" s="46"/>
      <c r="BL201" s="173"/>
      <c r="BM201" s="164"/>
      <c r="BN201" s="164"/>
      <c r="BO201" s="164"/>
      <c r="BP201" s="164"/>
      <c r="BQ201" s="164"/>
      <c r="BR201" s="164"/>
      <c r="BS201" s="164"/>
      <c r="BT201" s="164"/>
      <c r="BU201" s="164"/>
      <c r="BV201" s="164"/>
      <c r="BW201" s="164"/>
      <c r="BX201" s="164"/>
      <c r="BY201" s="164"/>
      <c r="BZ201" s="164"/>
      <c r="CA201" s="164"/>
    </row>
    <row r="202" ht="15.75" customHeight="1" spans="1:79" x14ac:dyDescent="0.25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  <c r="BJ202" s="46"/>
      <c r="BK202" s="46"/>
      <c r="BL202" s="173"/>
      <c r="BM202" s="164"/>
      <c r="BN202" s="164"/>
      <c r="BO202" s="164"/>
      <c r="BP202" s="164"/>
      <c r="BQ202" s="164"/>
      <c r="BR202" s="164"/>
      <c r="BS202" s="164"/>
      <c r="BT202" s="164"/>
      <c r="BU202" s="164"/>
      <c r="BV202" s="164"/>
      <c r="BW202" s="164"/>
      <c r="BX202" s="164"/>
      <c r="BY202" s="164"/>
      <c r="BZ202" s="164"/>
      <c r="CA202" s="164"/>
    </row>
    <row r="203" ht="15.75" customHeight="1" spans="1:79" x14ac:dyDescent="0.25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164"/>
      <c r="BJ203" s="46"/>
      <c r="BK203" s="46"/>
      <c r="BL203" s="173"/>
      <c r="BM203" s="164"/>
      <c r="BN203" s="164"/>
      <c r="BO203" s="164"/>
      <c r="BP203" s="164"/>
      <c r="BQ203" s="164"/>
      <c r="BR203" s="164"/>
      <c r="BS203" s="164"/>
      <c r="BT203" s="164"/>
      <c r="BU203" s="164"/>
      <c r="BV203" s="164"/>
      <c r="BW203" s="164"/>
      <c r="BX203" s="164"/>
      <c r="BY203" s="164"/>
      <c r="BZ203" s="164"/>
      <c r="CA203" s="164"/>
    </row>
    <row r="204" ht="15.75" customHeight="1" spans="1:79" x14ac:dyDescent="0.25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164"/>
      <c r="BJ204" s="46"/>
      <c r="BK204" s="46"/>
      <c r="BL204" s="173"/>
      <c r="BM204" s="164"/>
      <c r="BN204" s="164"/>
      <c r="BO204" s="164"/>
      <c r="BP204" s="164"/>
      <c r="BQ204" s="164"/>
      <c r="BR204" s="164"/>
      <c r="BS204" s="164"/>
      <c r="BT204" s="164"/>
      <c r="BU204" s="164"/>
      <c r="BV204" s="164"/>
      <c r="BW204" s="164"/>
      <c r="BX204" s="164"/>
      <c r="BY204" s="164"/>
      <c r="BZ204" s="164"/>
      <c r="CA204" s="164"/>
    </row>
    <row r="205" ht="15.75" customHeight="1" spans="1:79" x14ac:dyDescent="0.2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164"/>
      <c r="BJ205" s="46"/>
      <c r="BK205" s="46"/>
      <c r="BL205" s="173"/>
      <c r="BM205" s="164"/>
      <c r="BN205" s="164"/>
      <c r="BO205" s="164"/>
      <c r="BP205" s="164"/>
      <c r="BQ205" s="164"/>
      <c r="BR205" s="164"/>
      <c r="BS205" s="164"/>
      <c r="BT205" s="164"/>
      <c r="BU205" s="164"/>
      <c r="BV205" s="164"/>
      <c r="BW205" s="164"/>
      <c r="BX205" s="164"/>
      <c r="BY205" s="164"/>
      <c r="BZ205" s="164"/>
      <c r="CA205" s="164"/>
    </row>
    <row r="206" ht="15.75" customHeight="1" spans="1:79" x14ac:dyDescent="0.25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  <c r="BH206" s="164"/>
      <c r="BI206" s="164"/>
      <c r="BJ206" s="46"/>
      <c r="BK206" s="46"/>
      <c r="BL206" s="173"/>
      <c r="BM206" s="164"/>
      <c r="BN206" s="164"/>
      <c r="BO206" s="164"/>
      <c r="BP206" s="164"/>
      <c r="BQ206" s="164"/>
      <c r="BR206" s="164"/>
      <c r="BS206" s="164"/>
      <c r="BT206" s="164"/>
      <c r="BU206" s="164"/>
      <c r="BV206" s="164"/>
      <c r="BW206" s="164"/>
      <c r="BX206" s="164"/>
      <c r="BY206" s="164"/>
      <c r="BZ206" s="164"/>
      <c r="CA206" s="164"/>
    </row>
    <row r="207" ht="15.75" customHeight="1" spans="1:79" x14ac:dyDescent="0.25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  <c r="BH207" s="164"/>
      <c r="BI207" s="164"/>
      <c r="BJ207" s="46"/>
      <c r="BK207" s="46"/>
      <c r="BL207" s="173"/>
      <c r="BM207" s="164"/>
      <c r="BN207" s="164"/>
      <c r="BO207" s="164"/>
      <c r="BP207" s="164"/>
      <c r="BQ207" s="164"/>
      <c r="BR207" s="164"/>
      <c r="BS207" s="164"/>
      <c r="BT207" s="164"/>
      <c r="BU207" s="164"/>
      <c r="BV207" s="164"/>
      <c r="BW207" s="164"/>
      <c r="BX207" s="164"/>
      <c r="BY207" s="164"/>
      <c r="BZ207" s="164"/>
      <c r="CA207" s="164"/>
    </row>
    <row r="208" ht="15.75" customHeight="1" spans="1:79" x14ac:dyDescent="0.25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  <c r="BH208" s="164"/>
      <c r="BI208" s="164"/>
      <c r="BJ208" s="46"/>
      <c r="BK208" s="46"/>
      <c r="BL208" s="173"/>
      <c r="BM208" s="164"/>
      <c r="BN208" s="164"/>
      <c r="BO208" s="164"/>
      <c r="BP208" s="164"/>
      <c r="BQ208" s="164"/>
      <c r="BR208" s="164"/>
      <c r="BS208" s="164"/>
      <c r="BT208" s="164"/>
      <c r="BU208" s="164"/>
      <c r="BV208" s="164"/>
      <c r="BW208" s="164"/>
      <c r="BX208" s="164"/>
      <c r="BY208" s="164"/>
      <c r="BZ208" s="164"/>
      <c r="CA208" s="164"/>
    </row>
    <row r="209" ht="15.75" customHeight="1" spans="1:79" x14ac:dyDescent="0.25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  <c r="BH209" s="164"/>
      <c r="BI209" s="164"/>
      <c r="BJ209" s="46"/>
      <c r="BK209" s="46"/>
      <c r="BL209" s="173"/>
      <c r="BM209" s="164"/>
      <c r="BN209" s="164"/>
      <c r="BO209" s="164"/>
      <c r="BP209" s="164"/>
      <c r="BQ209" s="164"/>
      <c r="BR209" s="164"/>
      <c r="BS209" s="164"/>
      <c r="BT209" s="164"/>
      <c r="BU209" s="164"/>
      <c r="BV209" s="164"/>
      <c r="BW209" s="164"/>
      <c r="BX209" s="164"/>
      <c r="BY209" s="164"/>
      <c r="BZ209" s="164"/>
      <c r="CA209" s="164"/>
    </row>
    <row r="210" ht="15.75" customHeight="1" spans="1:79" x14ac:dyDescent="0.25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  <c r="BH210" s="164"/>
      <c r="BI210" s="164"/>
      <c r="BJ210" s="46"/>
      <c r="BK210" s="46"/>
      <c r="BL210" s="173"/>
      <c r="BM210" s="164"/>
      <c r="BN210" s="164"/>
      <c r="BO210" s="164"/>
      <c r="BP210" s="164"/>
      <c r="BQ210" s="164"/>
      <c r="BR210" s="164"/>
      <c r="BS210" s="164"/>
      <c r="BT210" s="164"/>
      <c r="BU210" s="164"/>
      <c r="BV210" s="164"/>
      <c r="BW210" s="164"/>
      <c r="BX210" s="164"/>
      <c r="BY210" s="164"/>
      <c r="BZ210" s="164"/>
      <c r="CA210" s="164"/>
    </row>
    <row r="211" ht="15.75" customHeight="1" spans="1:79" x14ac:dyDescent="0.25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  <c r="BH211" s="164"/>
      <c r="BI211" s="164"/>
      <c r="BJ211" s="46"/>
      <c r="BK211" s="46"/>
      <c r="BL211" s="173"/>
      <c r="BM211" s="164"/>
      <c r="BN211" s="164"/>
      <c r="BO211" s="164"/>
      <c r="BP211" s="164"/>
      <c r="BQ211" s="164"/>
      <c r="BR211" s="164"/>
      <c r="BS211" s="164"/>
      <c r="BT211" s="164"/>
      <c r="BU211" s="164"/>
      <c r="BV211" s="164"/>
      <c r="BW211" s="164"/>
      <c r="BX211" s="164"/>
      <c r="BY211" s="164"/>
      <c r="BZ211" s="164"/>
      <c r="CA211" s="164"/>
    </row>
    <row r="212" ht="15.75" customHeight="1" spans="1:79" x14ac:dyDescent="0.25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  <c r="BH212" s="164"/>
      <c r="BI212" s="164"/>
      <c r="BJ212" s="46"/>
      <c r="BK212" s="46"/>
      <c r="BL212" s="173"/>
      <c r="BM212" s="164"/>
      <c r="BN212" s="164"/>
      <c r="BO212" s="164"/>
      <c r="BP212" s="164"/>
      <c r="BQ212" s="164"/>
      <c r="BR212" s="164"/>
      <c r="BS212" s="164"/>
      <c r="BT212" s="164"/>
      <c r="BU212" s="164"/>
      <c r="BV212" s="164"/>
      <c r="BW212" s="164"/>
      <c r="BX212" s="164"/>
      <c r="BY212" s="164"/>
      <c r="BZ212" s="164"/>
      <c r="CA212" s="164"/>
    </row>
    <row r="213" ht="15.75" customHeight="1" spans="1:79" x14ac:dyDescent="0.25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  <c r="BH213" s="164"/>
      <c r="BI213" s="164"/>
      <c r="BJ213" s="46"/>
      <c r="BK213" s="46"/>
      <c r="BL213" s="173"/>
      <c r="BM213" s="164"/>
      <c r="BN213" s="164"/>
      <c r="BO213" s="164"/>
      <c r="BP213" s="164"/>
      <c r="BQ213" s="164"/>
      <c r="BR213" s="164"/>
      <c r="BS213" s="164"/>
      <c r="BT213" s="164"/>
      <c r="BU213" s="164"/>
      <c r="BV213" s="164"/>
      <c r="BW213" s="164"/>
      <c r="BX213" s="164"/>
      <c r="BY213" s="164"/>
      <c r="BZ213" s="164"/>
      <c r="CA213" s="164"/>
    </row>
    <row r="214" ht="15.75" customHeight="1" spans="1:79" x14ac:dyDescent="0.25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164"/>
      <c r="BJ214" s="46"/>
      <c r="BK214" s="46"/>
      <c r="BL214" s="173"/>
      <c r="BM214" s="164"/>
      <c r="BN214" s="164"/>
      <c r="BO214" s="164"/>
      <c r="BP214" s="164"/>
      <c r="BQ214" s="164"/>
      <c r="BR214" s="164"/>
      <c r="BS214" s="164"/>
      <c r="BT214" s="164"/>
      <c r="BU214" s="164"/>
      <c r="BV214" s="164"/>
      <c r="BW214" s="164"/>
      <c r="BX214" s="164"/>
      <c r="BY214" s="164"/>
      <c r="BZ214" s="164"/>
      <c r="CA214" s="164"/>
    </row>
    <row r="215" ht="15.75" customHeight="1" spans="1:79" x14ac:dyDescent="0.25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  <c r="BH215" s="164"/>
      <c r="BI215" s="164"/>
      <c r="BJ215" s="46"/>
      <c r="BK215" s="46"/>
      <c r="BL215" s="173"/>
      <c r="BM215" s="164"/>
      <c r="BN215" s="164"/>
      <c r="BO215" s="164"/>
      <c r="BP215" s="164"/>
      <c r="BQ215" s="164"/>
      <c r="BR215" s="164"/>
      <c r="BS215" s="164"/>
      <c r="BT215" s="164"/>
      <c r="BU215" s="164"/>
      <c r="BV215" s="164"/>
      <c r="BW215" s="164"/>
      <c r="BX215" s="164"/>
      <c r="BY215" s="164"/>
      <c r="BZ215" s="164"/>
      <c r="CA215" s="164"/>
    </row>
    <row r="216" ht="15.75" customHeight="1" spans="1:79" x14ac:dyDescent="0.25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  <c r="BH216" s="164"/>
      <c r="BI216" s="164"/>
      <c r="BJ216" s="46"/>
      <c r="BK216" s="46"/>
      <c r="BL216" s="173"/>
      <c r="BM216" s="164"/>
      <c r="BN216" s="164"/>
      <c r="BO216" s="164"/>
      <c r="BP216" s="164"/>
      <c r="BQ216" s="164"/>
      <c r="BR216" s="164"/>
      <c r="BS216" s="164"/>
      <c r="BT216" s="164"/>
      <c r="BU216" s="164"/>
      <c r="BV216" s="164"/>
      <c r="BW216" s="164"/>
      <c r="BX216" s="164"/>
      <c r="BY216" s="164"/>
      <c r="BZ216" s="164"/>
      <c r="CA216" s="164"/>
    </row>
    <row r="217" ht="15.75" customHeight="1" spans="1:79" x14ac:dyDescent="0.25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  <c r="BH217" s="164"/>
      <c r="BI217" s="164"/>
      <c r="BJ217" s="46"/>
      <c r="BK217" s="46"/>
      <c r="BL217" s="173"/>
      <c r="BM217" s="164"/>
      <c r="BN217" s="164"/>
      <c r="BO217" s="164"/>
      <c r="BP217" s="164"/>
      <c r="BQ217" s="164"/>
      <c r="BR217" s="164"/>
      <c r="BS217" s="164"/>
      <c r="BT217" s="164"/>
      <c r="BU217" s="164"/>
      <c r="BV217" s="164"/>
      <c r="BW217" s="164"/>
      <c r="BX217" s="164"/>
      <c r="BY217" s="164"/>
      <c r="BZ217" s="164"/>
      <c r="CA217" s="164"/>
    </row>
    <row r="218" ht="15.75" customHeight="1" spans="1:79" x14ac:dyDescent="0.25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  <c r="BH218" s="164"/>
      <c r="BI218" s="164"/>
      <c r="BJ218" s="46"/>
      <c r="BK218" s="46"/>
      <c r="BL218" s="173"/>
      <c r="BM218" s="164"/>
      <c r="BN218" s="164"/>
      <c r="BO218" s="164"/>
      <c r="BP218" s="164"/>
      <c r="BQ218" s="164"/>
      <c r="BR218" s="164"/>
      <c r="BS218" s="164"/>
      <c r="BT218" s="164"/>
      <c r="BU218" s="164"/>
      <c r="BV218" s="164"/>
      <c r="BW218" s="164"/>
      <c r="BX218" s="164"/>
      <c r="BY218" s="164"/>
      <c r="BZ218" s="164"/>
      <c r="CA218" s="164"/>
    </row>
    <row r="219" ht="15.75" customHeight="1" spans="1:79" x14ac:dyDescent="0.25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  <c r="BH219" s="164"/>
      <c r="BI219" s="164"/>
      <c r="BJ219" s="46"/>
      <c r="BK219" s="46"/>
      <c r="BL219" s="173"/>
      <c r="BM219" s="164"/>
      <c r="BN219" s="164"/>
      <c r="BO219" s="164"/>
      <c r="BP219" s="164"/>
      <c r="BQ219" s="164"/>
      <c r="BR219" s="164"/>
      <c r="BS219" s="164"/>
      <c r="BT219" s="164"/>
      <c r="BU219" s="164"/>
      <c r="BV219" s="164"/>
      <c r="BW219" s="164"/>
      <c r="BX219" s="164"/>
      <c r="BY219" s="164"/>
      <c r="BZ219" s="164"/>
      <c r="CA219" s="164"/>
    </row>
    <row r="220" ht="15.75" customHeight="1" spans="1:79" x14ac:dyDescent="0.25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  <c r="BH220" s="164"/>
      <c r="BI220" s="164"/>
      <c r="BJ220" s="46"/>
      <c r="BK220" s="46"/>
      <c r="BL220" s="173"/>
      <c r="BM220" s="164"/>
      <c r="BN220" s="164"/>
      <c r="BO220" s="164"/>
      <c r="BP220" s="164"/>
      <c r="BQ220" s="164"/>
      <c r="BR220" s="164"/>
      <c r="BS220" s="164"/>
      <c r="BT220" s="164"/>
      <c r="BU220" s="164"/>
      <c r="BV220" s="164"/>
      <c r="BW220" s="164"/>
      <c r="BX220" s="164"/>
      <c r="BY220" s="164"/>
      <c r="BZ220" s="164"/>
      <c r="CA220" s="164"/>
    </row>
    <row r="221" ht="15.75" customHeight="1" spans="1:79" x14ac:dyDescent="0.25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  <c r="BH221" s="164"/>
      <c r="BI221" s="164"/>
      <c r="BJ221" s="46"/>
      <c r="BK221" s="46"/>
      <c r="BL221" s="173"/>
      <c r="BM221" s="164"/>
      <c r="BN221" s="164"/>
      <c r="BO221" s="164"/>
      <c r="BP221" s="164"/>
      <c r="BQ221" s="164"/>
      <c r="BR221" s="164"/>
      <c r="BS221" s="164"/>
      <c r="BT221" s="164"/>
      <c r="BU221" s="164"/>
      <c r="BV221" s="164"/>
      <c r="BW221" s="164"/>
      <c r="BX221" s="164"/>
      <c r="BY221" s="164"/>
      <c r="BZ221" s="164"/>
      <c r="CA221" s="164"/>
    </row>
    <row r="222" ht="15.75" customHeight="1" spans="1:79" x14ac:dyDescent="0.25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  <c r="BH222" s="164"/>
      <c r="BI222" s="164"/>
      <c r="BJ222" s="46"/>
      <c r="BK222" s="46"/>
      <c r="BL222" s="173"/>
      <c r="BM222" s="164"/>
      <c r="BN222" s="164"/>
      <c r="BO222" s="164"/>
      <c r="BP222" s="164"/>
      <c r="BQ222" s="164"/>
      <c r="BR222" s="164"/>
      <c r="BS222" s="164"/>
      <c r="BT222" s="164"/>
      <c r="BU222" s="164"/>
      <c r="BV222" s="164"/>
      <c r="BW222" s="164"/>
      <c r="BX222" s="164"/>
      <c r="BY222" s="164"/>
      <c r="BZ222" s="164"/>
      <c r="CA222" s="164"/>
    </row>
    <row r="223" ht="15.75" customHeight="1" spans="1:79" x14ac:dyDescent="0.25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  <c r="BH223" s="164"/>
      <c r="BI223" s="164"/>
      <c r="BJ223" s="46"/>
      <c r="BK223" s="46"/>
      <c r="BL223" s="173"/>
      <c r="BM223" s="164"/>
      <c r="BN223" s="164"/>
      <c r="BO223" s="164"/>
      <c r="BP223" s="164"/>
      <c r="BQ223" s="164"/>
      <c r="BR223" s="164"/>
      <c r="BS223" s="164"/>
      <c r="BT223" s="164"/>
      <c r="BU223" s="164"/>
      <c r="BV223" s="164"/>
      <c r="BW223" s="164"/>
      <c r="BX223" s="164"/>
      <c r="BY223" s="164"/>
      <c r="BZ223" s="164"/>
      <c r="CA223" s="164"/>
    </row>
    <row r="224" ht="15.75" customHeight="1" spans="1:79" x14ac:dyDescent="0.25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  <c r="BH224" s="164"/>
      <c r="BI224" s="164"/>
      <c r="BJ224" s="46"/>
      <c r="BK224" s="46"/>
      <c r="BL224" s="173"/>
      <c r="BM224" s="164"/>
      <c r="BN224" s="164"/>
      <c r="BO224" s="164"/>
      <c r="BP224" s="164"/>
      <c r="BQ224" s="164"/>
      <c r="BR224" s="164"/>
      <c r="BS224" s="164"/>
      <c r="BT224" s="164"/>
      <c r="BU224" s="164"/>
      <c r="BV224" s="164"/>
      <c r="BW224" s="164"/>
      <c r="BX224" s="164"/>
      <c r="BY224" s="164"/>
      <c r="BZ224" s="164"/>
      <c r="CA224" s="164"/>
    </row>
    <row r="225" ht="15.75" customHeight="1" spans="1:79" x14ac:dyDescent="0.25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  <c r="BH225" s="164"/>
      <c r="BI225" s="164"/>
      <c r="BJ225" s="46"/>
      <c r="BK225" s="46"/>
      <c r="BL225" s="173"/>
      <c r="BM225" s="164"/>
      <c r="BN225" s="164"/>
      <c r="BO225" s="164"/>
      <c r="BP225" s="164"/>
      <c r="BQ225" s="164"/>
      <c r="BR225" s="164"/>
      <c r="BS225" s="164"/>
      <c r="BT225" s="164"/>
      <c r="BU225" s="164"/>
      <c r="BV225" s="164"/>
      <c r="BW225" s="164"/>
      <c r="BX225" s="164"/>
      <c r="BY225" s="164"/>
      <c r="BZ225" s="164"/>
      <c r="CA225" s="164"/>
    </row>
    <row r="226" ht="15.75" customHeight="1" spans="1:79" x14ac:dyDescent="0.25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  <c r="BH226" s="164"/>
      <c r="BI226" s="164"/>
      <c r="BJ226" s="46"/>
      <c r="BK226" s="46"/>
      <c r="BL226" s="173"/>
      <c r="BM226" s="164"/>
      <c r="BN226" s="164"/>
      <c r="BO226" s="164"/>
      <c r="BP226" s="164"/>
      <c r="BQ226" s="164"/>
      <c r="BR226" s="164"/>
      <c r="BS226" s="164"/>
      <c r="BT226" s="164"/>
      <c r="BU226" s="164"/>
      <c r="BV226" s="164"/>
      <c r="BW226" s="164"/>
      <c r="BX226" s="164"/>
      <c r="BY226" s="164"/>
      <c r="BZ226" s="164"/>
      <c r="CA226" s="164"/>
    </row>
    <row r="227" ht="15.75" customHeight="1" spans="1:79" x14ac:dyDescent="0.25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  <c r="BH227" s="164"/>
      <c r="BI227" s="164"/>
      <c r="BJ227" s="46"/>
      <c r="BK227" s="46"/>
      <c r="BL227" s="173"/>
      <c r="BM227" s="164"/>
      <c r="BN227" s="164"/>
      <c r="BO227" s="164"/>
      <c r="BP227" s="164"/>
      <c r="BQ227" s="164"/>
      <c r="BR227" s="164"/>
      <c r="BS227" s="164"/>
      <c r="BT227" s="164"/>
      <c r="BU227" s="164"/>
      <c r="BV227" s="164"/>
      <c r="BW227" s="164"/>
      <c r="BX227" s="164"/>
      <c r="BY227" s="164"/>
      <c r="BZ227" s="164"/>
      <c r="CA227" s="164"/>
    </row>
    <row r="228" ht="15.75" customHeight="1" spans="1:79" x14ac:dyDescent="0.25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  <c r="BH228" s="164"/>
      <c r="BI228" s="164"/>
      <c r="BJ228" s="46"/>
      <c r="BK228" s="46"/>
      <c r="BL228" s="173"/>
      <c r="BM228" s="164"/>
      <c r="BN228" s="164"/>
      <c r="BO228" s="164"/>
      <c r="BP228" s="164"/>
      <c r="BQ228" s="164"/>
      <c r="BR228" s="164"/>
      <c r="BS228" s="164"/>
      <c r="BT228" s="164"/>
      <c r="BU228" s="164"/>
      <c r="BV228" s="164"/>
      <c r="BW228" s="164"/>
      <c r="BX228" s="164"/>
      <c r="BY228" s="164"/>
      <c r="BZ228" s="164"/>
      <c r="CA228" s="164"/>
    </row>
    <row r="229" ht="15.75" customHeight="1" spans="1:79" x14ac:dyDescent="0.25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  <c r="BH229" s="164"/>
      <c r="BI229" s="164"/>
      <c r="BJ229" s="46"/>
      <c r="BK229" s="46"/>
      <c r="BL229" s="173"/>
      <c r="BM229" s="164"/>
      <c r="BN229" s="164"/>
      <c r="BO229" s="164"/>
      <c r="BP229" s="164"/>
      <c r="BQ229" s="164"/>
      <c r="BR229" s="164"/>
      <c r="BS229" s="164"/>
      <c r="BT229" s="164"/>
      <c r="BU229" s="164"/>
      <c r="BV229" s="164"/>
      <c r="BW229" s="164"/>
      <c r="BX229" s="164"/>
      <c r="BY229" s="164"/>
      <c r="BZ229" s="164"/>
      <c r="CA229" s="164"/>
    </row>
    <row r="230" ht="15.75" customHeight="1" spans="1:79" x14ac:dyDescent="0.25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  <c r="BH230" s="164"/>
      <c r="BI230" s="164"/>
      <c r="BJ230" s="46"/>
      <c r="BK230" s="46"/>
      <c r="BL230" s="173"/>
      <c r="BM230" s="164"/>
      <c r="BN230" s="164"/>
      <c r="BO230" s="164"/>
      <c r="BP230" s="164"/>
      <c r="BQ230" s="164"/>
      <c r="BR230" s="164"/>
      <c r="BS230" s="164"/>
      <c r="BT230" s="164"/>
      <c r="BU230" s="164"/>
      <c r="BV230" s="164"/>
      <c r="BW230" s="164"/>
      <c r="BX230" s="164"/>
      <c r="BY230" s="164"/>
      <c r="BZ230" s="164"/>
      <c r="CA230" s="164"/>
    </row>
    <row r="231" ht="15.75" customHeight="1" spans="1:79" x14ac:dyDescent="0.25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  <c r="BH231" s="164"/>
      <c r="BI231" s="164"/>
      <c r="BJ231" s="46"/>
      <c r="BK231" s="46"/>
      <c r="BL231" s="173"/>
      <c r="BM231" s="164"/>
      <c r="BN231" s="164"/>
      <c r="BO231" s="164"/>
      <c r="BP231" s="164"/>
      <c r="BQ231" s="164"/>
      <c r="BR231" s="164"/>
      <c r="BS231" s="164"/>
      <c r="BT231" s="164"/>
      <c r="BU231" s="164"/>
      <c r="BV231" s="164"/>
      <c r="BW231" s="164"/>
      <c r="BX231" s="164"/>
      <c r="BY231" s="164"/>
      <c r="BZ231" s="164"/>
      <c r="CA231" s="164"/>
    </row>
    <row r="232" ht="15.75" customHeight="1" spans="1:79" x14ac:dyDescent="0.25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  <c r="BH232" s="164"/>
      <c r="BI232" s="164"/>
      <c r="BJ232" s="46"/>
      <c r="BK232" s="46"/>
      <c r="BL232" s="173"/>
      <c r="BM232" s="164"/>
      <c r="BN232" s="164"/>
      <c r="BO232" s="164"/>
      <c r="BP232" s="164"/>
      <c r="BQ232" s="164"/>
      <c r="BR232" s="164"/>
      <c r="BS232" s="164"/>
      <c r="BT232" s="164"/>
      <c r="BU232" s="164"/>
      <c r="BV232" s="164"/>
      <c r="BW232" s="164"/>
      <c r="BX232" s="164"/>
      <c r="BY232" s="164"/>
      <c r="BZ232" s="164"/>
      <c r="CA232" s="164"/>
    </row>
    <row r="233" ht="15.75" customHeight="1" spans="1:79" x14ac:dyDescent="0.25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  <c r="BH233" s="164"/>
      <c r="BI233" s="164"/>
      <c r="BJ233" s="46"/>
      <c r="BK233" s="46"/>
      <c r="BL233" s="173"/>
      <c r="BM233" s="164"/>
      <c r="BN233" s="164"/>
      <c r="BO233" s="164"/>
      <c r="BP233" s="164"/>
      <c r="BQ233" s="164"/>
      <c r="BR233" s="164"/>
      <c r="BS233" s="164"/>
      <c r="BT233" s="164"/>
      <c r="BU233" s="164"/>
      <c r="BV233" s="164"/>
      <c r="BW233" s="164"/>
      <c r="BX233" s="164"/>
      <c r="BY233" s="164"/>
      <c r="BZ233" s="164"/>
      <c r="CA233" s="164"/>
    </row>
    <row r="234" ht="15.75" customHeight="1" spans="1:79" x14ac:dyDescent="0.25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  <c r="BH234" s="164"/>
      <c r="BI234" s="164"/>
      <c r="BJ234" s="46"/>
      <c r="BK234" s="46"/>
      <c r="BL234" s="173"/>
      <c r="BM234" s="164"/>
      <c r="BN234" s="164"/>
      <c r="BO234" s="164"/>
      <c r="BP234" s="164"/>
      <c r="BQ234" s="164"/>
      <c r="BR234" s="164"/>
      <c r="BS234" s="164"/>
      <c r="BT234" s="164"/>
      <c r="BU234" s="164"/>
      <c r="BV234" s="164"/>
      <c r="BW234" s="164"/>
      <c r="BX234" s="164"/>
      <c r="BY234" s="164"/>
      <c r="BZ234" s="164"/>
      <c r="CA234" s="164"/>
    </row>
    <row r="235" ht="15.75" customHeight="1" spans="1:79" x14ac:dyDescent="0.25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  <c r="BH235" s="164"/>
      <c r="BI235" s="164"/>
      <c r="BJ235" s="46"/>
      <c r="BK235" s="46"/>
      <c r="BL235" s="173"/>
      <c r="BM235" s="164"/>
      <c r="BN235" s="164"/>
      <c r="BO235" s="164"/>
      <c r="BP235" s="164"/>
      <c r="BQ235" s="164"/>
      <c r="BR235" s="164"/>
      <c r="BS235" s="164"/>
      <c r="BT235" s="164"/>
      <c r="BU235" s="164"/>
      <c r="BV235" s="164"/>
      <c r="BW235" s="164"/>
      <c r="BX235" s="164"/>
      <c r="BY235" s="164"/>
      <c r="BZ235" s="164"/>
      <c r="CA235" s="164"/>
    </row>
    <row r="236" ht="15.75" customHeight="1" spans="1:79" x14ac:dyDescent="0.25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  <c r="BH236" s="164"/>
      <c r="BI236" s="164"/>
      <c r="BJ236" s="46"/>
      <c r="BK236" s="46"/>
      <c r="BL236" s="173"/>
      <c r="BM236" s="164"/>
      <c r="BN236" s="164"/>
      <c r="BO236" s="164"/>
      <c r="BP236" s="164"/>
      <c r="BQ236" s="164"/>
      <c r="BR236" s="164"/>
      <c r="BS236" s="164"/>
      <c r="BT236" s="164"/>
      <c r="BU236" s="164"/>
      <c r="BV236" s="164"/>
      <c r="BW236" s="164"/>
      <c r="BX236" s="164"/>
      <c r="BY236" s="164"/>
      <c r="BZ236" s="164"/>
      <c r="CA236" s="164"/>
    </row>
    <row r="237" ht="15.75" customHeight="1" spans="1:79" x14ac:dyDescent="0.25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  <c r="BH237" s="164"/>
      <c r="BI237" s="164"/>
      <c r="BJ237" s="46"/>
      <c r="BK237" s="46"/>
      <c r="BL237" s="173"/>
      <c r="BM237" s="164"/>
      <c r="BN237" s="164"/>
      <c r="BO237" s="164"/>
      <c r="BP237" s="164"/>
      <c r="BQ237" s="164"/>
      <c r="BR237" s="164"/>
      <c r="BS237" s="164"/>
      <c r="BT237" s="164"/>
      <c r="BU237" s="164"/>
      <c r="BV237" s="164"/>
      <c r="BW237" s="164"/>
      <c r="BX237" s="164"/>
      <c r="BY237" s="164"/>
      <c r="BZ237" s="164"/>
      <c r="CA237" s="164"/>
    </row>
    <row r="238" ht="15.75" customHeight="1" spans="1:79" x14ac:dyDescent="0.25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  <c r="BH238" s="164"/>
      <c r="BI238" s="164"/>
      <c r="BJ238" s="46"/>
      <c r="BK238" s="46"/>
      <c r="BL238" s="173"/>
      <c r="BM238" s="164"/>
      <c r="BN238" s="164"/>
      <c r="BO238" s="164"/>
      <c r="BP238" s="164"/>
      <c r="BQ238" s="164"/>
      <c r="BR238" s="164"/>
      <c r="BS238" s="164"/>
      <c r="BT238" s="164"/>
      <c r="BU238" s="164"/>
      <c r="BV238" s="164"/>
      <c r="BW238" s="164"/>
      <c r="BX238" s="164"/>
      <c r="BY238" s="164"/>
      <c r="BZ238" s="164"/>
      <c r="CA238" s="164"/>
    </row>
    <row r="239" ht="15.75" customHeight="1" spans="1:79" x14ac:dyDescent="0.25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  <c r="AE239" s="164"/>
      <c r="AF239" s="164"/>
      <c r="AG239" s="164"/>
      <c r="AH239" s="164"/>
      <c r="AI239" s="164"/>
      <c r="AJ239" s="164"/>
      <c r="AK239" s="164"/>
      <c r="AL239" s="164"/>
      <c r="AM239" s="164"/>
      <c r="AN239" s="164"/>
      <c r="AO239" s="164"/>
      <c r="AP239" s="164"/>
      <c r="AQ239" s="164"/>
      <c r="AR239" s="164"/>
      <c r="AS239" s="164"/>
      <c r="AT239" s="164"/>
      <c r="AU239" s="164"/>
      <c r="AV239" s="164"/>
      <c r="AW239" s="164"/>
      <c r="AX239" s="164"/>
      <c r="AY239" s="164"/>
      <c r="AZ239" s="164"/>
      <c r="BA239" s="164"/>
      <c r="BB239" s="164"/>
      <c r="BC239" s="164"/>
      <c r="BD239" s="164"/>
      <c r="BE239" s="164"/>
      <c r="BF239" s="164"/>
      <c r="BG239" s="164"/>
      <c r="BH239" s="164"/>
      <c r="BI239" s="164"/>
      <c r="BJ239" s="46"/>
      <c r="BK239" s="46"/>
      <c r="BL239" s="173"/>
      <c r="BM239" s="164"/>
      <c r="BN239" s="164"/>
      <c r="BO239" s="164"/>
      <c r="BP239" s="164"/>
      <c r="BQ239" s="164"/>
      <c r="BR239" s="164"/>
      <c r="BS239" s="164"/>
      <c r="BT239" s="164"/>
      <c r="BU239" s="164"/>
      <c r="BV239" s="164"/>
      <c r="BW239" s="164"/>
      <c r="BX239" s="164"/>
      <c r="BY239" s="164"/>
      <c r="BZ239" s="164"/>
      <c r="CA239" s="164"/>
    </row>
    <row r="240" ht="15.75" customHeight="1" spans="1:79" x14ac:dyDescent="0.25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  <c r="AE240" s="164"/>
      <c r="AF240" s="164"/>
      <c r="AG240" s="164"/>
      <c r="AH240" s="164"/>
      <c r="AI240" s="164"/>
      <c r="AJ240" s="164"/>
      <c r="AK240" s="164"/>
      <c r="AL240" s="164"/>
      <c r="AM240" s="164"/>
      <c r="AN240" s="164"/>
      <c r="AO240" s="164"/>
      <c r="AP240" s="164"/>
      <c r="AQ240" s="164"/>
      <c r="AR240" s="164"/>
      <c r="AS240" s="164"/>
      <c r="AT240" s="164"/>
      <c r="AU240" s="164"/>
      <c r="AV240" s="164"/>
      <c r="AW240" s="164"/>
      <c r="AX240" s="164"/>
      <c r="AY240" s="164"/>
      <c r="AZ240" s="164"/>
      <c r="BA240" s="164"/>
      <c r="BB240" s="164"/>
      <c r="BC240" s="164"/>
      <c r="BD240" s="164"/>
      <c r="BE240" s="164"/>
      <c r="BF240" s="164"/>
      <c r="BG240" s="164"/>
      <c r="BH240" s="164"/>
      <c r="BI240" s="164"/>
      <c r="BJ240" s="46"/>
      <c r="BK240" s="46"/>
      <c r="BL240" s="173"/>
      <c r="BM240" s="164"/>
      <c r="BN240" s="164"/>
      <c r="BO240" s="164"/>
      <c r="BP240" s="164"/>
      <c r="BQ240" s="164"/>
      <c r="BR240" s="164"/>
      <c r="BS240" s="164"/>
      <c r="BT240" s="164"/>
      <c r="BU240" s="164"/>
      <c r="BV240" s="164"/>
      <c r="BW240" s="164"/>
      <c r="BX240" s="164"/>
      <c r="BY240" s="164"/>
      <c r="BZ240" s="164"/>
      <c r="CA240" s="164"/>
    </row>
    <row r="241" ht="15.75" customHeight="1" spans="1:79" x14ac:dyDescent="0.25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  <c r="AK241" s="164"/>
      <c r="AL241" s="164"/>
      <c r="AM241" s="164"/>
      <c r="AN241" s="164"/>
      <c r="AO241" s="164"/>
      <c r="AP241" s="164"/>
      <c r="AQ241" s="164"/>
      <c r="AR241" s="164"/>
      <c r="AS241" s="164"/>
      <c r="AT241" s="164"/>
      <c r="AU241" s="164"/>
      <c r="AV241" s="164"/>
      <c r="AW241" s="164"/>
      <c r="AX241" s="164"/>
      <c r="AY241" s="164"/>
      <c r="AZ241" s="164"/>
      <c r="BA241" s="164"/>
      <c r="BB241" s="164"/>
      <c r="BC241" s="164"/>
      <c r="BD241" s="164"/>
      <c r="BE241" s="164"/>
      <c r="BF241" s="164"/>
      <c r="BG241" s="164"/>
      <c r="BH241" s="164"/>
      <c r="BI241" s="164"/>
      <c r="BJ241" s="46"/>
      <c r="BK241" s="46"/>
      <c r="BL241" s="173"/>
      <c r="BM241" s="164"/>
      <c r="BN241" s="164"/>
      <c r="BO241" s="164"/>
      <c r="BP241" s="164"/>
      <c r="BQ241" s="164"/>
      <c r="BR241" s="164"/>
      <c r="BS241" s="164"/>
      <c r="BT241" s="164"/>
      <c r="BU241" s="164"/>
      <c r="BV241" s="164"/>
      <c r="BW241" s="164"/>
      <c r="BX241" s="164"/>
      <c r="BY241" s="164"/>
      <c r="BZ241" s="164"/>
      <c r="CA241" s="164"/>
    </row>
    <row r="242" ht="15.75" customHeight="1" spans="1:79" x14ac:dyDescent="0.25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164"/>
      <c r="AI242" s="164"/>
      <c r="AJ242" s="164"/>
      <c r="AK242" s="164"/>
      <c r="AL242" s="164"/>
      <c r="AM242" s="164"/>
      <c r="AN242" s="164"/>
      <c r="AO242" s="164"/>
      <c r="AP242" s="164"/>
      <c r="AQ242" s="164"/>
      <c r="AR242" s="164"/>
      <c r="AS242" s="164"/>
      <c r="AT242" s="164"/>
      <c r="AU242" s="164"/>
      <c r="AV242" s="164"/>
      <c r="AW242" s="164"/>
      <c r="AX242" s="164"/>
      <c r="AY242" s="164"/>
      <c r="AZ242" s="164"/>
      <c r="BA242" s="164"/>
      <c r="BB242" s="164"/>
      <c r="BC242" s="164"/>
      <c r="BD242" s="164"/>
      <c r="BE242" s="164"/>
      <c r="BF242" s="164"/>
      <c r="BG242" s="164"/>
      <c r="BH242" s="164"/>
      <c r="BI242" s="164"/>
      <c r="BJ242" s="46"/>
      <c r="BK242" s="46"/>
      <c r="BL242" s="173"/>
      <c r="BM242" s="164"/>
      <c r="BN242" s="164"/>
      <c r="BO242" s="164"/>
      <c r="BP242" s="164"/>
      <c r="BQ242" s="164"/>
      <c r="BR242" s="164"/>
      <c r="BS242" s="164"/>
      <c r="BT242" s="164"/>
      <c r="BU242" s="164"/>
      <c r="BV242" s="164"/>
      <c r="BW242" s="164"/>
      <c r="BX242" s="164"/>
      <c r="BY242" s="164"/>
      <c r="BZ242" s="164"/>
      <c r="CA242" s="164"/>
    </row>
    <row r="243" ht="15.75" customHeight="1" spans="1:79" x14ac:dyDescent="0.25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164"/>
      <c r="AK243" s="164"/>
      <c r="AL243" s="164"/>
      <c r="AM243" s="164"/>
      <c r="AN243" s="164"/>
      <c r="AO243" s="164"/>
      <c r="AP243" s="164"/>
      <c r="AQ243" s="164"/>
      <c r="AR243" s="164"/>
      <c r="AS243" s="164"/>
      <c r="AT243" s="164"/>
      <c r="AU243" s="164"/>
      <c r="AV243" s="164"/>
      <c r="AW243" s="164"/>
      <c r="AX243" s="164"/>
      <c r="AY243" s="164"/>
      <c r="AZ243" s="164"/>
      <c r="BA243" s="164"/>
      <c r="BB243" s="164"/>
      <c r="BC243" s="164"/>
      <c r="BD243" s="164"/>
      <c r="BE243" s="164"/>
      <c r="BF243" s="164"/>
      <c r="BG243" s="164"/>
      <c r="BH243" s="164"/>
      <c r="BI243" s="164"/>
      <c r="BJ243" s="46"/>
      <c r="BK243" s="46"/>
      <c r="BL243" s="173"/>
      <c r="BM243" s="164"/>
      <c r="BN243" s="164"/>
      <c r="BO243" s="164"/>
      <c r="BP243" s="164"/>
      <c r="BQ243" s="164"/>
      <c r="BR243" s="164"/>
      <c r="BS243" s="164"/>
      <c r="BT243" s="164"/>
      <c r="BU243" s="164"/>
      <c r="BV243" s="164"/>
      <c r="BW243" s="164"/>
      <c r="BX243" s="164"/>
      <c r="BY243" s="164"/>
      <c r="BZ243" s="164"/>
      <c r="CA243" s="164"/>
    </row>
    <row r="244" ht="15.75" customHeight="1" spans="1:79" x14ac:dyDescent="0.25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64"/>
      <c r="AJ244" s="164"/>
      <c r="AK244" s="164"/>
      <c r="AL244" s="164"/>
      <c r="AM244" s="164"/>
      <c r="AN244" s="164"/>
      <c r="AO244" s="164"/>
      <c r="AP244" s="164"/>
      <c r="AQ244" s="164"/>
      <c r="AR244" s="164"/>
      <c r="AS244" s="164"/>
      <c r="AT244" s="164"/>
      <c r="AU244" s="164"/>
      <c r="AV244" s="164"/>
      <c r="AW244" s="164"/>
      <c r="AX244" s="164"/>
      <c r="AY244" s="164"/>
      <c r="AZ244" s="164"/>
      <c r="BA244" s="164"/>
      <c r="BB244" s="164"/>
      <c r="BC244" s="164"/>
      <c r="BD244" s="164"/>
      <c r="BE244" s="164"/>
      <c r="BF244" s="164"/>
      <c r="BG244" s="164"/>
      <c r="BH244" s="164"/>
      <c r="BI244" s="164"/>
      <c r="BJ244" s="46"/>
      <c r="BK244" s="46"/>
      <c r="BL244" s="173"/>
      <c r="BM244" s="164"/>
      <c r="BN244" s="164"/>
      <c r="BO244" s="164"/>
      <c r="BP244" s="164"/>
      <c r="BQ244" s="164"/>
      <c r="BR244" s="164"/>
      <c r="BS244" s="164"/>
      <c r="BT244" s="164"/>
      <c r="BU244" s="164"/>
      <c r="BV244" s="164"/>
      <c r="BW244" s="164"/>
      <c r="BX244" s="164"/>
      <c r="BY244" s="164"/>
      <c r="BZ244" s="164"/>
      <c r="CA244" s="164"/>
    </row>
    <row r="245" ht="15.75" customHeight="1" spans="1:79" x14ac:dyDescent="0.25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164"/>
      <c r="AI245" s="164"/>
      <c r="AJ245" s="164"/>
      <c r="AK245" s="164"/>
      <c r="AL245" s="164"/>
      <c r="AM245" s="164"/>
      <c r="AN245" s="164"/>
      <c r="AO245" s="164"/>
      <c r="AP245" s="164"/>
      <c r="AQ245" s="164"/>
      <c r="AR245" s="164"/>
      <c r="AS245" s="164"/>
      <c r="AT245" s="164"/>
      <c r="AU245" s="164"/>
      <c r="AV245" s="164"/>
      <c r="AW245" s="164"/>
      <c r="AX245" s="164"/>
      <c r="AY245" s="164"/>
      <c r="AZ245" s="164"/>
      <c r="BA245" s="164"/>
      <c r="BB245" s="164"/>
      <c r="BC245" s="164"/>
      <c r="BD245" s="164"/>
      <c r="BE245" s="164"/>
      <c r="BF245" s="164"/>
      <c r="BG245" s="164"/>
      <c r="BH245" s="164"/>
      <c r="BI245" s="164"/>
      <c r="BJ245" s="46"/>
      <c r="BK245" s="46"/>
      <c r="BL245" s="173"/>
      <c r="BM245" s="164"/>
      <c r="BN245" s="164"/>
      <c r="BO245" s="164"/>
      <c r="BP245" s="164"/>
      <c r="BQ245" s="164"/>
      <c r="BR245" s="164"/>
      <c r="BS245" s="164"/>
      <c r="BT245" s="164"/>
      <c r="BU245" s="164"/>
      <c r="BV245" s="164"/>
      <c r="BW245" s="164"/>
      <c r="BX245" s="164"/>
      <c r="BY245" s="164"/>
      <c r="BZ245" s="164"/>
      <c r="CA245" s="164"/>
    </row>
    <row r="246" ht="15.75" customHeight="1" spans="1:79" x14ac:dyDescent="0.25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164"/>
      <c r="AI246" s="164"/>
      <c r="AJ246" s="164"/>
      <c r="AK246" s="164"/>
      <c r="AL246" s="164"/>
      <c r="AM246" s="164"/>
      <c r="AN246" s="164"/>
      <c r="AO246" s="164"/>
      <c r="AP246" s="164"/>
      <c r="AQ246" s="164"/>
      <c r="AR246" s="164"/>
      <c r="AS246" s="164"/>
      <c r="AT246" s="164"/>
      <c r="AU246" s="164"/>
      <c r="AV246" s="164"/>
      <c r="AW246" s="164"/>
      <c r="AX246" s="164"/>
      <c r="AY246" s="164"/>
      <c r="AZ246" s="164"/>
      <c r="BA246" s="164"/>
      <c r="BB246" s="164"/>
      <c r="BC246" s="164"/>
      <c r="BD246" s="164"/>
      <c r="BE246" s="164"/>
      <c r="BF246" s="164"/>
      <c r="BG246" s="164"/>
      <c r="BH246" s="164"/>
      <c r="BI246" s="164"/>
      <c r="BJ246" s="46"/>
      <c r="BK246" s="46"/>
      <c r="BL246" s="173"/>
      <c r="BM246" s="164"/>
      <c r="BN246" s="164"/>
      <c r="BO246" s="164"/>
      <c r="BP246" s="164"/>
      <c r="BQ246" s="164"/>
      <c r="BR246" s="164"/>
      <c r="BS246" s="164"/>
      <c r="BT246" s="164"/>
      <c r="BU246" s="164"/>
      <c r="BV246" s="164"/>
      <c r="BW246" s="164"/>
      <c r="BX246" s="164"/>
      <c r="BY246" s="164"/>
      <c r="BZ246" s="164"/>
      <c r="CA246" s="164"/>
    </row>
    <row r="247" ht="15.75" customHeight="1" spans="1:79" x14ac:dyDescent="0.25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4"/>
      <c r="AK247" s="164"/>
      <c r="AL247" s="164"/>
      <c r="AM247" s="164"/>
      <c r="AN247" s="164"/>
      <c r="AO247" s="164"/>
      <c r="AP247" s="164"/>
      <c r="AQ247" s="164"/>
      <c r="AR247" s="164"/>
      <c r="AS247" s="164"/>
      <c r="AT247" s="164"/>
      <c r="AU247" s="164"/>
      <c r="AV247" s="164"/>
      <c r="AW247" s="164"/>
      <c r="AX247" s="164"/>
      <c r="AY247" s="164"/>
      <c r="AZ247" s="164"/>
      <c r="BA247" s="164"/>
      <c r="BB247" s="164"/>
      <c r="BC247" s="164"/>
      <c r="BD247" s="164"/>
      <c r="BE247" s="164"/>
      <c r="BF247" s="164"/>
      <c r="BG247" s="164"/>
      <c r="BH247" s="164"/>
      <c r="BI247" s="164"/>
      <c r="BJ247" s="46"/>
      <c r="BK247" s="46"/>
      <c r="BL247" s="173"/>
      <c r="BM247" s="164"/>
      <c r="BN247" s="164"/>
      <c r="BO247" s="164"/>
      <c r="BP247" s="164"/>
      <c r="BQ247" s="164"/>
      <c r="BR247" s="164"/>
      <c r="BS247" s="164"/>
      <c r="BT247" s="164"/>
      <c r="BU247" s="164"/>
      <c r="BV247" s="164"/>
      <c r="BW247" s="164"/>
      <c r="BX247" s="164"/>
      <c r="BY247" s="164"/>
      <c r="BZ247" s="164"/>
      <c r="CA247" s="164"/>
    </row>
    <row r="248" ht="15.75" customHeight="1" spans="1:79" x14ac:dyDescent="0.25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/>
      <c r="AJ248" s="164"/>
      <c r="AK248" s="164"/>
      <c r="AL248" s="164"/>
      <c r="AM248" s="164"/>
      <c r="AN248" s="164"/>
      <c r="AO248" s="164"/>
      <c r="AP248" s="164"/>
      <c r="AQ248" s="164"/>
      <c r="AR248" s="164"/>
      <c r="AS248" s="164"/>
      <c r="AT248" s="164"/>
      <c r="AU248" s="164"/>
      <c r="AV248" s="164"/>
      <c r="AW248" s="164"/>
      <c r="AX248" s="164"/>
      <c r="AY248" s="164"/>
      <c r="AZ248" s="164"/>
      <c r="BA248" s="164"/>
      <c r="BB248" s="164"/>
      <c r="BC248" s="164"/>
      <c r="BD248" s="164"/>
      <c r="BE248" s="164"/>
      <c r="BF248" s="164"/>
      <c r="BG248" s="164"/>
      <c r="BH248" s="164"/>
      <c r="BI248" s="164"/>
      <c r="BJ248" s="46"/>
      <c r="BK248" s="46"/>
      <c r="BL248" s="173"/>
      <c r="BM248" s="164"/>
      <c r="BN248" s="164"/>
      <c r="BO248" s="164"/>
      <c r="BP248" s="164"/>
      <c r="BQ248" s="164"/>
      <c r="BR248" s="164"/>
      <c r="BS248" s="164"/>
      <c r="BT248" s="164"/>
      <c r="BU248" s="164"/>
      <c r="BV248" s="164"/>
      <c r="BW248" s="164"/>
      <c r="BX248" s="164"/>
      <c r="BY248" s="164"/>
      <c r="BZ248" s="164"/>
      <c r="CA248" s="164"/>
    </row>
    <row r="249" ht="15.75" customHeight="1" spans="1:79" x14ac:dyDescent="0.25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  <c r="AJ249" s="164"/>
      <c r="AK249" s="164"/>
      <c r="AL249" s="164"/>
      <c r="AM249" s="164"/>
      <c r="AN249" s="164"/>
      <c r="AO249" s="164"/>
      <c r="AP249" s="164"/>
      <c r="AQ249" s="164"/>
      <c r="AR249" s="164"/>
      <c r="AS249" s="164"/>
      <c r="AT249" s="164"/>
      <c r="AU249" s="164"/>
      <c r="AV249" s="164"/>
      <c r="AW249" s="164"/>
      <c r="AX249" s="164"/>
      <c r="AY249" s="164"/>
      <c r="AZ249" s="164"/>
      <c r="BA249" s="164"/>
      <c r="BB249" s="164"/>
      <c r="BC249" s="164"/>
      <c r="BD249" s="164"/>
      <c r="BE249" s="164"/>
      <c r="BF249" s="164"/>
      <c r="BG249" s="164"/>
      <c r="BH249" s="164"/>
      <c r="BI249" s="164"/>
      <c r="BJ249" s="46"/>
      <c r="BK249" s="46"/>
      <c r="BL249" s="173"/>
      <c r="BM249" s="164"/>
      <c r="BN249" s="164"/>
      <c r="BO249" s="164"/>
      <c r="BP249" s="164"/>
      <c r="BQ249" s="164"/>
      <c r="BR249" s="164"/>
      <c r="BS249" s="164"/>
      <c r="BT249" s="164"/>
      <c r="BU249" s="164"/>
      <c r="BV249" s="164"/>
      <c r="BW249" s="164"/>
      <c r="BX249" s="164"/>
      <c r="BY249" s="164"/>
      <c r="BZ249" s="164"/>
      <c r="CA249" s="164"/>
    </row>
    <row r="250" ht="15.75" customHeight="1" spans="1:79" x14ac:dyDescent="0.25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64"/>
      <c r="AJ250" s="164"/>
      <c r="AK250" s="164"/>
      <c r="AL250" s="164"/>
      <c r="AM250" s="164"/>
      <c r="AN250" s="164"/>
      <c r="AO250" s="164"/>
      <c r="AP250" s="164"/>
      <c r="AQ250" s="164"/>
      <c r="AR250" s="164"/>
      <c r="AS250" s="164"/>
      <c r="AT250" s="164"/>
      <c r="AU250" s="164"/>
      <c r="AV250" s="164"/>
      <c r="AW250" s="164"/>
      <c r="AX250" s="164"/>
      <c r="AY250" s="164"/>
      <c r="AZ250" s="164"/>
      <c r="BA250" s="164"/>
      <c r="BB250" s="164"/>
      <c r="BC250" s="164"/>
      <c r="BD250" s="164"/>
      <c r="BE250" s="164"/>
      <c r="BF250" s="164"/>
      <c r="BG250" s="164"/>
      <c r="BH250" s="164"/>
      <c r="BI250" s="164"/>
      <c r="BJ250" s="46"/>
      <c r="BK250" s="46"/>
      <c r="BL250" s="173"/>
      <c r="BM250" s="164"/>
      <c r="BN250" s="164"/>
      <c r="BO250" s="164"/>
      <c r="BP250" s="164"/>
      <c r="BQ250" s="164"/>
      <c r="BR250" s="164"/>
      <c r="BS250" s="164"/>
      <c r="BT250" s="164"/>
      <c r="BU250" s="164"/>
      <c r="BV250" s="164"/>
      <c r="BW250" s="164"/>
      <c r="BX250" s="164"/>
      <c r="BY250" s="164"/>
      <c r="BZ250" s="164"/>
      <c r="CA250" s="164"/>
    </row>
    <row r="251" ht="15.75" customHeight="1" spans="1:79" x14ac:dyDescent="0.25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64"/>
      <c r="AJ251" s="164"/>
      <c r="AK251" s="164"/>
      <c r="AL251" s="164"/>
      <c r="AM251" s="164"/>
      <c r="AN251" s="164"/>
      <c r="AO251" s="164"/>
      <c r="AP251" s="164"/>
      <c r="AQ251" s="164"/>
      <c r="AR251" s="164"/>
      <c r="AS251" s="164"/>
      <c r="AT251" s="164"/>
      <c r="AU251" s="164"/>
      <c r="AV251" s="164"/>
      <c r="AW251" s="164"/>
      <c r="AX251" s="164"/>
      <c r="AY251" s="164"/>
      <c r="AZ251" s="164"/>
      <c r="BA251" s="164"/>
      <c r="BB251" s="164"/>
      <c r="BC251" s="164"/>
      <c r="BD251" s="164"/>
      <c r="BE251" s="164"/>
      <c r="BF251" s="164"/>
      <c r="BG251" s="164"/>
      <c r="BH251" s="164"/>
      <c r="BI251" s="164"/>
      <c r="BJ251" s="46"/>
      <c r="BK251" s="46"/>
      <c r="BL251" s="173"/>
      <c r="BM251" s="164"/>
      <c r="BN251" s="164"/>
      <c r="BO251" s="164"/>
      <c r="BP251" s="164"/>
      <c r="BQ251" s="164"/>
      <c r="BR251" s="164"/>
      <c r="BS251" s="164"/>
      <c r="BT251" s="164"/>
      <c r="BU251" s="164"/>
      <c r="BV251" s="164"/>
      <c r="BW251" s="164"/>
      <c r="BX251" s="164"/>
      <c r="BY251" s="164"/>
      <c r="BZ251" s="164"/>
      <c r="CA251" s="164"/>
    </row>
    <row r="252" ht="15.75" customHeight="1" spans="1:79" x14ac:dyDescent="0.25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  <c r="AG252" s="164"/>
      <c r="AH252" s="164"/>
      <c r="AI252" s="164"/>
      <c r="AJ252" s="164"/>
      <c r="AK252" s="164"/>
      <c r="AL252" s="164"/>
      <c r="AM252" s="164"/>
      <c r="AN252" s="164"/>
      <c r="AO252" s="164"/>
      <c r="AP252" s="164"/>
      <c r="AQ252" s="164"/>
      <c r="AR252" s="164"/>
      <c r="AS252" s="164"/>
      <c r="AT252" s="164"/>
      <c r="AU252" s="164"/>
      <c r="AV252" s="164"/>
      <c r="AW252" s="164"/>
      <c r="AX252" s="164"/>
      <c r="AY252" s="164"/>
      <c r="AZ252" s="164"/>
      <c r="BA252" s="164"/>
      <c r="BB252" s="164"/>
      <c r="BC252" s="164"/>
      <c r="BD252" s="164"/>
      <c r="BE252" s="164"/>
      <c r="BF252" s="164"/>
      <c r="BG252" s="164"/>
      <c r="BH252" s="164"/>
      <c r="BI252" s="164"/>
      <c r="BJ252" s="46"/>
      <c r="BK252" s="46"/>
      <c r="BL252" s="173"/>
      <c r="BM252" s="164"/>
      <c r="BN252" s="164"/>
      <c r="BO252" s="164"/>
      <c r="BP252" s="164"/>
      <c r="BQ252" s="164"/>
      <c r="BR252" s="164"/>
      <c r="BS252" s="164"/>
      <c r="BT252" s="164"/>
      <c r="BU252" s="164"/>
      <c r="BV252" s="164"/>
      <c r="BW252" s="164"/>
      <c r="BX252" s="164"/>
      <c r="BY252" s="164"/>
      <c r="BZ252" s="164"/>
      <c r="CA252" s="164"/>
    </row>
    <row r="253" ht="15.75" customHeight="1" spans="1:79" x14ac:dyDescent="0.25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64"/>
      <c r="AJ253" s="164"/>
      <c r="AK253" s="164"/>
      <c r="AL253" s="164"/>
      <c r="AM253" s="164"/>
      <c r="AN253" s="164"/>
      <c r="AO253" s="164"/>
      <c r="AP253" s="164"/>
      <c r="AQ253" s="164"/>
      <c r="AR253" s="164"/>
      <c r="AS253" s="164"/>
      <c r="AT253" s="164"/>
      <c r="AU253" s="164"/>
      <c r="AV253" s="164"/>
      <c r="AW253" s="164"/>
      <c r="AX253" s="164"/>
      <c r="AY253" s="164"/>
      <c r="AZ253" s="164"/>
      <c r="BA253" s="164"/>
      <c r="BB253" s="164"/>
      <c r="BC253" s="164"/>
      <c r="BD253" s="164"/>
      <c r="BE253" s="164"/>
      <c r="BF253" s="164"/>
      <c r="BG253" s="164"/>
      <c r="BH253" s="164"/>
      <c r="BI253" s="164"/>
      <c r="BJ253" s="46"/>
      <c r="BK253" s="46"/>
      <c r="BL253" s="173"/>
      <c r="BM253" s="164"/>
      <c r="BN253" s="164"/>
      <c r="BO253" s="164"/>
      <c r="BP253" s="164"/>
      <c r="BQ253" s="164"/>
      <c r="BR253" s="164"/>
      <c r="BS253" s="164"/>
      <c r="BT253" s="164"/>
      <c r="BU253" s="164"/>
      <c r="BV253" s="164"/>
      <c r="BW253" s="164"/>
      <c r="BX253" s="164"/>
      <c r="BY253" s="164"/>
      <c r="BZ253" s="164"/>
      <c r="CA253" s="164"/>
    </row>
    <row r="254" ht="15.75" customHeight="1" spans="1:79" x14ac:dyDescent="0.25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  <c r="AE254" s="164"/>
      <c r="AF254" s="164"/>
      <c r="AG254" s="164"/>
      <c r="AH254" s="164"/>
      <c r="AI254" s="164"/>
      <c r="AJ254" s="164"/>
      <c r="AK254" s="164"/>
      <c r="AL254" s="164"/>
      <c r="AM254" s="164"/>
      <c r="AN254" s="164"/>
      <c r="AO254" s="164"/>
      <c r="AP254" s="164"/>
      <c r="AQ254" s="164"/>
      <c r="AR254" s="164"/>
      <c r="AS254" s="164"/>
      <c r="AT254" s="164"/>
      <c r="AU254" s="164"/>
      <c r="AV254" s="164"/>
      <c r="AW254" s="164"/>
      <c r="AX254" s="164"/>
      <c r="AY254" s="164"/>
      <c r="AZ254" s="164"/>
      <c r="BA254" s="164"/>
      <c r="BB254" s="164"/>
      <c r="BC254" s="164"/>
      <c r="BD254" s="164"/>
      <c r="BE254" s="164"/>
      <c r="BF254" s="164"/>
      <c r="BG254" s="164"/>
      <c r="BH254" s="164"/>
      <c r="BI254" s="164"/>
      <c r="BJ254" s="46"/>
      <c r="BK254" s="46"/>
      <c r="BL254" s="173"/>
      <c r="BM254" s="164"/>
      <c r="BN254" s="164"/>
      <c r="BO254" s="164"/>
      <c r="BP254" s="164"/>
      <c r="BQ254" s="164"/>
      <c r="BR254" s="164"/>
      <c r="BS254" s="164"/>
      <c r="BT254" s="164"/>
      <c r="BU254" s="164"/>
      <c r="BV254" s="164"/>
      <c r="BW254" s="164"/>
      <c r="BX254" s="164"/>
      <c r="BY254" s="164"/>
      <c r="BZ254" s="164"/>
      <c r="CA254" s="164"/>
    </row>
    <row r="255" ht="15.75" customHeight="1" spans="1:79" x14ac:dyDescent="0.25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  <c r="AE255" s="164"/>
      <c r="AF255" s="164"/>
      <c r="AG255" s="164"/>
      <c r="AH255" s="164"/>
      <c r="AI255" s="164"/>
      <c r="AJ255" s="164"/>
      <c r="AK255" s="164"/>
      <c r="AL255" s="164"/>
      <c r="AM255" s="164"/>
      <c r="AN255" s="164"/>
      <c r="AO255" s="164"/>
      <c r="AP255" s="164"/>
      <c r="AQ255" s="164"/>
      <c r="AR255" s="164"/>
      <c r="AS255" s="164"/>
      <c r="AT255" s="164"/>
      <c r="AU255" s="164"/>
      <c r="AV255" s="164"/>
      <c r="AW255" s="164"/>
      <c r="AX255" s="164"/>
      <c r="AY255" s="164"/>
      <c r="AZ255" s="164"/>
      <c r="BA255" s="164"/>
      <c r="BB255" s="164"/>
      <c r="BC255" s="164"/>
      <c r="BD255" s="164"/>
      <c r="BE255" s="164"/>
      <c r="BF255" s="164"/>
      <c r="BG255" s="164"/>
      <c r="BH255" s="164"/>
      <c r="BI255" s="164"/>
      <c r="BJ255" s="46"/>
      <c r="BK255" s="46"/>
      <c r="BL255" s="173"/>
      <c r="BM255" s="164"/>
      <c r="BN255" s="164"/>
      <c r="BO255" s="164"/>
      <c r="BP255" s="164"/>
      <c r="BQ255" s="164"/>
      <c r="BR255" s="164"/>
      <c r="BS255" s="164"/>
      <c r="BT255" s="164"/>
      <c r="BU255" s="164"/>
      <c r="BV255" s="164"/>
      <c r="BW255" s="164"/>
      <c r="BX255" s="164"/>
      <c r="BY255" s="164"/>
      <c r="BZ255" s="164"/>
      <c r="CA255" s="164"/>
    </row>
    <row r="256" ht="15.75" customHeight="1" spans="1:79" x14ac:dyDescent="0.25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  <c r="AE256" s="164"/>
      <c r="AF256" s="164"/>
      <c r="AG256" s="164"/>
      <c r="AH256" s="164"/>
      <c r="AI256" s="164"/>
      <c r="AJ256" s="164"/>
      <c r="AK256" s="164"/>
      <c r="AL256" s="164"/>
      <c r="AM256" s="164"/>
      <c r="AN256" s="164"/>
      <c r="AO256" s="164"/>
      <c r="AP256" s="164"/>
      <c r="AQ256" s="164"/>
      <c r="AR256" s="164"/>
      <c r="AS256" s="164"/>
      <c r="AT256" s="164"/>
      <c r="AU256" s="164"/>
      <c r="AV256" s="164"/>
      <c r="AW256" s="164"/>
      <c r="AX256" s="164"/>
      <c r="AY256" s="164"/>
      <c r="AZ256" s="164"/>
      <c r="BA256" s="164"/>
      <c r="BB256" s="164"/>
      <c r="BC256" s="164"/>
      <c r="BD256" s="164"/>
      <c r="BE256" s="164"/>
      <c r="BF256" s="164"/>
      <c r="BG256" s="164"/>
      <c r="BH256" s="164"/>
      <c r="BI256" s="164"/>
      <c r="BJ256" s="46"/>
      <c r="BK256" s="46"/>
      <c r="BL256" s="173"/>
      <c r="BM256" s="164"/>
      <c r="BN256" s="164"/>
      <c r="BO256" s="164"/>
      <c r="BP256" s="164"/>
      <c r="BQ256" s="164"/>
      <c r="BR256" s="164"/>
      <c r="BS256" s="164"/>
      <c r="BT256" s="164"/>
      <c r="BU256" s="164"/>
      <c r="BV256" s="164"/>
      <c r="BW256" s="164"/>
      <c r="BX256" s="164"/>
      <c r="BY256" s="164"/>
      <c r="BZ256" s="164"/>
      <c r="CA256" s="164"/>
    </row>
    <row r="257" ht="15.75" customHeight="1" spans="1:79" x14ac:dyDescent="0.25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  <c r="AE257" s="164"/>
      <c r="AF257" s="164"/>
      <c r="AG257" s="164"/>
      <c r="AH257" s="164"/>
      <c r="AI257" s="164"/>
      <c r="AJ257" s="164"/>
      <c r="AK257" s="164"/>
      <c r="AL257" s="164"/>
      <c r="AM257" s="164"/>
      <c r="AN257" s="164"/>
      <c r="AO257" s="164"/>
      <c r="AP257" s="164"/>
      <c r="AQ257" s="164"/>
      <c r="AR257" s="164"/>
      <c r="AS257" s="164"/>
      <c r="AT257" s="164"/>
      <c r="AU257" s="164"/>
      <c r="AV257" s="164"/>
      <c r="AW257" s="164"/>
      <c r="AX257" s="164"/>
      <c r="AY257" s="164"/>
      <c r="AZ257" s="164"/>
      <c r="BA257" s="164"/>
      <c r="BB257" s="164"/>
      <c r="BC257" s="164"/>
      <c r="BD257" s="164"/>
      <c r="BE257" s="164"/>
      <c r="BF257" s="164"/>
      <c r="BG257" s="164"/>
      <c r="BH257" s="164"/>
      <c r="BI257" s="164"/>
      <c r="BJ257" s="46"/>
      <c r="BK257" s="46"/>
      <c r="BL257" s="173"/>
      <c r="BM257" s="164"/>
      <c r="BN257" s="164"/>
      <c r="BO257" s="164"/>
      <c r="BP257" s="164"/>
      <c r="BQ257" s="164"/>
      <c r="BR257" s="164"/>
      <c r="BS257" s="164"/>
      <c r="BT257" s="164"/>
      <c r="BU257" s="164"/>
      <c r="BV257" s="164"/>
      <c r="BW257" s="164"/>
      <c r="BX257" s="164"/>
      <c r="BY257" s="164"/>
      <c r="BZ257" s="164"/>
      <c r="CA257" s="164"/>
    </row>
    <row r="258" ht="15.75" customHeight="1" spans="1:79" x14ac:dyDescent="0.25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  <c r="AK258" s="164"/>
      <c r="AL258" s="164"/>
      <c r="AM258" s="164"/>
      <c r="AN258" s="164"/>
      <c r="AO258" s="164"/>
      <c r="AP258" s="164"/>
      <c r="AQ258" s="164"/>
      <c r="AR258" s="164"/>
      <c r="AS258" s="164"/>
      <c r="AT258" s="164"/>
      <c r="AU258" s="164"/>
      <c r="AV258" s="164"/>
      <c r="AW258" s="164"/>
      <c r="AX258" s="164"/>
      <c r="AY258" s="164"/>
      <c r="AZ258" s="164"/>
      <c r="BA258" s="164"/>
      <c r="BB258" s="164"/>
      <c r="BC258" s="164"/>
      <c r="BD258" s="164"/>
      <c r="BE258" s="164"/>
      <c r="BF258" s="164"/>
      <c r="BG258" s="164"/>
      <c r="BH258" s="164"/>
      <c r="BI258" s="164"/>
      <c r="BJ258" s="46"/>
      <c r="BK258" s="46"/>
      <c r="BL258" s="173"/>
      <c r="BM258" s="164"/>
      <c r="BN258" s="164"/>
      <c r="BO258" s="164"/>
      <c r="BP258" s="164"/>
      <c r="BQ258" s="164"/>
      <c r="BR258" s="164"/>
      <c r="BS258" s="164"/>
      <c r="BT258" s="164"/>
      <c r="BU258" s="164"/>
      <c r="BV258" s="164"/>
      <c r="BW258" s="164"/>
      <c r="BX258" s="164"/>
      <c r="BY258" s="164"/>
      <c r="BZ258" s="164"/>
      <c r="CA258" s="164"/>
    </row>
    <row r="259" ht="15.75" customHeight="1" spans="1:79" x14ac:dyDescent="0.25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E259" s="164"/>
      <c r="AF259" s="164"/>
      <c r="AG259" s="164"/>
      <c r="AH259" s="164"/>
      <c r="AI259" s="164"/>
      <c r="AJ259" s="164"/>
      <c r="AK259" s="164"/>
      <c r="AL259" s="164"/>
      <c r="AM259" s="164"/>
      <c r="AN259" s="164"/>
      <c r="AO259" s="164"/>
      <c r="AP259" s="164"/>
      <c r="AQ259" s="164"/>
      <c r="AR259" s="164"/>
      <c r="AS259" s="164"/>
      <c r="AT259" s="164"/>
      <c r="AU259" s="164"/>
      <c r="AV259" s="164"/>
      <c r="AW259" s="164"/>
      <c r="AX259" s="164"/>
      <c r="AY259" s="164"/>
      <c r="AZ259" s="164"/>
      <c r="BA259" s="164"/>
      <c r="BB259" s="164"/>
      <c r="BC259" s="164"/>
      <c r="BD259" s="164"/>
      <c r="BE259" s="164"/>
      <c r="BF259" s="164"/>
      <c r="BG259" s="164"/>
      <c r="BH259" s="164"/>
      <c r="BI259" s="164"/>
      <c r="BJ259" s="46"/>
      <c r="BK259" s="46"/>
      <c r="BL259" s="173"/>
      <c r="BM259" s="164"/>
      <c r="BN259" s="164"/>
      <c r="BO259" s="164"/>
      <c r="BP259" s="164"/>
      <c r="BQ259" s="164"/>
      <c r="BR259" s="164"/>
      <c r="BS259" s="164"/>
      <c r="BT259" s="164"/>
      <c r="BU259" s="164"/>
      <c r="BV259" s="164"/>
      <c r="BW259" s="164"/>
      <c r="BX259" s="164"/>
      <c r="BY259" s="164"/>
      <c r="BZ259" s="164"/>
      <c r="CA259" s="164"/>
    </row>
    <row r="260" ht="15.75" customHeight="1" spans="1:79" x14ac:dyDescent="0.25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E260" s="164"/>
      <c r="AF260" s="164"/>
      <c r="AG260" s="164"/>
      <c r="AH260" s="164"/>
      <c r="AI260" s="164"/>
      <c r="AJ260" s="164"/>
      <c r="AK260" s="164"/>
      <c r="AL260" s="164"/>
      <c r="AM260" s="164"/>
      <c r="AN260" s="164"/>
      <c r="AO260" s="164"/>
      <c r="AP260" s="164"/>
      <c r="AQ260" s="164"/>
      <c r="AR260" s="164"/>
      <c r="AS260" s="164"/>
      <c r="AT260" s="164"/>
      <c r="AU260" s="164"/>
      <c r="AV260" s="164"/>
      <c r="AW260" s="164"/>
      <c r="AX260" s="164"/>
      <c r="AY260" s="164"/>
      <c r="AZ260" s="164"/>
      <c r="BA260" s="164"/>
      <c r="BB260" s="164"/>
      <c r="BC260" s="164"/>
      <c r="BD260" s="164"/>
      <c r="BE260" s="164"/>
      <c r="BF260" s="164"/>
      <c r="BG260" s="164"/>
      <c r="BH260" s="164"/>
      <c r="BI260" s="164"/>
      <c r="BJ260" s="46"/>
      <c r="BK260" s="46"/>
      <c r="BL260" s="173"/>
      <c r="BM260" s="164"/>
      <c r="BN260" s="164"/>
      <c r="BO260" s="164"/>
      <c r="BP260" s="164"/>
      <c r="BQ260" s="164"/>
      <c r="BR260" s="164"/>
      <c r="BS260" s="164"/>
      <c r="BT260" s="164"/>
      <c r="BU260" s="164"/>
      <c r="BV260" s="164"/>
      <c r="BW260" s="164"/>
      <c r="BX260" s="164"/>
      <c r="BY260" s="164"/>
      <c r="BZ260" s="164"/>
      <c r="CA260" s="164"/>
    </row>
    <row r="261" ht="15.75" customHeight="1" spans="1:79" x14ac:dyDescent="0.25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E261" s="164"/>
      <c r="AF261" s="164"/>
      <c r="AG261" s="164"/>
      <c r="AH261" s="164"/>
      <c r="AI261" s="164"/>
      <c r="AJ261" s="164"/>
      <c r="AK261" s="164"/>
      <c r="AL261" s="164"/>
      <c r="AM261" s="164"/>
      <c r="AN261" s="164"/>
      <c r="AO261" s="164"/>
      <c r="AP261" s="164"/>
      <c r="AQ261" s="164"/>
      <c r="AR261" s="164"/>
      <c r="AS261" s="164"/>
      <c r="AT261" s="164"/>
      <c r="AU261" s="164"/>
      <c r="AV261" s="164"/>
      <c r="AW261" s="164"/>
      <c r="AX261" s="164"/>
      <c r="AY261" s="164"/>
      <c r="AZ261" s="164"/>
      <c r="BA261" s="164"/>
      <c r="BB261" s="164"/>
      <c r="BC261" s="164"/>
      <c r="BD261" s="164"/>
      <c r="BE261" s="164"/>
      <c r="BF261" s="164"/>
      <c r="BG261" s="164"/>
      <c r="BH261" s="164"/>
      <c r="BI261" s="164"/>
      <c r="BJ261" s="46"/>
      <c r="BK261" s="46"/>
      <c r="BL261" s="173"/>
      <c r="BM261" s="164"/>
      <c r="BN261" s="164"/>
      <c r="BO261" s="164"/>
      <c r="BP261" s="164"/>
      <c r="BQ261" s="164"/>
      <c r="BR261" s="164"/>
      <c r="BS261" s="164"/>
      <c r="BT261" s="164"/>
      <c r="BU261" s="164"/>
      <c r="BV261" s="164"/>
      <c r="BW261" s="164"/>
      <c r="BX261" s="164"/>
      <c r="BY261" s="164"/>
      <c r="BZ261" s="164"/>
      <c r="CA261" s="164"/>
    </row>
    <row r="262" ht="15.75" customHeight="1" spans="1:79" x14ac:dyDescent="0.25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E262" s="164"/>
      <c r="AF262" s="164"/>
      <c r="AG262" s="164"/>
      <c r="AH262" s="164"/>
      <c r="AI262" s="164"/>
      <c r="AJ262" s="164"/>
      <c r="AK262" s="164"/>
      <c r="AL262" s="164"/>
      <c r="AM262" s="164"/>
      <c r="AN262" s="164"/>
      <c r="AO262" s="164"/>
      <c r="AP262" s="164"/>
      <c r="AQ262" s="164"/>
      <c r="AR262" s="164"/>
      <c r="AS262" s="164"/>
      <c r="AT262" s="164"/>
      <c r="AU262" s="164"/>
      <c r="AV262" s="164"/>
      <c r="AW262" s="164"/>
      <c r="AX262" s="164"/>
      <c r="AY262" s="164"/>
      <c r="AZ262" s="164"/>
      <c r="BA262" s="164"/>
      <c r="BB262" s="164"/>
      <c r="BC262" s="164"/>
      <c r="BD262" s="164"/>
      <c r="BE262" s="164"/>
      <c r="BF262" s="164"/>
      <c r="BG262" s="164"/>
      <c r="BH262" s="164"/>
      <c r="BI262" s="164"/>
      <c r="BJ262" s="46"/>
      <c r="BK262" s="46"/>
      <c r="BL262" s="173"/>
      <c r="BM262" s="164"/>
      <c r="BN262" s="164"/>
      <c r="BO262" s="164"/>
      <c r="BP262" s="164"/>
      <c r="BQ262" s="164"/>
      <c r="BR262" s="164"/>
      <c r="BS262" s="164"/>
      <c r="BT262" s="164"/>
      <c r="BU262" s="164"/>
      <c r="BV262" s="164"/>
      <c r="BW262" s="164"/>
      <c r="BX262" s="164"/>
      <c r="BY262" s="164"/>
      <c r="BZ262" s="164"/>
      <c r="CA262" s="164"/>
    </row>
    <row r="263" ht="15.75" customHeight="1" spans="1:79" x14ac:dyDescent="0.25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  <c r="AE263" s="164"/>
      <c r="AF263" s="164"/>
      <c r="AG263" s="164"/>
      <c r="AH263" s="164"/>
      <c r="AI263" s="164"/>
      <c r="AJ263" s="164"/>
      <c r="AK263" s="164"/>
      <c r="AL263" s="164"/>
      <c r="AM263" s="164"/>
      <c r="AN263" s="164"/>
      <c r="AO263" s="164"/>
      <c r="AP263" s="164"/>
      <c r="AQ263" s="164"/>
      <c r="AR263" s="164"/>
      <c r="AS263" s="164"/>
      <c r="AT263" s="164"/>
      <c r="AU263" s="164"/>
      <c r="AV263" s="164"/>
      <c r="AW263" s="164"/>
      <c r="AX263" s="164"/>
      <c r="AY263" s="164"/>
      <c r="AZ263" s="164"/>
      <c r="BA263" s="164"/>
      <c r="BB263" s="164"/>
      <c r="BC263" s="164"/>
      <c r="BD263" s="164"/>
      <c r="BE263" s="164"/>
      <c r="BF263" s="164"/>
      <c r="BG263" s="164"/>
      <c r="BH263" s="164"/>
      <c r="BI263" s="164"/>
      <c r="BJ263" s="46"/>
      <c r="BK263" s="46"/>
      <c r="BL263" s="173"/>
      <c r="BM263" s="164"/>
      <c r="BN263" s="164"/>
      <c r="BO263" s="164"/>
      <c r="BP263" s="164"/>
      <c r="BQ263" s="164"/>
      <c r="BR263" s="164"/>
      <c r="BS263" s="164"/>
      <c r="BT263" s="164"/>
      <c r="BU263" s="164"/>
      <c r="BV263" s="164"/>
      <c r="BW263" s="164"/>
      <c r="BX263" s="164"/>
      <c r="BY263" s="164"/>
      <c r="BZ263" s="164"/>
      <c r="CA263" s="164"/>
    </row>
    <row r="264" ht="15.75" customHeight="1" spans="1:79" x14ac:dyDescent="0.25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  <c r="AE264" s="164"/>
      <c r="AF264" s="164"/>
      <c r="AG264" s="164"/>
      <c r="AH264" s="164"/>
      <c r="AI264" s="164"/>
      <c r="AJ264" s="164"/>
      <c r="AK264" s="164"/>
      <c r="AL264" s="164"/>
      <c r="AM264" s="164"/>
      <c r="AN264" s="164"/>
      <c r="AO264" s="164"/>
      <c r="AP264" s="164"/>
      <c r="AQ264" s="164"/>
      <c r="AR264" s="164"/>
      <c r="AS264" s="164"/>
      <c r="AT264" s="164"/>
      <c r="AU264" s="164"/>
      <c r="AV264" s="164"/>
      <c r="AW264" s="164"/>
      <c r="AX264" s="164"/>
      <c r="AY264" s="164"/>
      <c r="AZ264" s="164"/>
      <c r="BA264" s="164"/>
      <c r="BB264" s="164"/>
      <c r="BC264" s="164"/>
      <c r="BD264" s="164"/>
      <c r="BE264" s="164"/>
      <c r="BF264" s="164"/>
      <c r="BG264" s="164"/>
      <c r="BH264" s="164"/>
      <c r="BI264" s="164"/>
      <c r="BJ264" s="46"/>
      <c r="BK264" s="46"/>
      <c r="BL264" s="173"/>
      <c r="BM264" s="164"/>
      <c r="BN264" s="164"/>
      <c r="BO264" s="164"/>
      <c r="BP264" s="164"/>
      <c r="BQ264" s="164"/>
      <c r="BR264" s="164"/>
      <c r="BS264" s="164"/>
      <c r="BT264" s="164"/>
      <c r="BU264" s="164"/>
      <c r="BV264" s="164"/>
      <c r="BW264" s="164"/>
      <c r="BX264" s="164"/>
      <c r="BY264" s="164"/>
      <c r="BZ264" s="164"/>
      <c r="CA264" s="164"/>
    </row>
    <row r="265" ht="15.75" customHeight="1" spans="1:79" x14ac:dyDescent="0.25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  <c r="AE265" s="164"/>
      <c r="AF265" s="164"/>
      <c r="AG265" s="164"/>
      <c r="AH265" s="164"/>
      <c r="AI265" s="164"/>
      <c r="AJ265" s="164"/>
      <c r="AK265" s="164"/>
      <c r="AL265" s="164"/>
      <c r="AM265" s="164"/>
      <c r="AN265" s="164"/>
      <c r="AO265" s="164"/>
      <c r="AP265" s="164"/>
      <c r="AQ265" s="164"/>
      <c r="AR265" s="164"/>
      <c r="AS265" s="164"/>
      <c r="AT265" s="164"/>
      <c r="AU265" s="164"/>
      <c r="AV265" s="164"/>
      <c r="AW265" s="164"/>
      <c r="AX265" s="164"/>
      <c r="AY265" s="164"/>
      <c r="AZ265" s="164"/>
      <c r="BA265" s="164"/>
      <c r="BB265" s="164"/>
      <c r="BC265" s="164"/>
      <c r="BD265" s="164"/>
      <c r="BE265" s="164"/>
      <c r="BF265" s="164"/>
      <c r="BG265" s="164"/>
      <c r="BH265" s="164"/>
      <c r="BI265" s="164"/>
      <c r="BJ265" s="46"/>
      <c r="BK265" s="46"/>
      <c r="BL265" s="173"/>
      <c r="BM265" s="164"/>
      <c r="BN265" s="164"/>
      <c r="BO265" s="164"/>
      <c r="BP265" s="164"/>
      <c r="BQ265" s="164"/>
      <c r="BR265" s="164"/>
      <c r="BS265" s="164"/>
      <c r="BT265" s="164"/>
      <c r="BU265" s="164"/>
      <c r="BV265" s="164"/>
      <c r="BW265" s="164"/>
      <c r="BX265" s="164"/>
      <c r="BY265" s="164"/>
      <c r="BZ265" s="164"/>
      <c r="CA265" s="164"/>
    </row>
    <row r="266" ht="15.75" customHeight="1" spans="1:79" x14ac:dyDescent="0.25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  <c r="AE266" s="164"/>
      <c r="AF266" s="164"/>
      <c r="AG266" s="164"/>
      <c r="AH266" s="164"/>
      <c r="AI266" s="164"/>
      <c r="AJ266" s="164"/>
      <c r="AK266" s="164"/>
      <c r="AL266" s="164"/>
      <c r="AM266" s="164"/>
      <c r="AN266" s="164"/>
      <c r="AO266" s="164"/>
      <c r="AP266" s="164"/>
      <c r="AQ266" s="164"/>
      <c r="AR266" s="164"/>
      <c r="AS266" s="164"/>
      <c r="AT266" s="164"/>
      <c r="AU266" s="164"/>
      <c r="AV266" s="164"/>
      <c r="AW266" s="164"/>
      <c r="AX266" s="164"/>
      <c r="AY266" s="164"/>
      <c r="AZ266" s="164"/>
      <c r="BA266" s="164"/>
      <c r="BB266" s="164"/>
      <c r="BC266" s="164"/>
      <c r="BD266" s="164"/>
      <c r="BE266" s="164"/>
      <c r="BF266" s="164"/>
      <c r="BG266" s="164"/>
      <c r="BH266" s="164"/>
      <c r="BI266" s="164"/>
      <c r="BJ266" s="46"/>
      <c r="BK266" s="46"/>
      <c r="BL266" s="173"/>
      <c r="BM266" s="164"/>
      <c r="BN266" s="164"/>
      <c r="BO266" s="164"/>
      <c r="BP266" s="164"/>
      <c r="BQ266" s="164"/>
      <c r="BR266" s="164"/>
      <c r="BS266" s="164"/>
      <c r="BT266" s="164"/>
      <c r="BU266" s="164"/>
      <c r="BV266" s="164"/>
      <c r="BW266" s="164"/>
      <c r="BX266" s="164"/>
      <c r="BY266" s="164"/>
      <c r="BZ266" s="164"/>
      <c r="CA266" s="164"/>
    </row>
    <row r="267" ht="15.75" customHeight="1" spans="1:79" x14ac:dyDescent="0.25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  <c r="AE267" s="164"/>
      <c r="AF267" s="164"/>
      <c r="AG267" s="164"/>
      <c r="AH267" s="164"/>
      <c r="AI267" s="164"/>
      <c r="AJ267" s="164"/>
      <c r="AK267" s="164"/>
      <c r="AL267" s="164"/>
      <c r="AM267" s="164"/>
      <c r="AN267" s="164"/>
      <c r="AO267" s="164"/>
      <c r="AP267" s="164"/>
      <c r="AQ267" s="164"/>
      <c r="AR267" s="164"/>
      <c r="AS267" s="164"/>
      <c r="AT267" s="164"/>
      <c r="AU267" s="164"/>
      <c r="AV267" s="164"/>
      <c r="AW267" s="164"/>
      <c r="AX267" s="164"/>
      <c r="AY267" s="164"/>
      <c r="AZ267" s="164"/>
      <c r="BA267" s="164"/>
      <c r="BB267" s="164"/>
      <c r="BC267" s="164"/>
      <c r="BD267" s="164"/>
      <c r="BE267" s="164"/>
      <c r="BF267" s="164"/>
      <c r="BG267" s="164"/>
      <c r="BH267" s="164"/>
      <c r="BI267" s="164"/>
      <c r="BJ267" s="46"/>
      <c r="BK267" s="46"/>
      <c r="BL267" s="173"/>
      <c r="BM267" s="164"/>
      <c r="BN267" s="164"/>
      <c r="BO267" s="164"/>
      <c r="BP267" s="164"/>
      <c r="BQ267" s="164"/>
      <c r="BR267" s="164"/>
      <c r="BS267" s="164"/>
      <c r="BT267" s="164"/>
      <c r="BU267" s="164"/>
      <c r="BV267" s="164"/>
      <c r="BW267" s="164"/>
      <c r="BX267" s="164"/>
      <c r="BY267" s="164"/>
      <c r="BZ267" s="164"/>
      <c r="CA267" s="164"/>
    </row>
    <row r="268" ht="15.75" customHeight="1" spans="1:79" x14ac:dyDescent="0.25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  <c r="AE268" s="164"/>
      <c r="AF268" s="164"/>
      <c r="AG268" s="164"/>
      <c r="AH268" s="164"/>
      <c r="AI268" s="164"/>
      <c r="AJ268" s="164"/>
      <c r="AK268" s="164"/>
      <c r="AL268" s="164"/>
      <c r="AM268" s="164"/>
      <c r="AN268" s="164"/>
      <c r="AO268" s="164"/>
      <c r="AP268" s="164"/>
      <c r="AQ268" s="164"/>
      <c r="AR268" s="164"/>
      <c r="AS268" s="164"/>
      <c r="AT268" s="164"/>
      <c r="AU268" s="164"/>
      <c r="AV268" s="164"/>
      <c r="AW268" s="164"/>
      <c r="AX268" s="164"/>
      <c r="AY268" s="164"/>
      <c r="AZ268" s="164"/>
      <c r="BA268" s="164"/>
      <c r="BB268" s="164"/>
      <c r="BC268" s="164"/>
      <c r="BD268" s="164"/>
      <c r="BE268" s="164"/>
      <c r="BF268" s="164"/>
      <c r="BG268" s="164"/>
      <c r="BH268" s="164"/>
      <c r="BI268" s="164"/>
      <c r="BJ268" s="46"/>
      <c r="BK268" s="46"/>
      <c r="BL268" s="173"/>
      <c r="BM268" s="164"/>
      <c r="BN268" s="164"/>
      <c r="BO268" s="164"/>
      <c r="BP268" s="164"/>
      <c r="BQ268" s="164"/>
      <c r="BR268" s="164"/>
      <c r="BS268" s="164"/>
      <c r="BT268" s="164"/>
      <c r="BU268" s="164"/>
      <c r="BV268" s="164"/>
      <c r="BW268" s="164"/>
      <c r="BX268" s="164"/>
      <c r="BY268" s="164"/>
      <c r="BZ268" s="164"/>
      <c r="CA268" s="164"/>
    </row>
    <row r="269" ht="15.75" customHeight="1" spans="1:79" x14ac:dyDescent="0.25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  <c r="AE269" s="164"/>
      <c r="AF269" s="164"/>
      <c r="AG269" s="164"/>
      <c r="AH269" s="164"/>
      <c r="AI269" s="164"/>
      <c r="AJ269" s="164"/>
      <c r="AK269" s="164"/>
      <c r="AL269" s="164"/>
      <c r="AM269" s="164"/>
      <c r="AN269" s="164"/>
      <c r="AO269" s="164"/>
      <c r="AP269" s="164"/>
      <c r="AQ269" s="164"/>
      <c r="AR269" s="164"/>
      <c r="AS269" s="164"/>
      <c r="AT269" s="164"/>
      <c r="AU269" s="164"/>
      <c r="AV269" s="164"/>
      <c r="AW269" s="164"/>
      <c r="AX269" s="164"/>
      <c r="AY269" s="164"/>
      <c r="AZ269" s="164"/>
      <c r="BA269" s="164"/>
      <c r="BB269" s="164"/>
      <c r="BC269" s="164"/>
      <c r="BD269" s="164"/>
      <c r="BE269" s="164"/>
      <c r="BF269" s="164"/>
      <c r="BG269" s="164"/>
      <c r="BH269" s="164"/>
      <c r="BI269" s="164"/>
      <c r="BJ269" s="46"/>
      <c r="BK269" s="46"/>
      <c r="BL269" s="173"/>
      <c r="BM269" s="164"/>
      <c r="BN269" s="164"/>
      <c r="BO269" s="164"/>
      <c r="BP269" s="164"/>
      <c r="BQ269" s="164"/>
      <c r="BR269" s="164"/>
      <c r="BS269" s="164"/>
      <c r="BT269" s="164"/>
      <c r="BU269" s="164"/>
      <c r="BV269" s="164"/>
      <c r="BW269" s="164"/>
      <c r="BX269" s="164"/>
      <c r="BY269" s="164"/>
      <c r="BZ269" s="164"/>
      <c r="CA269" s="164"/>
    </row>
    <row r="270" ht="15.75" customHeight="1" spans="1:79" x14ac:dyDescent="0.25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  <c r="AE270" s="164"/>
      <c r="AF270" s="164"/>
      <c r="AG270" s="164"/>
      <c r="AH270" s="164"/>
      <c r="AI270" s="164"/>
      <c r="AJ270" s="164"/>
      <c r="AK270" s="164"/>
      <c r="AL270" s="164"/>
      <c r="AM270" s="164"/>
      <c r="AN270" s="164"/>
      <c r="AO270" s="164"/>
      <c r="AP270" s="164"/>
      <c r="AQ270" s="164"/>
      <c r="AR270" s="164"/>
      <c r="AS270" s="164"/>
      <c r="AT270" s="164"/>
      <c r="AU270" s="164"/>
      <c r="AV270" s="164"/>
      <c r="AW270" s="164"/>
      <c r="AX270" s="164"/>
      <c r="AY270" s="164"/>
      <c r="AZ270" s="164"/>
      <c r="BA270" s="164"/>
      <c r="BB270" s="164"/>
      <c r="BC270" s="164"/>
      <c r="BD270" s="164"/>
      <c r="BE270" s="164"/>
      <c r="BF270" s="164"/>
      <c r="BG270" s="164"/>
      <c r="BH270" s="164"/>
      <c r="BI270" s="164"/>
      <c r="BJ270" s="46"/>
      <c r="BK270" s="46"/>
      <c r="BL270" s="173"/>
      <c r="BM270" s="164"/>
      <c r="BN270" s="164"/>
      <c r="BO270" s="164"/>
      <c r="BP270" s="164"/>
      <c r="BQ270" s="164"/>
      <c r="BR270" s="164"/>
      <c r="BS270" s="164"/>
      <c r="BT270" s="164"/>
      <c r="BU270" s="164"/>
      <c r="BV270" s="164"/>
      <c r="BW270" s="164"/>
      <c r="BX270" s="164"/>
      <c r="BY270" s="164"/>
      <c r="BZ270" s="164"/>
      <c r="CA270" s="164"/>
    </row>
    <row r="271" ht="15.75" customHeight="1" spans="1:79" x14ac:dyDescent="0.25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  <c r="AE271" s="164"/>
      <c r="AF271" s="164"/>
      <c r="AG271" s="164"/>
      <c r="AH271" s="164"/>
      <c r="AI271" s="164"/>
      <c r="AJ271" s="164"/>
      <c r="AK271" s="164"/>
      <c r="AL271" s="164"/>
      <c r="AM271" s="164"/>
      <c r="AN271" s="164"/>
      <c r="AO271" s="164"/>
      <c r="AP271" s="164"/>
      <c r="AQ271" s="164"/>
      <c r="AR271" s="164"/>
      <c r="AS271" s="164"/>
      <c r="AT271" s="164"/>
      <c r="AU271" s="164"/>
      <c r="AV271" s="164"/>
      <c r="AW271" s="164"/>
      <c r="AX271" s="164"/>
      <c r="AY271" s="164"/>
      <c r="AZ271" s="164"/>
      <c r="BA271" s="164"/>
      <c r="BB271" s="164"/>
      <c r="BC271" s="164"/>
      <c r="BD271" s="164"/>
      <c r="BE271" s="164"/>
      <c r="BF271" s="164"/>
      <c r="BG271" s="164"/>
      <c r="BH271" s="164"/>
      <c r="BI271" s="164"/>
      <c r="BJ271" s="46"/>
      <c r="BK271" s="46"/>
      <c r="BL271" s="173"/>
      <c r="BM271" s="164"/>
      <c r="BN271" s="164"/>
      <c r="BO271" s="164"/>
      <c r="BP271" s="164"/>
      <c r="BQ271" s="164"/>
      <c r="BR271" s="164"/>
      <c r="BS271" s="164"/>
      <c r="BT271" s="164"/>
      <c r="BU271" s="164"/>
      <c r="BV271" s="164"/>
      <c r="BW271" s="164"/>
      <c r="BX271" s="164"/>
      <c r="BY271" s="164"/>
      <c r="BZ271" s="164"/>
      <c r="CA271" s="164"/>
    </row>
    <row r="272" ht="15.75" customHeight="1" spans="1:79" x14ac:dyDescent="0.25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  <c r="AE272" s="164"/>
      <c r="AF272" s="164"/>
      <c r="AG272" s="164"/>
      <c r="AH272" s="164"/>
      <c r="AI272" s="164"/>
      <c r="AJ272" s="164"/>
      <c r="AK272" s="164"/>
      <c r="AL272" s="164"/>
      <c r="AM272" s="164"/>
      <c r="AN272" s="164"/>
      <c r="AO272" s="164"/>
      <c r="AP272" s="164"/>
      <c r="AQ272" s="164"/>
      <c r="AR272" s="164"/>
      <c r="AS272" s="164"/>
      <c r="AT272" s="164"/>
      <c r="AU272" s="164"/>
      <c r="AV272" s="164"/>
      <c r="AW272" s="164"/>
      <c r="AX272" s="164"/>
      <c r="AY272" s="164"/>
      <c r="AZ272" s="164"/>
      <c r="BA272" s="164"/>
      <c r="BB272" s="164"/>
      <c r="BC272" s="164"/>
      <c r="BD272" s="164"/>
      <c r="BE272" s="164"/>
      <c r="BF272" s="164"/>
      <c r="BG272" s="164"/>
      <c r="BH272" s="164"/>
      <c r="BI272" s="164"/>
      <c r="BJ272" s="46"/>
      <c r="BK272" s="46"/>
      <c r="BL272" s="173"/>
      <c r="BM272" s="164"/>
      <c r="BN272" s="164"/>
      <c r="BO272" s="164"/>
      <c r="BP272" s="164"/>
      <c r="BQ272" s="164"/>
      <c r="BR272" s="164"/>
      <c r="BS272" s="164"/>
      <c r="BT272" s="164"/>
      <c r="BU272" s="164"/>
      <c r="BV272" s="164"/>
      <c r="BW272" s="164"/>
      <c r="BX272" s="164"/>
      <c r="BY272" s="164"/>
      <c r="BZ272" s="164"/>
      <c r="CA272" s="164"/>
    </row>
    <row r="273" ht="15.75" customHeight="1" spans="1:79" x14ac:dyDescent="0.25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  <c r="AE273" s="164"/>
      <c r="AF273" s="164"/>
      <c r="AG273" s="164"/>
      <c r="AH273" s="164"/>
      <c r="AI273" s="164"/>
      <c r="AJ273" s="164"/>
      <c r="AK273" s="164"/>
      <c r="AL273" s="164"/>
      <c r="AM273" s="164"/>
      <c r="AN273" s="164"/>
      <c r="AO273" s="164"/>
      <c r="AP273" s="164"/>
      <c r="AQ273" s="164"/>
      <c r="AR273" s="164"/>
      <c r="AS273" s="164"/>
      <c r="AT273" s="164"/>
      <c r="AU273" s="164"/>
      <c r="AV273" s="164"/>
      <c r="AW273" s="164"/>
      <c r="AX273" s="164"/>
      <c r="AY273" s="164"/>
      <c r="AZ273" s="164"/>
      <c r="BA273" s="164"/>
      <c r="BB273" s="164"/>
      <c r="BC273" s="164"/>
      <c r="BD273" s="164"/>
      <c r="BE273" s="164"/>
      <c r="BF273" s="164"/>
      <c r="BG273" s="164"/>
      <c r="BH273" s="164"/>
      <c r="BI273" s="164"/>
      <c r="BJ273" s="46"/>
      <c r="BK273" s="46"/>
      <c r="BL273" s="173"/>
      <c r="BM273" s="164"/>
      <c r="BN273" s="164"/>
      <c r="BO273" s="164"/>
      <c r="BP273" s="164"/>
      <c r="BQ273" s="164"/>
      <c r="BR273" s="164"/>
      <c r="BS273" s="164"/>
      <c r="BT273" s="164"/>
      <c r="BU273" s="164"/>
      <c r="BV273" s="164"/>
      <c r="BW273" s="164"/>
      <c r="BX273" s="164"/>
      <c r="BY273" s="164"/>
      <c r="BZ273" s="164"/>
      <c r="CA273" s="164"/>
    </row>
    <row r="274" ht="15.75" customHeight="1" spans="1:79" x14ac:dyDescent="0.25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  <c r="AE274" s="164"/>
      <c r="AF274" s="164"/>
      <c r="AG274" s="164"/>
      <c r="AH274" s="164"/>
      <c r="AI274" s="164"/>
      <c r="AJ274" s="164"/>
      <c r="AK274" s="164"/>
      <c r="AL274" s="164"/>
      <c r="AM274" s="164"/>
      <c r="AN274" s="164"/>
      <c r="AO274" s="164"/>
      <c r="AP274" s="164"/>
      <c r="AQ274" s="164"/>
      <c r="AR274" s="164"/>
      <c r="AS274" s="164"/>
      <c r="AT274" s="164"/>
      <c r="AU274" s="164"/>
      <c r="AV274" s="164"/>
      <c r="AW274" s="164"/>
      <c r="AX274" s="164"/>
      <c r="AY274" s="164"/>
      <c r="AZ274" s="164"/>
      <c r="BA274" s="164"/>
      <c r="BB274" s="164"/>
      <c r="BC274" s="164"/>
      <c r="BD274" s="164"/>
      <c r="BE274" s="164"/>
      <c r="BF274" s="164"/>
      <c r="BG274" s="164"/>
      <c r="BH274" s="164"/>
      <c r="BI274" s="164"/>
      <c r="BJ274" s="46"/>
      <c r="BK274" s="46"/>
      <c r="BL274" s="173"/>
      <c r="BM274" s="164"/>
      <c r="BN274" s="164"/>
      <c r="BO274" s="164"/>
      <c r="BP274" s="164"/>
      <c r="BQ274" s="164"/>
      <c r="BR274" s="164"/>
      <c r="BS274" s="164"/>
      <c r="BT274" s="164"/>
      <c r="BU274" s="164"/>
      <c r="BV274" s="164"/>
      <c r="BW274" s="164"/>
      <c r="BX274" s="164"/>
      <c r="BY274" s="164"/>
      <c r="BZ274" s="164"/>
      <c r="CA274" s="164"/>
    </row>
    <row r="275" ht="15.75" customHeight="1" spans="1:79" x14ac:dyDescent="0.25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  <c r="AI275" s="164"/>
      <c r="AJ275" s="164"/>
      <c r="AK275" s="164"/>
      <c r="AL275" s="164"/>
      <c r="AM275" s="164"/>
      <c r="AN275" s="164"/>
      <c r="AO275" s="164"/>
      <c r="AP275" s="164"/>
      <c r="AQ275" s="164"/>
      <c r="AR275" s="164"/>
      <c r="AS275" s="164"/>
      <c r="AT275" s="164"/>
      <c r="AU275" s="164"/>
      <c r="AV275" s="164"/>
      <c r="AW275" s="164"/>
      <c r="AX275" s="164"/>
      <c r="AY275" s="164"/>
      <c r="AZ275" s="164"/>
      <c r="BA275" s="164"/>
      <c r="BB275" s="164"/>
      <c r="BC275" s="164"/>
      <c r="BD275" s="164"/>
      <c r="BE275" s="164"/>
      <c r="BF275" s="164"/>
      <c r="BG275" s="164"/>
      <c r="BH275" s="164"/>
      <c r="BI275" s="164"/>
      <c r="BJ275" s="46"/>
      <c r="BK275" s="46"/>
      <c r="BL275" s="173"/>
      <c r="BM275" s="164"/>
      <c r="BN275" s="164"/>
      <c r="BO275" s="164"/>
      <c r="BP275" s="164"/>
      <c r="BQ275" s="164"/>
      <c r="BR275" s="164"/>
      <c r="BS275" s="164"/>
      <c r="BT275" s="164"/>
      <c r="BU275" s="164"/>
      <c r="BV275" s="164"/>
      <c r="BW275" s="164"/>
      <c r="BX275" s="164"/>
      <c r="BY275" s="164"/>
      <c r="BZ275" s="164"/>
      <c r="CA275" s="164"/>
    </row>
    <row r="276" ht="15.75" customHeight="1" spans="3:64" x14ac:dyDescent="0.25">
      <c r="C276" s="164"/>
      <c r="F276" s="164"/>
      <c r="G276" s="164"/>
      <c r="H276" s="164"/>
      <c r="J276" s="164"/>
      <c r="K276" s="164"/>
      <c r="L276" s="164"/>
      <c r="M276" s="164"/>
      <c r="N276" s="164"/>
      <c r="O276" s="164"/>
      <c r="P276" s="164"/>
      <c r="Q276" s="164"/>
      <c r="R276" s="164"/>
      <c r="U276" s="164"/>
      <c r="V276" s="164"/>
      <c r="W276" s="164"/>
      <c r="X276" s="164"/>
      <c r="Y276" s="164"/>
      <c r="AC276" s="164"/>
      <c r="AD276" s="164"/>
      <c r="AI276" s="164"/>
      <c r="AJ276" s="164"/>
      <c r="AK276" s="164"/>
      <c r="AQ276" s="164"/>
      <c r="AR276" s="164"/>
      <c r="AS276" s="164"/>
      <c r="BE276" s="164"/>
      <c r="BF276" s="164"/>
      <c r="BJ276" s="46"/>
      <c r="BK276" s="46"/>
      <c r="BL276" s="173"/>
    </row>
    <row r="277" ht="15.75" customHeight="1" spans="3:64" x14ac:dyDescent="0.25">
      <c r="C277" s="164"/>
      <c r="F277" s="164"/>
      <c r="G277" s="164"/>
      <c r="H277" s="164"/>
      <c r="J277" s="164"/>
      <c r="K277" s="164"/>
      <c r="L277" s="164"/>
      <c r="M277" s="164"/>
      <c r="N277" s="164"/>
      <c r="O277" s="164"/>
      <c r="P277" s="164"/>
      <c r="Q277" s="164"/>
      <c r="R277" s="164"/>
      <c r="U277" s="164"/>
      <c r="V277" s="164"/>
      <c r="W277" s="164"/>
      <c r="X277" s="164"/>
      <c r="Y277" s="164"/>
      <c r="AC277" s="164"/>
      <c r="AD277" s="164"/>
      <c r="AI277" s="164"/>
      <c r="AJ277" s="164"/>
      <c r="AK277" s="164"/>
      <c r="AQ277" s="164"/>
      <c r="AR277" s="164"/>
      <c r="AS277" s="164"/>
      <c r="BE277" s="164"/>
      <c r="BF277" s="164"/>
      <c r="BJ277" s="46"/>
      <c r="BK277" s="46"/>
      <c r="BL277" s="173"/>
    </row>
    <row r="278" ht="15.75" customHeight="1" spans="3:64" x14ac:dyDescent="0.25">
      <c r="C278" s="164"/>
      <c r="F278" s="164"/>
      <c r="G278" s="164"/>
      <c r="H278" s="164"/>
      <c r="J278" s="164"/>
      <c r="K278" s="164"/>
      <c r="L278" s="164"/>
      <c r="M278" s="164"/>
      <c r="N278" s="164"/>
      <c r="O278" s="164"/>
      <c r="P278" s="164"/>
      <c r="Q278" s="164"/>
      <c r="R278" s="164"/>
      <c r="U278" s="164"/>
      <c r="V278" s="164"/>
      <c r="W278" s="164"/>
      <c r="X278" s="164"/>
      <c r="Y278" s="164"/>
      <c r="AC278" s="164"/>
      <c r="AD278" s="164"/>
      <c r="AI278" s="164"/>
      <c r="AJ278" s="164"/>
      <c r="AK278" s="164"/>
      <c r="AQ278" s="164"/>
      <c r="AR278" s="164"/>
      <c r="AS278" s="164"/>
      <c r="BE278" s="164"/>
      <c r="BF278" s="164"/>
      <c r="BJ278" s="46"/>
      <c r="BK278" s="46"/>
      <c r="BL278" s="173"/>
    </row>
    <row r="279" ht="15.75" customHeight="1" spans="3:64" x14ac:dyDescent="0.25">
      <c r="C279" s="164"/>
      <c r="F279" s="164"/>
      <c r="G279" s="164"/>
      <c r="H279" s="164"/>
      <c r="J279" s="164"/>
      <c r="K279" s="164"/>
      <c r="L279" s="164"/>
      <c r="M279" s="164"/>
      <c r="N279" s="164"/>
      <c r="O279" s="164"/>
      <c r="P279" s="164"/>
      <c r="Q279" s="164"/>
      <c r="R279" s="164"/>
      <c r="U279" s="164"/>
      <c r="V279" s="164"/>
      <c r="W279" s="164"/>
      <c r="X279" s="164"/>
      <c r="Y279" s="164"/>
      <c r="AC279" s="164"/>
      <c r="AD279" s="164"/>
      <c r="AI279" s="164"/>
      <c r="AJ279" s="164"/>
      <c r="AK279" s="164"/>
      <c r="AQ279" s="164"/>
      <c r="AR279" s="164"/>
      <c r="AS279" s="164"/>
      <c r="BE279" s="164"/>
      <c r="BF279" s="164"/>
      <c r="BJ279" s="46"/>
      <c r="BK279" s="46"/>
      <c r="BL279" s="173"/>
    </row>
    <row r="280" ht="15.75" customHeight="1" spans="3:64" x14ac:dyDescent="0.25">
      <c r="C280" s="164"/>
      <c r="F280" s="164"/>
      <c r="G280" s="164"/>
      <c r="H280" s="164"/>
      <c r="J280" s="164"/>
      <c r="K280" s="164"/>
      <c r="L280" s="164"/>
      <c r="M280" s="164"/>
      <c r="N280" s="164"/>
      <c r="O280" s="164"/>
      <c r="P280" s="164"/>
      <c r="Q280" s="164"/>
      <c r="R280" s="164"/>
      <c r="U280" s="164"/>
      <c r="V280" s="164"/>
      <c r="W280" s="164"/>
      <c r="X280" s="164"/>
      <c r="Y280" s="164"/>
      <c r="AC280" s="164"/>
      <c r="AD280" s="164"/>
      <c r="AI280" s="164"/>
      <c r="AJ280" s="164"/>
      <c r="AK280" s="164"/>
      <c r="AQ280" s="164"/>
      <c r="AR280" s="164"/>
      <c r="AS280" s="164"/>
      <c r="BE280" s="164"/>
      <c r="BF280" s="164"/>
      <c r="BJ280" s="46"/>
      <c r="BK280" s="46"/>
      <c r="BL280" s="173"/>
    </row>
    <row r="281" ht="15.75" customHeight="1" spans="3:64" x14ac:dyDescent="0.25">
      <c r="C281" s="164"/>
      <c r="F281" s="164"/>
      <c r="G281" s="164"/>
      <c r="H281" s="164"/>
      <c r="J281" s="164"/>
      <c r="K281" s="164"/>
      <c r="L281" s="164"/>
      <c r="M281" s="164"/>
      <c r="N281" s="164"/>
      <c r="O281" s="164"/>
      <c r="P281" s="164"/>
      <c r="Q281" s="164"/>
      <c r="R281" s="164"/>
      <c r="U281" s="164"/>
      <c r="V281" s="164"/>
      <c r="W281" s="164"/>
      <c r="X281" s="164"/>
      <c r="Y281" s="164"/>
      <c r="AC281" s="164"/>
      <c r="AD281" s="164"/>
      <c r="AI281" s="164"/>
      <c r="AJ281" s="164"/>
      <c r="AK281" s="164"/>
      <c r="AQ281" s="164"/>
      <c r="AR281" s="164"/>
      <c r="AS281" s="164"/>
      <c r="BE281" s="164"/>
      <c r="BF281" s="164"/>
      <c r="BJ281" s="46"/>
      <c r="BK281" s="46"/>
      <c r="BL281" s="173"/>
    </row>
    <row r="282" ht="15.75" customHeight="1" spans="3:64" x14ac:dyDescent="0.25">
      <c r="C282" s="164"/>
      <c r="F282" s="164"/>
      <c r="G282" s="164"/>
      <c r="H282" s="164"/>
      <c r="J282" s="164"/>
      <c r="K282" s="164"/>
      <c r="L282" s="164"/>
      <c r="M282" s="164"/>
      <c r="N282" s="164"/>
      <c r="O282" s="164"/>
      <c r="P282" s="164"/>
      <c r="Q282" s="164"/>
      <c r="R282" s="164"/>
      <c r="U282" s="164"/>
      <c r="V282" s="164"/>
      <c r="W282" s="164"/>
      <c r="X282" s="164"/>
      <c r="Y282" s="164"/>
      <c r="AC282" s="164"/>
      <c r="AD282" s="164"/>
      <c r="AI282" s="164"/>
      <c r="AJ282" s="164"/>
      <c r="AK282" s="164"/>
      <c r="AQ282" s="164"/>
      <c r="AR282" s="164"/>
      <c r="AS282" s="164"/>
      <c r="BE282" s="164"/>
      <c r="BF282" s="164"/>
      <c r="BJ282" s="46"/>
      <c r="BK282" s="46"/>
      <c r="BL282" s="173"/>
    </row>
    <row r="283" ht="15.75" customHeight="1" spans="3:64" x14ac:dyDescent="0.25">
      <c r="C283" s="164"/>
      <c r="F283" s="164"/>
      <c r="G283" s="164"/>
      <c r="H283" s="164"/>
      <c r="J283" s="164"/>
      <c r="K283" s="164"/>
      <c r="L283" s="164"/>
      <c r="M283" s="164"/>
      <c r="N283" s="164"/>
      <c r="O283" s="164"/>
      <c r="P283" s="164"/>
      <c r="Q283" s="164"/>
      <c r="R283" s="164"/>
      <c r="U283" s="164"/>
      <c r="V283" s="164"/>
      <c r="W283" s="164"/>
      <c r="X283" s="164"/>
      <c r="Y283" s="164"/>
      <c r="AC283" s="164"/>
      <c r="AD283" s="164"/>
      <c r="AI283" s="164"/>
      <c r="AJ283" s="164"/>
      <c r="AK283" s="164"/>
      <c r="AQ283" s="164"/>
      <c r="AR283" s="164"/>
      <c r="AS283" s="164"/>
      <c r="BE283" s="164"/>
      <c r="BF283" s="164"/>
      <c r="BJ283" s="46"/>
      <c r="BK283" s="46"/>
      <c r="BL283" s="173"/>
    </row>
    <row r="284" ht="15.75" customHeight="1" spans="3:64" x14ac:dyDescent="0.25">
      <c r="C284" s="164"/>
      <c r="F284" s="164"/>
      <c r="G284" s="164"/>
      <c r="H284" s="164"/>
      <c r="J284" s="164"/>
      <c r="K284" s="164"/>
      <c r="L284" s="164"/>
      <c r="M284" s="164"/>
      <c r="N284" s="164"/>
      <c r="O284" s="164"/>
      <c r="P284" s="164"/>
      <c r="Q284" s="164"/>
      <c r="R284" s="164"/>
      <c r="U284" s="164"/>
      <c r="V284" s="164"/>
      <c r="W284" s="164"/>
      <c r="X284" s="164"/>
      <c r="Y284" s="164"/>
      <c r="AC284" s="164"/>
      <c r="AD284" s="164"/>
      <c r="AI284" s="164"/>
      <c r="AJ284" s="164"/>
      <c r="AK284" s="164"/>
      <c r="AQ284" s="164"/>
      <c r="AR284" s="164"/>
      <c r="AS284" s="164"/>
      <c r="BE284" s="164"/>
      <c r="BF284" s="164"/>
      <c r="BJ284" s="46"/>
      <c r="BK284" s="46"/>
      <c r="BL284" s="173"/>
    </row>
    <row r="285" ht="15.75" customHeight="1" spans="3:64" x14ac:dyDescent="0.25">
      <c r="C285" s="164"/>
      <c r="F285" s="164"/>
      <c r="G285" s="164"/>
      <c r="H285" s="164"/>
      <c r="J285" s="164"/>
      <c r="K285" s="164"/>
      <c r="L285" s="164"/>
      <c r="M285" s="164"/>
      <c r="N285" s="164"/>
      <c r="O285" s="164"/>
      <c r="P285" s="164"/>
      <c r="Q285" s="164"/>
      <c r="R285" s="164"/>
      <c r="U285" s="164"/>
      <c r="V285" s="164"/>
      <c r="W285" s="164"/>
      <c r="X285" s="164"/>
      <c r="Y285" s="164"/>
      <c r="AC285" s="164"/>
      <c r="AD285" s="164"/>
      <c r="AI285" s="164"/>
      <c r="AJ285" s="164"/>
      <c r="AK285" s="164"/>
      <c r="AQ285" s="164"/>
      <c r="AR285" s="164"/>
      <c r="AS285" s="164"/>
      <c r="BE285" s="164"/>
      <c r="BF285" s="164"/>
      <c r="BJ285" s="46"/>
      <c r="BK285" s="46"/>
      <c r="BL285" s="173"/>
    </row>
    <row r="286" ht="15.75" customHeight="1" spans="3:64" x14ac:dyDescent="0.25">
      <c r="C286" s="164"/>
      <c r="F286" s="164"/>
      <c r="G286" s="164"/>
      <c r="H286" s="164"/>
      <c r="J286" s="164"/>
      <c r="K286" s="164"/>
      <c r="L286" s="164"/>
      <c r="M286" s="164"/>
      <c r="N286" s="164"/>
      <c r="O286" s="164"/>
      <c r="P286" s="164"/>
      <c r="Q286" s="164"/>
      <c r="R286" s="164"/>
      <c r="U286" s="164"/>
      <c r="V286" s="164"/>
      <c r="W286" s="164"/>
      <c r="X286" s="164"/>
      <c r="Y286" s="164"/>
      <c r="AC286" s="164"/>
      <c r="AD286" s="164"/>
      <c r="AI286" s="164"/>
      <c r="AJ286" s="164"/>
      <c r="AK286" s="164"/>
      <c r="AQ286" s="164"/>
      <c r="AR286" s="164"/>
      <c r="AS286" s="164"/>
      <c r="BE286" s="164"/>
      <c r="BF286" s="164"/>
      <c r="BJ286" s="46"/>
      <c r="BK286" s="46"/>
      <c r="BL286" s="173"/>
    </row>
    <row r="287" ht="15.75" customHeight="1" spans="3:64" x14ac:dyDescent="0.25">
      <c r="C287" s="164"/>
      <c r="F287" s="164"/>
      <c r="G287" s="164"/>
      <c r="H287" s="164"/>
      <c r="J287" s="164"/>
      <c r="K287" s="164"/>
      <c r="L287" s="164"/>
      <c r="M287" s="164"/>
      <c r="N287" s="164"/>
      <c r="O287" s="164"/>
      <c r="P287" s="164"/>
      <c r="Q287" s="164"/>
      <c r="R287" s="164"/>
      <c r="U287" s="164"/>
      <c r="V287" s="164"/>
      <c r="W287" s="164"/>
      <c r="X287" s="164"/>
      <c r="Y287" s="164"/>
      <c r="AC287" s="164"/>
      <c r="AD287" s="164"/>
      <c r="AI287" s="164"/>
      <c r="AJ287" s="164"/>
      <c r="AK287" s="164"/>
      <c r="AQ287" s="164"/>
      <c r="AR287" s="164"/>
      <c r="AS287" s="164"/>
      <c r="BE287" s="164"/>
      <c r="BF287" s="164"/>
      <c r="BJ287" s="46"/>
      <c r="BK287" s="46"/>
      <c r="BL287" s="173"/>
    </row>
    <row r="288" ht="15.75" customHeight="1" spans="3:64" x14ac:dyDescent="0.25">
      <c r="C288" s="164"/>
      <c r="F288" s="164"/>
      <c r="G288" s="164"/>
      <c r="H288" s="164"/>
      <c r="J288" s="164"/>
      <c r="K288" s="164"/>
      <c r="L288" s="164"/>
      <c r="M288" s="164"/>
      <c r="N288" s="164"/>
      <c r="O288" s="164"/>
      <c r="P288" s="164"/>
      <c r="Q288" s="164"/>
      <c r="R288" s="164"/>
      <c r="U288" s="164"/>
      <c r="V288" s="164"/>
      <c r="W288" s="164"/>
      <c r="X288" s="164"/>
      <c r="Y288" s="164"/>
      <c r="AC288" s="164"/>
      <c r="AD288" s="164"/>
      <c r="AI288" s="164"/>
      <c r="AJ288" s="164"/>
      <c r="AK288" s="164"/>
      <c r="AQ288" s="164"/>
      <c r="AR288" s="164"/>
      <c r="AS288" s="164"/>
      <c r="BE288" s="164"/>
      <c r="BF288" s="164"/>
      <c r="BJ288" s="46"/>
      <c r="BK288" s="46"/>
      <c r="BL288" s="173"/>
    </row>
    <row r="289" ht="15.75" customHeight="1" spans="3:64" x14ac:dyDescent="0.25">
      <c r="C289" s="164"/>
      <c r="F289" s="164"/>
      <c r="G289" s="164"/>
      <c r="H289" s="164"/>
      <c r="J289" s="164"/>
      <c r="K289" s="164"/>
      <c r="L289" s="164"/>
      <c r="M289" s="164"/>
      <c r="N289" s="164"/>
      <c r="O289" s="164"/>
      <c r="P289" s="164"/>
      <c r="Q289" s="164"/>
      <c r="R289" s="164"/>
      <c r="U289" s="164"/>
      <c r="V289" s="164"/>
      <c r="W289" s="164"/>
      <c r="X289" s="164"/>
      <c r="Y289" s="164"/>
      <c r="AC289" s="164"/>
      <c r="AD289" s="164"/>
      <c r="AI289" s="164"/>
      <c r="AJ289" s="164"/>
      <c r="AK289" s="164"/>
      <c r="AQ289" s="164"/>
      <c r="AR289" s="164"/>
      <c r="AS289" s="164"/>
      <c r="BE289" s="164"/>
      <c r="BF289" s="164"/>
      <c r="BJ289" s="46"/>
      <c r="BK289" s="46"/>
      <c r="BL289" s="173"/>
    </row>
    <row r="290" ht="15.75" customHeight="1" spans="3:64" x14ac:dyDescent="0.25">
      <c r="C290" s="164"/>
      <c r="F290" s="164"/>
      <c r="G290" s="164"/>
      <c r="H290" s="164"/>
      <c r="J290" s="164"/>
      <c r="K290" s="164"/>
      <c r="L290" s="164"/>
      <c r="M290" s="164"/>
      <c r="N290" s="164"/>
      <c r="O290" s="164"/>
      <c r="P290" s="164"/>
      <c r="Q290" s="164"/>
      <c r="R290" s="164"/>
      <c r="U290" s="164"/>
      <c r="V290" s="164"/>
      <c r="W290" s="164"/>
      <c r="X290" s="164"/>
      <c r="Y290" s="164"/>
      <c r="AC290" s="164"/>
      <c r="AD290" s="164"/>
      <c r="AI290" s="164"/>
      <c r="AJ290" s="164"/>
      <c r="AK290" s="164"/>
      <c r="AQ290" s="164"/>
      <c r="AR290" s="164"/>
      <c r="AS290" s="164"/>
      <c r="BE290" s="164"/>
      <c r="BF290" s="164"/>
      <c r="BJ290" s="46"/>
      <c r="BK290" s="46"/>
      <c r="BL290" s="173"/>
    </row>
    <row r="291" ht="15.75" customHeight="1" spans="3:64" x14ac:dyDescent="0.25">
      <c r="C291" s="164"/>
      <c r="F291" s="164"/>
      <c r="G291" s="164"/>
      <c r="H291" s="164"/>
      <c r="J291" s="164"/>
      <c r="K291" s="164"/>
      <c r="L291" s="164"/>
      <c r="M291" s="164"/>
      <c r="N291" s="164"/>
      <c r="O291" s="164"/>
      <c r="P291" s="164"/>
      <c r="Q291" s="164"/>
      <c r="R291" s="164"/>
      <c r="U291" s="164"/>
      <c r="V291" s="164"/>
      <c r="W291" s="164"/>
      <c r="X291" s="164"/>
      <c r="Y291" s="164"/>
      <c r="AC291" s="164"/>
      <c r="AD291" s="164"/>
      <c r="AI291" s="164"/>
      <c r="AJ291" s="164"/>
      <c r="AK291" s="164"/>
      <c r="AQ291" s="164"/>
      <c r="AR291" s="164"/>
      <c r="AS291" s="164"/>
      <c r="BE291" s="164"/>
      <c r="BF291" s="164"/>
      <c r="BJ291" s="46"/>
      <c r="BK291" s="46"/>
      <c r="BL291" s="173"/>
    </row>
    <row r="292" ht="15.75" customHeight="1" spans="3:64" x14ac:dyDescent="0.25">
      <c r="C292" s="164"/>
      <c r="F292" s="164"/>
      <c r="G292" s="164"/>
      <c r="H292" s="164"/>
      <c r="J292" s="164"/>
      <c r="K292" s="164"/>
      <c r="L292" s="164"/>
      <c r="M292" s="164"/>
      <c r="N292" s="164"/>
      <c r="O292" s="164"/>
      <c r="P292" s="164"/>
      <c r="Q292" s="164"/>
      <c r="R292" s="164"/>
      <c r="U292" s="164"/>
      <c r="V292" s="164"/>
      <c r="W292" s="164"/>
      <c r="X292" s="164"/>
      <c r="Y292" s="164"/>
      <c r="AC292" s="164"/>
      <c r="AD292" s="164"/>
      <c r="AI292" s="164"/>
      <c r="AJ292" s="164"/>
      <c r="AK292" s="164"/>
      <c r="AQ292" s="164"/>
      <c r="AR292" s="164"/>
      <c r="AS292" s="164"/>
      <c r="BE292" s="164"/>
      <c r="BF292" s="164"/>
      <c r="BJ292" s="46"/>
      <c r="BK292" s="46"/>
      <c r="BL292" s="173"/>
    </row>
    <row r="293" ht="15.75" customHeight="1" spans="3:64" x14ac:dyDescent="0.25">
      <c r="C293" s="164"/>
      <c r="F293" s="164"/>
      <c r="G293" s="164"/>
      <c r="H293" s="164"/>
      <c r="J293" s="164"/>
      <c r="K293" s="164"/>
      <c r="L293" s="164"/>
      <c r="M293" s="164"/>
      <c r="N293" s="164"/>
      <c r="O293" s="164"/>
      <c r="P293" s="164"/>
      <c r="Q293" s="164"/>
      <c r="R293" s="164"/>
      <c r="U293" s="164"/>
      <c r="V293" s="164"/>
      <c r="W293" s="164"/>
      <c r="X293" s="164"/>
      <c r="Y293" s="164"/>
      <c r="AC293" s="164"/>
      <c r="AD293" s="164"/>
      <c r="AI293" s="164"/>
      <c r="AJ293" s="164"/>
      <c r="AK293" s="164"/>
      <c r="AQ293" s="164"/>
      <c r="AR293" s="164"/>
      <c r="AS293" s="164"/>
      <c r="BE293" s="164"/>
      <c r="BF293" s="164"/>
      <c r="BJ293" s="46"/>
      <c r="BK293" s="46"/>
      <c r="BL293" s="173"/>
    </row>
    <row r="294" ht="15.75" customHeight="1" spans="3:64" x14ac:dyDescent="0.25">
      <c r="C294" s="164"/>
      <c r="F294" s="164"/>
      <c r="G294" s="164"/>
      <c r="H294" s="164"/>
      <c r="J294" s="164"/>
      <c r="K294" s="164"/>
      <c r="L294" s="164"/>
      <c r="M294" s="164"/>
      <c r="N294" s="164"/>
      <c r="O294" s="164"/>
      <c r="P294" s="164"/>
      <c r="Q294" s="164"/>
      <c r="R294" s="164"/>
      <c r="U294" s="164"/>
      <c r="V294" s="164"/>
      <c r="W294" s="164"/>
      <c r="X294" s="164"/>
      <c r="Y294" s="164"/>
      <c r="AC294" s="164"/>
      <c r="AD294" s="164"/>
      <c r="AI294" s="164"/>
      <c r="AJ294" s="164"/>
      <c r="AK294" s="164"/>
      <c r="AQ294" s="164"/>
      <c r="AR294" s="164"/>
      <c r="AS294" s="164"/>
      <c r="BE294" s="164"/>
      <c r="BF294" s="164"/>
      <c r="BJ294" s="46"/>
      <c r="BK294" s="46"/>
      <c r="BL294" s="173"/>
    </row>
    <row r="295" ht="15.75" customHeight="1" spans="3:64" x14ac:dyDescent="0.25">
      <c r="C295" s="164"/>
      <c r="F295" s="164"/>
      <c r="G295" s="164"/>
      <c r="H295" s="164"/>
      <c r="J295" s="164"/>
      <c r="K295" s="164"/>
      <c r="L295" s="164"/>
      <c r="M295" s="164"/>
      <c r="N295" s="164"/>
      <c r="O295" s="164"/>
      <c r="P295" s="164"/>
      <c r="Q295" s="164"/>
      <c r="R295" s="164"/>
      <c r="U295" s="164"/>
      <c r="V295" s="164"/>
      <c r="W295" s="164"/>
      <c r="X295" s="164"/>
      <c r="Y295" s="164"/>
      <c r="AC295" s="164"/>
      <c r="AD295" s="164"/>
      <c r="AI295" s="164"/>
      <c r="AJ295" s="164"/>
      <c r="AK295" s="164"/>
      <c r="AQ295" s="164"/>
      <c r="AR295" s="164"/>
      <c r="AS295" s="164"/>
      <c r="BE295" s="164"/>
      <c r="BF295" s="164"/>
      <c r="BJ295" s="46"/>
      <c r="BK295" s="46"/>
      <c r="BL295" s="173"/>
    </row>
    <row r="296" ht="15.75" customHeight="1" spans="3:64" x14ac:dyDescent="0.25">
      <c r="C296" s="164"/>
      <c r="F296" s="164"/>
      <c r="G296" s="164"/>
      <c r="H296" s="164"/>
      <c r="J296" s="164"/>
      <c r="K296" s="164"/>
      <c r="L296" s="164"/>
      <c r="M296" s="164"/>
      <c r="N296" s="164"/>
      <c r="O296" s="164"/>
      <c r="P296" s="164"/>
      <c r="Q296" s="164"/>
      <c r="R296" s="164"/>
      <c r="U296" s="164"/>
      <c r="V296" s="164"/>
      <c r="W296" s="164"/>
      <c r="X296" s="164"/>
      <c r="Y296" s="164"/>
      <c r="AC296" s="164"/>
      <c r="AD296" s="164"/>
      <c r="AI296" s="164"/>
      <c r="AJ296" s="164"/>
      <c r="AK296" s="164"/>
      <c r="AQ296" s="164"/>
      <c r="AR296" s="164"/>
      <c r="AS296" s="164"/>
      <c r="BE296" s="164"/>
      <c r="BF296" s="164"/>
      <c r="BJ296" s="46"/>
      <c r="BK296" s="46"/>
      <c r="BL296" s="173"/>
    </row>
    <row r="297" ht="15.75" customHeight="1" spans="3:64" x14ac:dyDescent="0.25">
      <c r="C297" s="164"/>
      <c r="F297" s="164"/>
      <c r="G297" s="164"/>
      <c r="H297" s="164"/>
      <c r="J297" s="164"/>
      <c r="K297" s="164"/>
      <c r="L297" s="164"/>
      <c r="M297" s="164"/>
      <c r="N297" s="164"/>
      <c r="O297" s="164"/>
      <c r="P297" s="164"/>
      <c r="Q297" s="164"/>
      <c r="R297" s="164"/>
      <c r="U297" s="164"/>
      <c r="V297" s="164"/>
      <c r="W297" s="164"/>
      <c r="X297" s="164"/>
      <c r="Y297" s="164"/>
      <c r="AC297" s="164"/>
      <c r="AD297" s="164"/>
      <c r="AI297" s="164"/>
      <c r="AJ297" s="164"/>
      <c r="AK297" s="164"/>
      <c r="AQ297" s="164"/>
      <c r="AR297" s="164"/>
      <c r="AS297" s="164"/>
      <c r="BE297" s="164"/>
      <c r="BF297" s="164"/>
      <c r="BJ297" s="46"/>
      <c r="BK297" s="46"/>
      <c r="BL297" s="173"/>
    </row>
    <row r="298" ht="15.75" customHeight="1" spans="3:64" x14ac:dyDescent="0.25">
      <c r="C298" s="164"/>
      <c r="F298" s="164"/>
      <c r="G298" s="164"/>
      <c r="H298" s="164"/>
      <c r="J298" s="164"/>
      <c r="K298" s="164"/>
      <c r="L298" s="164"/>
      <c r="M298" s="164"/>
      <c r="N298" s="164"/>
      <c r="O298" s="164"/>
      <c r="P298" s="164"/>
      <c r="Q298" s="164"/>
      <c r="R298" s="164"/>
      <c r="U298" s="164"/>
      <c r="V298" s="164"/>
      <c r="W298" s="164"/>
      <c r="X298" s="164"/>
      <c r="Y298" s="164"/>
      <c r="AC298" s="164"/>
      <c r="AD298" s="164"/>
      <c r="AI298" s="164"/>
      <c r="AJ298" s="164"/>
      <c r="AK298" s="164"/>
      <c r="AQ298" s="164"/>
      <c r="AR298" s="164"/>
      <c r="AS298" s="164"/>
      <c r="BE298" s="164"/>
      <c r="BF298" s="164"/>
      <c r="BJ298" s="46"/>
      <c r="BK298" s="46"/>
      <c r="BL298" s="173"/>
    </row>
    <row r="299" ht="15.75" customHeight="1" spans="3:64" x14ac:dyDescent="0.25">
      <c r="C299" s="164"/>
      <c r="F299" s="164"/>
      <c r="G299" s="164"/>
      <c r="H299" s="164"/>
      <c r="J299" s="164"/>
      <c r="K299" s="164"/>
      <c r="L299" s="164"/>
      <c r="M299" s="164"/>
      <c r="N299" s="164"/>
      <c r="O299" s="164"/>
      <c r="P299" s="164"/>
      <c r="Q299" s="164"/>
      <c r="R299" s="164"/>
      <c r="U299" s="164"/>
      <c r="V299" s="164"/>
      <c r="W299" s="164"/>
      <c r="X299" s="164"/>
      <c r="Y299" s="164"/>
      <c r="AC299" s="164"/>
      <c r="AD299" s="164"/>
      <c r="AI299" s="164"/>
      <c r="AJ299" s="164"/>
      <c r="AK299" s="164"/>
      <c r="AQ299" s="164"/>
      <c r="AR299" s="164"/>
      <c r="AS299" s="164"/>
      <c r="BE299" s="164"/>
      <c r="BF299" s="164"/>
      <c r="BJ299" s="46"/>
      <c r="BK299" s="46"/>
      <c r="BL299" s="173"/>
    </row>
    <row r="300" ht="15.75" customHeight="1" spans="3:64" x14ac:dyDescent="0.25">
      <c r="C300" s="164"/>
      <c r="F300" s="164"/>
      <c r="G300" s="164"/>
      <c r="H300" s="164"/>
      <c r="J300" s="164"/>
      <c r="K300" s="164"/>
      <c r="L300" s="164"/>
      <c r="M300" s="164"/>
      <c r="N300" s="164"/>
      <c r="O300" s="164"/>
      <c r="P300" s="164"/>
      <c r="Q300" s="164"/>
      <c r="R300" s="164"/>
      <c r="U300" s="164"/>
      <c r="V300" s="164"/>
      <c r="W300" s="164"/>
      <c r="X300" s="164"/>
      <c r="Y300" s="164"/>
      <c r="AC300" s="164"/>
      <c r="AD300" s="164"/>
      <c r="AI300" s="164"/>
      <c r="AJ300" s="164"/>
      <c r="AK300" s="164"/>
      <c r="AQ300" s="164"/>
      <c r="AR300" s="164"/>
      <c r="AS300" s="164"/>
      <c r="BE300" s="164"/>
      <c r="BF300" s="164"/>
      <c r="BJ300" s="46"/>
      <c r="BK300" s="46"/>
      <c r="BL300" s="173"/>
    </row>
    <row r="301" ht="15.75" customHeight="1" spans="3:64" x14ac:dyDescent="0.25">
      <c r="C301" s="164"/>
      <c r="F301" s="164"/>
      <c r="G301" s="164"/>
      <c r="H301" s="164"/>
      <c r="J301" s="164"/>
      <c r="K301" s="164"/>
      <c r="L301" s="164"/>
      <c r="M301" s="164"/>
      <c r="N301" s="164"/>
      <c r="O301" s="164"/>
      <c r="P301" s="164"/>
      <c r="Q301" s="164"/>
      <c r="R301" s="164"/>
      <c r="U301" s="164"/>
      <c r="V301" s="164"/>
      <c r="W301" s="164"/>
      <c r="X301" s="164"/>
      <c r="Y301" s="164"/>
      <c r="AC301" s="164"/>
      <c r="AD301" s="164"/>
      <c r="AI301" s="164"/>
      <c r="AJ301" s="164"/>
      <c r="AK301" s="164"/>
      <c r="AQ301" s="164"/>
      <c r="AR301" s="164"/>
      <c r="AS301" s="164"/>
      <c r="BE301" s="164"/>
      <c r="BF301" s="164"/>
      <c r="BJ301" s="46"/>
      <c r="BK301" s="46"/>
      <c r="BL301" s="173"/>
    </row>
    <row r="302" ht="15.75" customHeight="1" spans="3:64" x14ac:dyDescent="0.25">
      <c r="C302" s="164"/>
      <c r="F302" s="164"/>
      <c r="G302" s="164"/>
      <c r="H302" s="164"/>
      <c r="J302" s="164"/>
      <c r="K302" s="164"/>
      <c r="L302" s="164"/>
      <c r="M302" s="164"/>
      <c r="N302" s="164"/>
      <c r="O302" s="164"/>
      <c r="P302" s="164"/>
      <c r="Q302" s="164"/>
      <c r="R302" s="164"/>
      <c r="U302" s="164"/>
      <c r="V302" s="164"/>
      <c r="W302" s="164"/>
      <c r="X302" s="164"/>
      <c r="Y302" s="164"/>
      <c r="AC302" s="164"/>
      <c r="AD302" s="164"/>
      <c r="AI302" s="164"/>
      <c r="AJ302" s="164"/>
      <c r="AK302" s="164"/>
      <c r="AQ302" s="164"/>
      <c r="AR302" s="164"/>
      <c r="AS302" s="164"/>
      <c r="BE302" s="164"/>
      <c r="BF302" s="164"/>
      <c r="BJ302" s="46"/>
      <c r="BK302" s="46"/>
      <c r="BL302" s="173"/>
    </row>
    <row r="303" ht="15.75" customHeight="1" spans="3:64" x14ac:dyDescent="0.25">
      <c r="C303" s="164"/>
      <c r="F303" s="164"/>
      <c r="G303" s="164"/>
      <c r="H303" s="164"/>
      <c r="J303" s="164"/>
      <c r="K303" s="164"/>
      <c r="L303" s="164"/>
      <c r="M303" s="164"/>
      <c r="N303" s="164"/>
      <c r="O303" s="164"/>
      <c r="P303" s="164"/>
      <c r="Q303" s="164"/>
      <c r="R303" s="164"/>
      <c r="U303" s="164"/>
      <c r="V303" s="164"/>
      <c r="W303" s="164"/>
      <c r="X303" s="164"/>
      <c r="Y303" s="164"/>
      <c r="AC303" s="164"/>
      <c r="AD303" s="164"/>
      <c r="AI303" s="164"/>
      <c r="AJ303" s="164"/>
      <c r="AK303" s="164"/>
      <c r="AQ303" s="164"/>
      <c r="AR303" s="164"/>
      <c r="AS303" s="164"/>
      <c r="BE303" s="164"/>
      <c r="BF303" s="164"/>
      <c r="BJ303" s="46"/>
      <c r="BK303" s="46"/>
      <c r="BL303" s="173"/>
    </row>
    <row r="304" ht="15.75" customHeight="1" spans="3:64" x14ac:dyDescent="0.25">
      <c r="C304" s="164"/>
      <c r="F304" s="164"/>
      <c r="G304" s="164"/>
      <c r="H304" s="164"/>
      <c r="J304" s="164"/>
      <c r="K304" s="164"/>
      <c r="L304" s="164"/>
      <c r="M304" s="164"/>
      <c r="N304" s="164"/>
      <c r="O304" s="164"/>
      <c r="P304" s="164"/>
      <c r="Q304" s="164"/>
      <c r="R304" s="164"/>
      <c r="U304" s="164"/>
      <c r="V304" s="164"/>
      <c r="W304" s="164"/>
      <c r="X304" s="164"/>
      <c r="Y304" s="164"/>
      <c r="AC304" s="164"/>
      <c r="AD304" s="164"/>
      <c r="AI304" s="164"/>
      <c r="AJ304" s="164"/>
      <c r="AK304" s="164"/>
      <c r="AQ304" s="164"/>
      <c r="AR304" s="164"/>
      <c r="AS304" s="164"/>
      <c r="BE304" s="164"/>
      <c r="BF304" s="164"/>
      <c r="BJ304" s="46"/>
      <c r="BK304" s="46"/>
      <c r="BL304" s="173"/>
    </row>
    <row r="305" ht="15.75" customHeight="1" spans="3:64" x14ac:dyDescent="0.25">
      <c r="C305" s="164"/>
      <c r="F305" s="164"/>
      <c r="G305" s="164"/>
      <c r="H305" s="164"/>
      <c r="J305" s="164"/>
      <c r="K305" s="164"/>
      <c r="L305" s="164"/>
      <c r="M305" s="164"/>
      <c r="N305" s="164"/>
      <c r="O305" s="164"/>
      <c r="P305" s="164"/>
      <c r="Q305" s="164"/>
      <c r="R305" s="164"/>
      <c r="U305" s="164"/>
      <c r="V305" s="164"/>
      <c r="W305" s="164"/>
      <c r="X305" s="164"/>
      <c r="Y305" s="164"/>
      <c r="AC305" s="164"/>
      <c r="AD305" s="164"/>
      <c r="AI305" s="164"/>
      <c r="AJ305" s="164"/>
      <c r="AK305" s="164"/>
      <c r="AQ305" s="164"/>
      <c r="AR305" s="164"/>
      <c r="AS305" s="164"/>
      <c r="BE305" s="164"/>
      <c r="BF305" s="164"/>
      <c r="BJ305" s="46"/>
      <c r="BK305" s="46"/>
      <c r="BL305" s="173"/>
    </row>
    <row r="306" ht="15.75" customHeight="1" spans="3:64" x14ac:dyDescent="0.25">
      <c r="C306" s="164"/>
      <c r="F306" s="164"/>
      <c r="G306" s="164"/>
      <c r="H306" s="164"/>
      <c r="J306" s="164"/>
      <c r="K306" s="164"/>
      <c r="L306" s="164"/>
      <c r="M306" s="164"/>
      <c r="N306" s="164"/>
      <c r="O306" s="164"/>
      <c r="P306" s="164"/>
      <c r="Q306" s="164"/>
      <c r="R306" s="164"/>
      <c r="U306" s="164"/>
      <c r="V306" s="164"/>
      <c r="W306" s="164"/>
      <c r="X306" s="164"/>
      <c r="Y306" s="164"/>
      <c r="AC306" s="164"/>
      <c r="AD306" s="164"/>
      <c r="AI306" s="164"/>
      <c r="AJ306" s="164"/>
      <c r="AK306" s="164"/>
      <c r="AQ306" s="164"/>
      <c r="AR306" s="164"/>
      <c r="AS306" s="164"/>
      <c r="BE306" s="164"/>
      <c r="BF306" s="164"/>
      <c r="BJ306" s="46"/>
      <c r="BK306" s="46"/>
      <c r="BL306" s="173"/>
    </row>
    <row r="307" ht="15.75" customHeight="1" spans="3:64" x14ac:dyDescent="0.25">
      <c r="C307" s="164"/>
      <c r="F307" s="164"/>
      <c r="G307" s="164"/>
      <c r="H307" s="164"/>
      <c r="J307" s="164"/>
      <c r="K307" s="164"/>
      <c r="L307" s="164"/>
      <c r="M307" s="164"/>
      <c r="N307" s="164"/>
      <c r="O307" s="164"/>
      <c r="P307" s="164"/>
      <c r="Q307" s="164"/>
      <c r="R307" s="164"/>
      <c r="U307" s="164"/>
      <c r="V307" s="164"/>
      <c r="W307" s="164"/>
      <c r="X307" s="164"/>
      <c r="Y307" s="164"/>
      <c r="AC307" s="164"/>
      <c r="AD307" s="164"/>
      <c r="AI307" s="164"/>
      <c r="AJ307" s="164"/>
      <c r="AK307" s="164"/>
      <c r="AQ307" s="164"/>
      <c r="AR307" s="164"/>
      <c r="AS307" s="164"/>
      <c r="BE307" s="164"/>
      <c r="BF307" s="164"/>
      <c r="BJ307" s="46"/>
      <c r="BK307" s="46"/>
      <c r="BL307" s="173"/>
    </row>
    <row r="308" ht="15.75" customHeight="1" spans="3:64" x14ac:dyDescent="0.25">
      <c r="C308" s="164"/>
      <c r="F308" s="164"/>
      <c r="G308" s="164"/>
      <c r="H308" s="164"/>
      <c r="J308" s="164"/>
      <c r="K308" s="164"/>
      <c r="L308" s="164"/>
      <c r="M308" s="164"/>
      <c r="N308" s="164"/>
      <c r="O308" s="164"/>
      <c r="P308" s="164"/>
      <c r="Q308" s="164"/>
      <c r="R308" s="164"/>
      <c r="U308" s="164"/>
      <c r="V308" s="164"/>
      <c r="W308" s="164"/>
      <c r="X308" s="164"/>
      <c r="Y308" s="164"/>
      <c r="AC308" s="164"/>
      <c r="AD308" s="164"/>
      <c r="AI308" s="164"/>
      <c r="AJ308" s="164"/>
      <c r="AK308" s="164"/>
      <c r="AQ308" s="164"/>
      <c r="AR308" s="164"/>
      <c r="AS308" s="164"/>
      <c r="BE308" s="164"/>
      <c r="BF308" s="164"/>
      <c r="BJ308" s="46"/>
      <c r="BK308" s="46"/>
      <c r="BL308" s="173"/>
    </row>
    <row r="309" ht="15.75" customHeight="1" spans="3:64" x14ac:dyDescent="0.25">
      <c r="C309" s="164"/>
      <c r="F309" s="164"/>
      <c r="G309" s="164"/>
      <c r="H309" s="164"/>
      <c r="J309" s="164"/>
      <c r="K309" s="164"/>
      <c r="L309" s="164"/>
      <c r="M309" s="164"/>
      <c r="N309" s="164"/>
      <c r="O309" s="164"/>
      <c r="P309" s="164"/>
      <c r="Q309" s="164"/>
      <c r="R309" s="164"/>
      <c r="U309" s="164"/>
      <c r="V309" s="164"/>
      <c r="W309" s="164"/>
      <c r="X309" s="164"/>
      <c r="Y309" s="164"/>
      <c r="AC309" s="164"/>
      <c r="AD309" s="164"/>
      <c r="AI309" s="164"/>
      <c r="AJ309" s="164"/>
      <c r="AK309" s="164"/>
      <c r="AQ309" s="164"/>
      <c r="AR309" s="164"/>
      <c r="AS309" s="164"/>
      <c r="BE309" s="164"/>
      <c r="BF309" s="164"/>
      <c r="BJ309" s="46"/>
      <c r="BK309" s="46"/>
      <c r="BL309" s="173"/>
    </row>
    <row r="310" ht="15.75" customHeight="1" spans="3:64" x14ac:dyDescent="0.25">
      <c r="C310" s="164"/>
      <c r="F310" s="164"/>
      <c r="G310" s="164"/>
      <c r="H310" s="164"/>
      <c r="J310" s="164"/>
      <c r="K310" s="164"/>
      <c r="L310" s="164"/>
      <c r="M310" s="164"/>
      <c r="N310" s="164"/>
      <c r="O310" s="164"/>
      <c r="P310" s="164"/>
      <c r="Q310" s="164"/>
      <c r="R310" s="164"/>
      <c r="U310" s="164"/>
      <c r="V310" s="164"/>
      <c r="W310" s="164"/>
      <c r="X310" s="164"/>
      <c r="Y310" s="164"/>
      <c r="AC310" s="164"/>
      <c r="AD310" s="164"/>
      <c r="AI310" s="164"/>
      <c r="AJ310" s="164"/>
      <c r="AK310" s="164"/>
      <c r="AQ310" s="164"/>
      <c r="AR310" s="164"/>
      <c r="AS310" s="164"/>
      <c r="BE310" s="164"/>
      <c r="BF310" s="164"/>
      <c r="BJ310" s="46"/>
      <c r="BK310" s="46"/>
      <c r="BL310" s="173"/>
    </row>
    <row r="311" ht="15.75" customHeight="1" spans="3:64" x14ac:dyDescent="0.25">
      <c r="C311" s="164"/>
      <c r="F311" s="164"/>
      <c r="G311" s="164"/>
      <c r="H311" s="164"/>
      <c r="J311" s="164"/>
      <c r="K311" s="164"/>
      <c r="L311" s="164"/>
      <c r="M311" s="164"/>
      <c r="N311" s="164"/>
      <c r="O311" s="164"/>
      <c r="P311" s="164"/>
      <c r="Q311" s="164"/>
      <c r="R311" s="164"/>
      <c r="U311" s="164"/>
      <c r="V311" s="164"/>
      <c r="W311" s="164"/>
      <c r="X311" s="164"/>
      <c r="Y311" s="164"/>
      <c r="AC311" s="164"/>
      <c r="AD311" s="164"/>
      <c r="AI311" s="164"/>
      <c r="AJ311" s="164"/>
      <c r="AK311" s="164"/>
      <c r="AQ311" s="164"/>
      <c r="AR311" s="164"/>
      <c r="AS311" s="164"/>
      <c r="BE311" s="164"/>
      <c r="BF311" s="164"/>
      <c r="BJ311" s="46"/>
      <c r="BK311" s="46"/>
      <c r="BL311" s="173"/>
    </row>
    <row r="312" ht="15.75" customHeight="1" spans="3:64" x14ac:dyDescent="0.25">
      <c r="C312" s="164"/>
      <c r="F312" s="164"/>
      <c r="G312" s="164"/>
      <c r="H312" s="164"/>
      <c r="J312" s="164"/>
      <c r="K312" s="164"/>
      <c r="L312" s="164"/>
      <c r="M312" s="164"/>
      <c r="N312" s="164"/>
      <c r="O312" s="164"/>
      <c r="P312" s="164"/>
      <c r="Q312" s="164"/>
      <c r="R312" s="164"/>
      <c r="U312" s="164"/>
      <c r="V312" s="164"/>
      <c r="W312" s="164"/>
      <c r="X312" s="164"/>
      <c r="Y312" s="164"/>
      <c r="AC312" s="164"/>
      <c r="AD312" s="164"/>
      <c r="AI312" s="164"/>
      <c r="AJ312" s="164"/>
      <c r="AK312" s="164"/>
      <c r="AQ312" s="164"/>
      <c r="AR312" s="164"/>
      <c r="AS312" s="164"/>
      <c r="BE312" s="164"/>
      <c r="BF312" s="164"/>
      <c r="BJ312" s="46"/>
      <c r="BK312" s="46"/>
      <c r="BL312" s="173"/>
    </row>
    <row r="313" ht="15.75" customHeight="1" spans="3:64" x14ac:dyDescent="0.25">
      <c r="C313" s="164"/>
      <c r="F313" s="164"/>
      <c r="G313" s="164"/>
      <c r="H313" s="164"/>
      <c r="J313" s="164"/>
      <c r="K313" s="164"/>
      <c r="L313" s="164"/>
      <c r="M313" s="164"/>
      <c r="N313" s="164"/>
      <c r="O313" s="164"/>
      <c r="P313" s="164"/>
      <c r="Q313" s="164"/>
      <c r="R313" s="164"/>
      <c r="U313" s="164"/>
      <c r="V313" s="164"/>
      <c r="W313" s="164"/>
      <c r="X313" s="164"/>
      <c r="Y313" s="164"/>
      <c r="AC313" s="164"/>
      <c r="AD313" s="164"/>
      <c r="AI313" s="164"/>
      <c r="AJ313" s="164"/>
      <c r="AK313" s="164"/>
      <c r="AQ313" s="164"/>
      <c r="AR313" s="164"/>
      <c r="AS313" s="164"/>
      <c r="BE313" s="164"/>
      <c r="BF313" s="164"/>
      <c r="BJ313" s="46"/>
      <c r="BK313" s="46"/>
      <c r="BL313" s="173"/>
    </row>
    <row r="314" ht="15.75" customHeight="1" spans="3:64" x14ac:dyDescent="0.25">
      <c r="C314" s="164"/>
      <c r="F314" s="164"/>
      <c r="G314" s="164"/>
      <c r="H314" s="164"/>
      <c r="J314" s="164"/>
      <c r="K314" s="164"/>
      <c r="L314" s="164"/>
      <c r="M314" s="164"/>
      <c r="N314" s="164"/>
      <c r="O314" s="164"/>
      <c r="P314" s="164"/>
      <c r="Q314" s="164"/>
      <c r="R314" s="164"/>
      <c r="U314" s="164"/>
      <c r="V314" s="164"/>
      <c r="W314" s="164"/>
      <c r="X314" s="164"/>
      <c r="Y314" s="164"/>
      <c r="AC314" s="164"/>
      <c r="AD314" s="164"/>
      <c r="AI314" s="164"/>
      <c r="AJ314" s="164"/>
      <c r="AK314" s="164"/>
      <c r="AQ314" s="164"/>
      <c r="AR314" s="164"/>
      <c r="AS314" s="164"/>
      <c r="BE314" s="164"/>
      <c r="BF314" s="164"/>
      <c r="BJ314" s="46"/>
      <c r="BK314" s="46"/>
      <c r="BL314" s="173"/>
    </row>
    <row r="315" ht="15.75" customHeight="1" spans="3:64" x14ac:dyDescent="0.25">
      <c r="C315" s="164"/>
      <c r="F315" s="164"/>
      <c r="G315" s="164"/>
      <c r="H315" s="164"/>
      <c r="J315" s="164"/>
      <c r="K315" s="164"/>
      <c r="L315" s="164"/>
      <c r="M315" s="164"/>
      <c r="N315" s="164"/>
      <c r="O315" s="164"/>
      <c r="P315" s="164"/>
      <c r="Q315" s="164"/>
      <c r="R315" s="164"/>
      <c r="U315" s="164"/>
      <c r="V315" s="164"/>
      <c r="W315" s="164"/>
      <c r="X315" s="164"/>
      <c r="Y315" s="164"/>
      <c r="AC315" s="164"/>
      <c r="AD315" s="164"/>
      <c r="AI315" s="164"/>
      <c r="AJ315" s="164"/>
      <c r="AK315" s="164"/>
      <c r="AQ315" s="164"/>
      <c r="AR315" s="164"/>
      <c r="AS315" s="164"/>
      <c r="BE315" s="164"/>
      <c r="BF315" s="164"/>
      <c r="BJ315" s="46"/>
      <c r="BK315" s="46"/>
      <c r="BL315" s="173"/>
    </row>
    <row r="316" ht="15.75" customHeight="1" spans="3:64" x14ac:dyDescent="0.25">
      <c r="C316" s="164"/>
      <c r="F316" s="164"/>
      <c r="G316" s="164"/>
      <c r="H316" s="164"/>
      <c r="J316" s="164"/>
      <c r="K316" s="164"/>
      <c r="L316" s="164"/>
      <c r="M316" s="164"/>
      <c r="N316" s="164"/>
      <c r="O316" s="164"/>
      <c r="P316" s="164"/>
      <c r="Q316" s="164"/>
      <c r="R316" s="164"/>
      <c r="U316" s="164"/>
      <c r="V316" s="164"/>
      <c r="W316" s="164"/>
      <c r="X316" s="164"/>
      <c r="Y316" s="164"/>
      <c r="AC316" s="164"/>
      <c r="AD316" s="164"/>
      <c r="AI316" s="164"/>
      <c r="AJ316" s="164"/>
      <c r="AK316" s="164"/>
      <c r="AQ316" s="164"/>
      <c r="AR316" s="164"/>
      <c r="AS316" s="164"/>
      <c r="BE316" s="164"/>
      <c r="BF316" s="164"/>
      <c r="BJ316" s="46"/>
      <c r="BK316" s="46"/>
      <c r="BL316" s="173"/>
    </row>
    <row r="317" ht="15.75" customHeight="1" spans="3:64" x14ac:dyDescent="0.25">
      <c r="C317" s="164"/>
      <c r="F317" s="164"/>
      <c r="G317" s="164"/>
      <c r="H317" s="164"/>
      <c r="J317" s="164"/>
      <c r="K317" s="164"/>
      <c r="L317" s="164"/>
      <c r="M317" s="164"/>
      <c r="N317" s="164"/>
      <c r="O317" s="164"/>
      <c r="P317" s="164"/>
      <c r="Q317" s="164"/>
      <c r="R317" s="164"/>
      <c r="U317" s="164"/>
      <c r="V317" s="164"/>
      <c r="W317" s="164"/>
      <c r="X317" s="164"/>
      <c r="Y317" s="164"/>
      <c r="AC317" s="164"/>
      <c r="AD317" s="164"/>
      <c r="AI317" s="164"/>
      <c r="AJ317" s="164"/>
      <c r="AK317" s="164"/>
      <c r="AQ317" s="164"/>
      <c r="AR317" s="164"/>
      <c r="AS317" s="164"/>
      <c r="BE317" s="164"/>
      <c r="BF317" s="164"/>
      <c r="BJ317" s="46"/>
      <c r="BK317" s="46"/>
      <c r="BL317" s="173"/>
    </row>
    <row r="318" ht="15.75" customHeight="1" spans="3:64" x14ac:dyDescent="0.25">
      <c r="C318" s="164"/>
      <c r="F318" s="164"/>
      <c r="G318" s="164"/>
      <c r="H318" s="164"/>
      <c r="J318" s="164"/>
      <c r="K318" s="164"/>
      <c r="L318" s="164"/>
      <c r="M318" s="164"/>
      <c r="N318" s="164"/>
      <c r="O318" s="164"/>
      <c r="P318" s="164"/>
      <c r="Q318" s="164"/>
      <c r="R318" s="164"/>
      <c r="U318" s="164"/>
      <c r="V318" s="164"/>
      <c r="W318" s="164"/>
      <c r="X318" s="164"/>
      <c r="Y318" s="164"/>
      <c r="AC318" s="164"/>
      <c r="AD318" s="164"/>
      <c r="AI318" s="164"/>
      <c r="AJ318" s="164"/>
      <c r="AK318" s="164"/>
      <c r="AQ318" s="164"/>
      <c r="AR318" s="164"/>
      <c r="AS318" s="164"/>
      <c r="BE318" s="164"/>
      <c r="BF318" s="164"/>
      <c r="BJ318" s="46"/>
      <c r="BK318" s="46"/>
      <c r="BL318" s="173"/>
    </row>
    <row r="319" ht="15.75" customHeight="1" spans="3:64" x14ac:dyDescent="0.25">
      <c r="C319" s="164"/>
      <c r="F319" s="164"/>
      <c r="G319" s="164"/>
      <c r="H319" s="164"/>
      <c r="J319" s="164"/>
      <c r="K319" s="164"/>
      <c r="L319" s="164"/>
      <c r="M319" s="164"/>
      <c r="N319" s="164"/>
      <c r="O319" s="164"/>
      <c r="P319" s="164"/>
      <c r="Q319" s="164"/>
      <c r="R319" s="164"/>
      <c r="U319" s="164"/>
      <c r="V319" s="164"/>
      <c r="W319" s="164"/>
      <c r="X319" s="164"/>
      <c r="Y319" s="164"/>
      <c r="AC319" s="164"/>
      <c r="AD319" s="164"/>
      <c r="AI319" s="164"/>
      <c r="AJ319" s="164"/>
      <c r="AK319" s="164"/>
      <c r="AQ319" s="164"/>
      <c r="AR319" s="164"/>
      <c r="AS319" s="164"/>
      <c r="BE319" s="164"/>
      <c r="BF319" s="164"/>
      <c r="BJ319" s="46"/>
      <c r="BK319" s="46"/>
      <c r="BL319" s="173"/>
    </row>
    <row r="320" ht="15.75" customHeight="1" spans="3:64" x14ac:dyDescent="0.25">
      <c r="C320" s="164"/>
      <c r="F320" s="164"/>
      <c r="G320" s="164"/>
      <c r="H320" s="164"/>
      <c r="J320" s="164"/>
      <c r="K320" s="164"/>
      <c r="L320" s="164"/>
      <c r="M320" s="164"/>
      <c r="N320" s="164"/>
      <c r="O320" s="164"/>
      <c r="P320" s="164"/>
      <c r="Q320" s="164"/>
      <c r="R320" s="164"/>
      <c r="U320" s="164"/>
      <c r="V320" s="164"/>
      <c r="W320" s="164"/>
      <c r="X320" s="164"/>
      <c r="Y320" s="164"/>
      <c r="AC320" s="164"/>
      <c r="AD320" s="164"/>
      <c r="AI320" s="164"/>
      <c r="AJ320" s="164"/>
      <c r="AK320" s="164"/>
      <c r="AQ320" s="164"/>
      <c r="AR320" s="164"/>
      <c r="AS320" s="164"/>
      <c r="BE320" s="164"/>
      <c r="BF320" s="164"/>
      <c r="BJ320" s="46"/>
      <c r="BK320" s="46"/>
      <c r="BL320" s="173"/>
    </row>
    <row r="321" ht="15.75" customHeight="1" spans="3:64" x14ac:dyDescent="0.25">
      <c r="C321" s="164"/>
      <c r="F321" s="164"/>
      <c r="G321" s="164"/>
      <c r="H321" s="164"/>
      <c r="J321" s="164"/>
      <c r="K321" s="164"/>
      <c r="L321" s="164"/>
      <c r="M321" s="164"/>
      <c r="N321" s="164"/>
      <c r="O321" s="164"/>
      <c r="P321" s="164"/>
      <c r="Q321" s="164"/>
      <c r="R321" s="164"/>
      <c r="U321" s="164"/>
      <c r="V321" s="164"/>
      <c r="W321" s="164"/>
      <c r="X321" s="164"/>
      <c r="Y321" s="164"/>
      <c r="AC321" s="164"/>
      <c r="AD321" s="164"/>
      <c r="AI321" s="164"/>
      <c r="AJ321" s="164"/>
      <c r="AK321" s="164"/>
      <c r="AQ321" s="164"/>
      <c r="AR321" s="164"/>
      <c r="AS321" s="164"/>
      <c r="BE321" s="164"/>
      <c r="BF321" s="164"/>
      <c r="BJ321" s="46"/>
      <c r="BK321" s="46"/>
      <c r="BL321" s="173"/>
    </row>
    <row r="322" ht="15.75" customHeight="1" spans="3:64" x14ac:dyDescent="0.25">
      <c r="C322" s="164"/>
      <c r="F322" s="164"/>
      <c r="G322" s="164"/>
      <c r="H322" s="164"/>
      <c r="J322" s="164"/>
      <c r="K322" s="164"/>
      <c r="L322" s="164"/>
      <c r="M322" s="164"/>
      <c r="N322" s="164"/>
      <c r="O322" s="164"/>
      <c r="P322" s="164"/>
      <c r="Q322" s="164"/>
      <c r="R322" s="164"/>
      <c r="U322" s="164"/>
      <c r="V322" s="164"/>
      <c r="W322" s="164"/>
      <c r="X322" s="164"/>
      <c r="Y322" s="164"/>
      <c r="AC322" s="164"/>
      <c r="AD322" s="164"/>
      <c r="AI322" s="164"/>
      <c r="AJ322" s="164"/>
      <c r="AK322" s="164"/>
      <c r="AQ322" s="164"/>
      <c r="AR322" s="164"/>
      <c r="AS322" s="164"/>
      <c r="BE322" s="164"/>
      <c r="BF322" s="164"/>
      <c r="BJ322" s="46"/>
      <c r="BK322" s="46"/>
      <c r="BL322" s="173"/>
    </row>
    <row r="323" ht="15.75" customHeight="1" spans="3:64" x14ac:dyDescent="0.25">
      <c r="C323" s="164"/>
      <c r="F323" s="164"/>
      <c r="G323" s="164"/>
      <c r="H323" s="164"/>
      <c r="J323" s="164"/>
      <c r="K323" s="164"/>
      <c r="L323" s="164"/>
      <c r="M323" s="164"/>
      <c r="N323" s="164"/>
      <c r="O323" s="164"/>
      <c r="P323" s="164"/>
      <c r="Q323" s="164"/>
      <c r="R323" s="164"/>
      <c r="U323" s="164"/>
      <c r="V323" s="164"/>
      <c r="W323" s="164"/>
      <c r="X323" s="164"/>
      <c r="Y323" s="164"/>
      <c r="AC323" s="164"/>
      <c r="AD323" s="164"/>
      <c r="AI323" s="164"/>
      <c r="AJ323" s="164"/>
      <c r="AK323" s="164"/>
      <c r="AQ323" s="164"/>
      <c r="AR323" s="164"/>
      <c r="AS323" s="164"/>
      <c r="BE323" s="164"/>
      <c r="BF323" s="164"/>
      <c r="BJ323" s="46"/>
      <c r="BK323" s="46"/>
      <c r="BL323" s="173"/>
    </row>
    <row r="324" ht="15.75" customHeight="1" spans="3:64" x14ac:dyDescent="0.25">
      <c r="C324" s="164"/>
      <c r="F324" s="164"/>
      <c r="G324" s="164"/>
      <c r="H324" s="164"/>
      <c r="J324" s="164"/>
      <c r="K324" s="164"/>
      <c r="L324" s="164"/>
      <c r="M324" s="164"/>
      <c r="N324" s="164"/>
      <c r="O324" s="164"/>
      <c r="P324" s="164"/>
      <c r="Q324" s="164"/>
      <c r="R324" s="164"/>
      <c r="U324" s="164"/>
      <c r="V324" s="164"/>
      <c r="W324" s="164"/>
      <c r="X324" s="164"/>
      <c r="Y324" s="164"/>
      <c r="AC324" s="164"/>
      <c r="AD324" s="164"/>
      <c r="AI324" s="164"/>
      <c r="AJ324" s="164"/>
      <c r="AK324" s="164"/>
      <c r="AQ324" s="164"/>
      <c r="AR324" s="164"/>
      <c r="AS324" s="164"/>
      <c r="BE324" s="164"/>
      <c r="BF324" s="164"/>
      <c r="BJ324" s="46"/>
      <c r="BK324" s="46"/>
      <c r="BL324" s="173"/>
    </row>
    <row r="325" ht="15.75" customHeight="1" spans="3:64" x14ac:dyDescent="0.25">
      <c r="C325" s="164"/>
      <c r="F325" s="164"/>
      <c r="G325" s="164"/>
      <c r="H325" s="164"/>
      <c r="J325" s="164"/>
      <c r="K325" s="164"/>
      <c r="L325" s="164"/>
      <c r="M325" s="164"/>
      <c r="N325" s="164"/>
      <c r="O325" s="164"/>
      <c r="P325" s="164"/>
      <c r="Q325" s="164"/>
      <c r="R325" s="164"/>
      <c r="U325" s="164"/>
      <c r="V325" s="164"/>
      <c r="W325" s="164"/>
      <c r="X325" s="164"/>
      <c r="Y325" s="164"/>
      <c r="AC325" s="164"/>
      <c r="AD325" s="164"/>
      <c r="AI325" s="164"/>
      <c r="AJ325" s="164"/>
      <c r="AK325" s="164"/>
      <c r="AQ325" s="164"/>
      <c r="AR325" s="164"/>
      <c r="AS325" s="164"/>
      <c r="BE325" s="164"/>
      <c r="BF325" s="164"/>
      <c r="BJ325" s="46"/>
      <c r="BK325" s="46"/>
      <c r="BL325" s="173"/>
    </row>
    <row r="326" ht="15.75" customHeight="1" spans="3:64" x14ac:dyDescent="0.25">
      <c r="C326" s="164"/>
      <c r="F326" s="164"/>
      <c r="G326" s="164"/>
      <c r="H326" s="164"/>
      <c r="J326" s="164"/>
      <c r="K326" s="164"/>
      <c r="L326" s="164"/>
      <c r="M326" s="164"/>
      <c r="N326" s="164"/>
      <c r="O326" s="164"/>
      <c r="P326" s="164"/>
      <c r="Q326" s="164"/>
      <c r="R326" s="164"/>
      <c r="U326" s="164"/>
      <c r="V326" s="164"/>
      <c r="W326" s="164"/>
      <c r="X326" s="164"/>
      <c r="Y326" s="164"/>
      <c r="AC326" s="164"/>
      <c r="AD326" s="164"/>
      <c r="AI326" s="164"/>
      <c r="AJ326" s="164"/>
      <c r="AK326" s="164"/>
      <c r="AQ326" s="164"/>
      <c r="AR326" s="164"/>
      <c r="AS326" s="164"/>
      <c r="BE326" s="164"/>
      <c r="BF326" s="164"/>
      <c r="BJ326" s="46"/>
      <c r="BK326" s="46"/>
      <c r="BL326" s="173"/>
    </row>
    <row r="327" ht="15.75" customHeight="1" spans="3:64" x14ac:dyDescent="0.25">
      <c r="C327" s="164"/>
      <c r="F327" s="164"/>
      <c r="G327" s="164"/>
      <c r="H327" s="164"/>
      <c r="J327" s="164"/>
      <c r="K327" s="164"/>
      <c r="L327" s="164"/>
      <c r="M327" s="164"/>
      <c r="N327" s="164"/>
      <c r="O327" s="164"/>
      <c r="P327" s="164"/>
      <c r="Q327" s="164"/>
      <c r="R327" s="164"/>
      <c r="U327" s="164"/>
      <c r="V327" s="164"/>
      <c r="W327" s="164"/>
      <c r="X327" s="164"/>
      <c r="Y327" s="164"/>
      <c r="AC327" s="164"/>
      <c r="AD327" s="164"/>
      <c r="AI327" s="164"/>
      <c r="AJ327" s="164"/>
      <c r="AK327" s="164"/>
      <c r="AQ327" s="164"/>
      <c r="AR327" s="164"/>
      <c r="AS327" s="164"/>
      <c r="BE327" s="164"/>
      <c r="BF327" s="164"/>
      <c r="BJ327" s="46"/>
      <c r="BK327" s="46"/>
      <c r="BL327" s="173"/>
    </row>
    <row r="328" ht="15.75" customHeight="1" spans="3:64" x14ac:dyDescent="0.25">
      <c r="C328" s="164"/>
      <c r="F328" s="164"/>
      <c r="G328" s="164"/>
      <c r="H328" s="164"/>
      <c r="J328" s="164"/>
      <c r="K328" s="164"/>
      <c r="L328" s="164"/>
      <c r="M328" s="164"/>
      <c r="N328" s="164"/>
      <c r="O328" s="164"/>
      <c r="P328" s="164"/>
      <c r="Q328" s="164"/>
      <c r="R328" s="164"/>
      <c r="U328" s="164"/>
      <c r="V328" s="164"/>
      <c r="W328" s="164"/>
      <c r="X328" s="164"/>
      <c r="Y328" s="164"/>
      <c r="AC328" s="164"/>
      <c r="AD328" s="164"/>
      <c r="AI328" s="164"/>
      <c r="AJ328" s="164"/>
      <c r="AK328" s="164"/>
      <c r="AQ328" s="164"/>
      <c r="AR328" s="164"/>
      <c r="AS328" s="164"/>
      <c r="BE328" s="164"/>
      <c r="BF328" s="164"/>
      <c r="BJ328" s="46"/>
      <c r="BK328" s="46"/>
      <c r="BL328" s="173"/>
    </row>
    <row r="329" ht="15.75" customHeight="1" spans="3:64" x14ac:dyDescent="0.25">
      <c r="C329" s="164"/>
      <c r="F329" s="164"/>
      <c r="G329" s="164"/>
      <c r="H329" s="164"/>
      <c r="J329" s="164"/>
      <c r="K329" s="164"/>
      <c r="L329" s="164"/>
      <c r="M329" s="164"/>
      <c r="N329" s="164"/>
      <c r="O329" s="164"/>
      <c r="P329" s="164"/>
      <c r="Q329" s="164"/>
      <c r="R329" s="164"/>
      <c r="U329" s="164"/>
      <c r="V329" s="164"/>
      <c r="W329" s="164"/>
      <c r="X329" s="164"/>
      <c r="Y329" s="164"/>
      <c r="AC329" s="164"/>
      <c r="AD329" s="164"/>
      <c r="AI329" s="164"/>
      <c r="AJ329" s="164"/>
      <c r="AK329" s="164"/>
      <c r="AQ329" s="164"/>
      <c r="AR329" s="164"/>
      <c r="AS329" s="164"/>
      <c r="BE329" s="164"/>
      <c r="BF329" s="164"/>
      <c r="BJ329" s="46"/>
      <c r="BK329" s="46"/>
      <c r="BL329" s="173"/>
    </row>
    <row r="330" ht="15.75" customHeight="1" spans="3:64" x14ac:dyDescent="0.25">
      <c r="C330" s="164"/>
      <c r="F330" s="164"/>
      <c r="G330" s="164"/>
      <c r="H330" s="164"/>
      <c r="J330" s="164"/>
      <c r="K330" s="164"/>
      <c r="L330" s="164"/>
      <c r="M330" s="164"/>
      <c r="N330" s="164"/>
      <c r="O330" s="164"/>
      <c r="P330" s="164"/>
      <c r="Q330" s="164"/>
      <c r="R330" s="164"/>
      <c r="U330" s="164"/>
      <c r="V330" s="164"/>
      <c r="W330" s="164"/>
      <c r="X330" s="164"/>
      <c r="Y330" s="164"/>
      <c r="AC330" s="164"/>
      <c r="AD330" s="164"/>
      <c r="AI330" s="164"/>
      <c r="AJ330" s="164"/>
      <c r="AK330" s="164"/>
      <c r="AQ330" s="164"/>
      <c r="AR330" s="164"/>
      <c r="AS330" s="164"/>
      <c r="BE330" s="164"/>
      <c r="BF330" s="164"/>
      <c r="BJ330" s="46"/>
      <c r="BK330" s="46"/>
      <c r="BL330" s="173"/>
    </row>
    <row r="331" ht="15.75" customHeight="1" spans="3:64" x14ac:dyDescent="0.25">
      <c r="C331" s="164"/>
      <c r="F331" s="164"/>
      <c r="G331" s="164"/>
      <c r="H331" s="164"/>
      <c r="J331" s="164"/>
      <c r="K331" s="164"/>
      <c r="L331" s="164"/>
      <c r="M331" s="164"/>
      <c r="N331" s="164"/>
      <c r="O331" s="164"/>
      <c r="P331" s="164"/>
      <c r="Q331" s="164"/>
      <c r="R331" s="164"/>
      <c r="U331" s="164"/>
      <c r="V331" s="164"/>
      <c r="W331" s="164"/>
      <c r="X331" s="164"/>
      <c r="Y331" s="164"/>
      <c r="AC331" s="164"/>
      <c r="AD331" s="164"/>
      <c r="AI331" s="164"/>
      <c r="AJ331" s="164"/>
      <c r="AK331" s="164"/>
      <c r="AQ331" s="164"/>
      <c r="AR331" s="164"/>
      <c r="AS331" s="164"/>
      <c r="BE331" s="164"/>
      <c r="BF331" s="164"/>
      <c r="BJ331" s="46"/>
      <c r="BK331" s="46"/>
      <c r="BL331" s="173"/>
    </row>
    <row r="332" ht="15.75" customHeight="1" spans="3:64" x14ac:dyDescent="0.25">
      <c r="C332" s="164"/>
      <c r="F332" s="164"/>
      <c r="G332" s="164"/>
      <c r="H332" s="164"/>
      <c r="J332" s="164"/>
      <c r="K332" s="164"/>
      <c r="L332" s="164"/>
      <c r="M332" s="164"/>
      <c r="N332" s="164"/>
      <c r="O332" s="164"/>
      <c r="P332" s="164"/>
      <c r="Q332" s="164"/>
      <c r="R332" s="164"/>
      <c r="U332" s="164"/>
      <c r="V332" s="164"/>
      <c r="W332" s="164"/>
      <c r="X332" s="164"/>
      <c r="Y332" s="164"/>
      <c r="AC332" s="164"/>
      <c r="AD332" s="164"/>
      <c r="AI332" s="164"/>
      <c r="AJ332" s="164"/>
      <c r="AK332" s="164"/>
      <c r="AQ332" s="164"/>
      <c r="AR332" s="164"/>
      <c r="AS332" s="164"/>
      <c r="BE332" s="164"/>
      <c r="BF332" s="164"/>
      <c r="BJ332" s="46"/>
      <c r="BK332" s="46"/>
      <c r="BL332" s="173"/>
    </row>
    <row r="333" ht="15.75" customHeight="1" spans="3:64" x14ac:dyDescent="0.25">
      <c r="C333" s="164"/>
      <c r="F333" s="164"/>
      <c r="G333" s="164"/>
      <c r="H333" s="164"/>
      <c r="J333" s="164"/>
      <c r="K333" s="164"/>
      <c r="L333" s="164"/>
      <c r="M333" s="164"/>
      <c r="N333" s="164"/>
      <c r="O333" s="164"/>
      <c r="P333" s="164"/>
      <c r="Q333" s="164"/>
      <c r="R333" s="164"/>
      <c r="U333" s="164"/>
      <c r="V333" s="164"/>
      <c r="W333" s="164"/>
      <c r="X333" s="164"/>
      <c r="Y333" s="164"/>
      <c r="AC333" s="164"/>
      <c r="AD333" s="164"/>
      <c r="AI333" s="164"/>
      <c r="AJ333" s="164"/>
      <c r="AK333" s="164"/>
      <c r="AQ333" s="164"/>
      <c r="AR333" s="164"/>
      <c r="AS333" s="164"/>
      <c r="BE333" s="164"/>
      <c r="BF333" s="164"/>
      <c r="BJ333" s="46"/>
      <c r="BK333" s="46"/>
      <c r="BL333" s="173"/>
    </row>
    <row r="334" ht="15.75" customHeight="1" spans="3:64" x14ac:dyDescent="0.25">
      <c r="C334" s="164"/>
      <c r="F334" s="164"/>
      <c r="G334" s="164"/>
      <c r="H334" s="164"/>
      <c r="J334" s="164"/>
      <c r="K334" s="164"/>
      <c r="L334" s="164"/>
      <c r="M334" s="164"/>
      <c r="N334" s="164"/>
      <c r="O334" s="164"/>
      <c r="P334" s="164"/>
      <c r="Q334" s="164"/>
      <c r="R334" s="164"/>
      <c r="U334" s="164"/>
      <c r="V334" s="164"/>
      <c r="W334" s="164"/>
      <c r="X334" s="164"/>
      <c r="Y334" s="164"/>
      <c r="AC334" s="164"/>
      <c r="AD334" s="164"/>
      <c r="AI334" s="164"/>
      <c r="AJ334" s="164"/>
      <c r="AK334" s="164"/>
      <c r="AQ334" s="164"/>
      <c r="AR334" s="164"/>
      <c r="AS334" s="164"/>
      <c r="BE334" s="164"/>
      <c r="BF334" s="164"/>
      <c r="BJ334" s="46"/>
      <c r="BK334" s="46"/>
      <c r="BL334" s="173"/>
    </row>
    <row r="335" ht="15.75" customHeight="1" spans="3:64" x14ac:dyDescent="0.25">
      <c r="C335" s="164"/>
      <c r="F335" s="164"/>
      <c r="G335" s="164"/>
      <c r="H335" s="164"/>
      <c r="J335" s="164"/>
      <c r="K335" s="164"/>
      <c r="L335" s="164"/>
      <c r="M335" s="164"/>
      <c r="N335" s="164"/>
      <c r="O335" s="164"/>
      <c r="P335" s="164"/>
      <c r="Q335" s="164"/>
      <c r="R335" s="164"/>
      <c r="U335" s="164"/>
      <c r="V335" s="164"/>
      <c r="W335" s="164"/>
      <c r="X335" s="164"/>
      <c r="Y335" s="164"/>
      <c r="AC335" s="164"/>
      <c r="AD335" s="164"/>
      <c r="AI335" s="164"/>
      <c r="AJ335" s="164"/>
      <c r="AK335" s="164"/>
      <c r="AQ335" s="164"/>
      <c r="AR335" s="164"/>
      <c r="AS335" s="164"/>
      <c r="BE335" s="164"/>
      <c r="BF335" s="164"/>
      <c r="BJ335" s="46"/>
      <c r="BK335" s="46"/>
      <c r="BL335" s="173"/>
    </row>
    <row r="336" ht="15.75" customHeight="1" spans="3:64" x14ac:dyDescent="0.25">
      <c r="C336" s="164"/>
      <c r="F336" s="164"/>
      <c r="G336" s="164"/>
      <c r="H336" s="164"/>
      <c r="J336" s="164"/>
      <c r="K336" s="164"/>
      <c r="L336" s="164"/>
      <c r="M336" s="164"/>
      <c r="N336" s="164"/>
      <c r="O336" s="164"/>
      <c r="P336" s="164"/>
      <c r="Q336" s="164"/>
      <c r="R336" s="164"/>
      <c r="U336" s="164"/>
      <c r="V336" s="164"/>
      <c r="W336" s="164"/>
      <c r="X336" s="164"/>
      <c r="Y336" s="164"/>
      <c r="AC336" s="164"/>
      <c r="AD336" s="164"/>
      <c r="AI336" s="164"/>
      <c r="AJ336" s="164"/>
      <c r="AK336" s="164"/>
      <c r="AQ336" s="164"/>
      <c r="AR336" s="164"/>
      <c r="AS336" s="164"/>
      <c r="BE336" s="164"/>
      <c r="BF336" s="164"/>
      <c r="BJ336" s="46"/>
      <c r="BK336" s="46"/>
      <c r="BL336" s="173"/>
    </row>
    <row r="337" ht="15.75" customHeight="1" spans="3:64" x14ac:dyDescent="0.25">
      <c r="C337" s="164"/>
      <c r="F337" s="164"/>
      <c r="G337" s="164"/>
      <c r="H337" s="164"/>
      <c r="J337" s="164"/>
      <c r="K337" s="164"/>
      <c r="L337" s="164"/>
      <c r="M337" s="164"/>
      <c r="N337" s="164"/>
      <c r="O337" s="164"/>
      <c r="P337" s="164"/>
      <c r="Q337" s="164"/>
      <c r="R337" s="164"/>
      <c r="U337" s="164"/>
      <c r="V337" s="164"/>
      <c r="W337" s="164"/>
      <c r="X337" s="164"/>
      <c r="Y337" s="164"/>
      <c r="AC337" s="164"/>
      <c r="AD337" s="164"/>
      <c r="AI337" s="164"/>
      <c r="AJ337" s="164"/>
      <c r="AK337" s="164"/>
      <c r="AQ337" s="164"/>
      <c r="AR337" s="164"/>
      <c r="AS337" s="164"/>
      <c r="BE337" s="164"/>
      <c r="BF337" s="164"/>
      <c r="BJ337" s="46"/>
      <c r="BK337" s="46"/>
      <c r="BL337" s="173"/>
    </row>
    <row r="338" ht="15.75" customHeight="1" spans="3:64" x14ac:dyDescent="0.25">
      <c r="C338" s="164"/>
      <c r="F338" s="164"/>
      <c r="G338" s="164"/>
      <c r="H338" s="164"/>
      <c r="J338" s="164"/>
      <c r="K338" s="164"/>
      <c r="L338" s="164"/>
      <c r="M338" s="164"/>
      <c r="N338" s="164"/>
      <c r="O338" s="164"/>
      <c r="P338" s="164"/>
      <c r="Q338" s="164"/>
      <c r="R338" s="164"/>
      <c r="U338" s="164"/>
      <c r="V338" s="164"/>
      <c r="W338" s="164"/>
      <c r="X338" s="164"/>
      <c r="Y338" s="164"/>
      <c r="AC338" s="164"/>
      <c r="AD338" s="164"/>
      <c r="AI338" s="164"/>
      <c r="AJ338" s="164"/>
      <c r="AK338" s="164"/>
      <c r="AQ338" s="164"/>
      <c r="AR338" s="164"/>
      <c r="AS338" s="164"/>
      <c r="BE338" s="164"/>
      <c r="BF338" s="164"/>
      <c r="BJ338" s="46"/>
      <c r="BK338" s="46"/>
      <c r="BL338" s="173"/>
    </row>
    <row r="339" ht="15.75" customHeight="1" spans="3:64" x14ac:dyDescent="0.25">
      <c r="C339" s="164"/>
      <c r="F339" s="164"/>
      <c r="G339" s="164"/>
      <c r="H339" s="164"/>
      <c r="J339" s="164"/>
      <c r="K339" s="164"/>
      <c r="L339" s="164"/>
      <c r="M339" s="164"/>
      <c r="N339" s="164"/>
      <c r="O339" s="164"/>
      <c r="P339" s="164"/>
      <c r="Q339" s="164"/>
      <c r="R339" s="164"/>
      <c r="U339" s="164"/>
      <c r="V339" s="164"/>
      <c r="W339" s="164"/>
      <c r="X339" s="164"/>
      <c r="Y339" s="164"/>
      <c r="AC339" s="164"/>
      <c r="AD339" s="164"/>
      <c r="AI339" s="164"/>
      <c r="AJ339" s="164"/>
      <c r="AK339" s="164"/>
      <c r="AQ339" s="164"/>
      <c r="AR339" s="164"/>
      <c r="AS339" s="164"/>
      <c r="BE339" s="164"/>
      <c r="BF339" s="164"/>
      <c r="BJ339" s="46"/>
      <c r="BK339" s="46"/>
      <c r="BL339" s="173"/>
    </row>
    <row r="340" ht="15.75" customHeight="1" spans="3:64" x14ac:dyDescent="0.25">
      <c r="C340" s="164"/>
      <c r="F340" s="164"/>
      <c r="G340" s="164"/>
      <c r="H340" s="164"/>
      <c r="J340" s="164"/>
      <c r="K340" s="164"/>
      <c r="L340" s="164"/>
      <c r="M340" s="164"/>
      <c r="N340" s="164"/>
      <c r="O340" s="164"/>
      <c r="P340" s="164"/>
      <c r="Q340" s="164"/>
      <c r="R340" s="164"/>
      <c r="U340" s="164"/>
      <c r="V340" s="164"/>
      <c r="W340" s="164"/>
      <c r="X340" s="164"/>
      <c r="Y340" s="164"/>
      <c r="AC340" s="164"/>
      <c r="AD340" s="164"/>
      <c r="AI340" s="164"/>
      <c r="AJ340" s="164"/>
      <c r="AK340" s="164"/>
      <c r="AQ340" s="164"/>
      <c r="AR340" s="164"/>
      <c r="AS340" s="164"/>
      <c r="BE340" s="164"/>
      <c r="BF340" s="164"/>
      <c r="BJ340" s="46"/>
      <c r="BK340" s="46"/>
      <c r="BL340" s="173"/>
    </row>
    <row r="341" ht="15.75" customHeight="1" spans="3:64" x14ac:dyDescent="0.25">
      <c r="C341" s="164"/>
      <c r="F341" s="164"/>
      <c r="G341" s="164"/>
      <c r="H341" s="164"/>
      <c r="J341" s="164"/>
      <c r="K341" s="164"/>
      <c r="L341" s="164"/>
      <c r="M341" s="164"/>
      <c r="N341" s="164"/>
      <c r="O341" s="164"/>
      <c r="P341" s="164"/>
      <c r="Q341" s="164"/>
      <c r="R341" s="164"/>
      <c r="U341" s="164"/>
      <c r="V341" s="164"/>
      <c r="W341" s="164"/>
      <c r="X341" s="164"/>
      <c r="Y341" s="164"/>
      <c r="AC341" s="164"/>
      <c r="AD341" s="164"/>
      <c r="AI341" s="164"/>
      <c r="AJ341" s="164"/>
      <c r="AK341" s="164"/>
      <c r="AQ341" s="164"/>
      <c r="AR341" s="164"/>
      <c r="AS341" s="164"/>
      <c r="BE341" s="164"/>
      <c r="BF341" s="164"/>
      <c r="BJ341" s="46"/>
      <c r="BK341" s="46"/>
      <c r="BL341" s="173"/>
    </row>
    <row r="342" ht="15.75" customHeight="1" spans="3:64" x14ac:dyDescent="0.25">
      <c r="C342" s="164"/>
      <c r="F342" s="164"/>
      <c r="G342" s="164"/>
      <c r="H342" s="164"/>
      <c r="J342" s="164"/>
      <c r="K342" s="164"/>
      <c r="L342" s="164"/>
      <c r="M342" s="164"/>
      <c r="N342" s="164"/>
      <c r="O342" s="164"/>
      <c r="P342" s="164"/>
      <c r="Q342" s="164"/>
      <c r="R342" s="164"/>
      <c r="U342" s="164"/>
      <c r="V342" s="164"/>
      <c r="W342" s="164"/>
      <c r="X342" s="164"/>
      <c r="Y342" s="164"/>
      <c r="AC342" s="164"/>
      <c r="AD342" s="164"/>
      <c r="AI342" s="164"/>
      <c r="AJ342" s="164"/>
      <c r="AK342" s="164"/>
      <c r="AQ342" s="164"/>
      <c r="AR342" s="164"/>
      <c r="AS342" s="164"/>
      <c r="BE342" s="164"/>
      <c r="BF342" s="164"/>
      <c r="BJ342" s="46"/>
      <c r="BK342" s="46"/>
      <c r="BL342" s="173"/>
    </row>
    <row r="343" ht="15.75" customHeight="1" spans="3:64" x14ac:dyDescent="0.25">
      <c r="C343" s="164"/>
      <c r="F343" s="164"/>
      <c r="G343" s="164"/>
      <c r="H343" s="164"/>
      <c r="J343" s="164"/>
      <c r="K343" s="164"/>
      <c r="L343" s="164"/>
      <c r="M343" s="164"/>
      <c r="N343" s="164"/>
      <c r="O343" s="164"/>
      <c r="P343" s="164"/>
      <c r="Q343" s="164"/>
      <c r="R343" s="164"/>
      <c r="U343" s="164"/>
      <c r="V343" s="164"/>
      <c r="W343" s="164"/>
      <c r="X343" s="164"/>
      <c r="Y343" s="164"/>
      <c r="AC343" s="164"/>
      <c r="AD343" s="164"/>
      <c r="AI343" s="164"/>
      <c r="AJ343" s="164"/>
      <c r="AK343" s="164"/>
      <c r="AQ343" s="164"/>
      <c r="AR343" s="164"/>
      <c r="AS343" s="164"/>
      <c r="BE343" s="164"/>
      <c r="BF343" s="164"/>
      <c r="BJ343" s="46"/>
      <c r="BK343" s="46"/>
      <c r="BL343" s="173"/>
    </row>
    <row r="344" ht="15.75" customHeight="1" spans="3:64" x14ac:dyDescent="0.25">
      <c r="C344" s="164"/>
      <c r="F344" s="164"/>
      <c r="G344" s="164"/>
      <c r="H344" s="164"/>
      <c r="J344" s="164"/>
      <c r="K344" s="164"/>
      <c r="L344" s="164"/>
      <c r="M344" s="164"/>
      <c r="N344" s="164"/>
      <c r="O344" s="164"/>
      <c r="P344" s="164"/>
      <c r="Q344" s="164"/>
      <c r="R344" s="164"/>
      <c r="U344" s="164"/>
      <c r="V344" s="164"/>
      <c r="W344" s="164"/>
      <c r="X344" s="164"/>
      <c r="Y344" s="164"/>
      <c r="AC344" s="164"/>
      <c r="AD344" s="164"/>
      <c r="AI344" s="164"/>
      <c r="AJ344" s="164"/>
      <c r="AK344" s="164"/>
      <c r="AQ344" s="164"/>
      <c r="AR344" s="164"/>
      <c r="AS344" s="164"/>
      <c r="BE344" s="164"/>
      <c r="BF344" s="164"/>
      <c r="BJ344" s="46"/>
      <c r="BK344" s="46"/>
      <c r="BL344" s="173"/>
    </row>
    <row r="345" ht="15.75" customHeight="1" spans="3:64" x14ac:dyDescent="0.25">
      <c r="C345" s="164"/>
      <c r="F345" s="164"/>
      <c r="G345" s="164"/>
      <c r="H345" s="164"/>
      <c r="J345" s="164"/>
      <c r="K345" s="164"/>
      <c r="L345" s="164"/>
      <c r="M345" s="164"/>
      <c r="N345" s="164"/>
      <c r="O345" s="164"/>
      <c r="P345" s="164"/>
      <c r="Q345" s="164"/>
      <c r="R345" s="164"/>
      <c r="U345" s="164"/>
      <c r="V345" s="164"/>
      <c r="W345" s="164"/>
      <c r="X345" s="164"/>
      <c r="Y345" s="164"/>
      <c r="AC345" s="164"/>
      <c r="AD345" s="164"/>
      <c r="AI345" s="164"/>
      <c r="AJ345" s="164"/>
      <c r="AK345" s="164"/>
      <c r="AQ345" s="164"/>
      <c r="AR345" s="164"/>
      <c r="AS345" s="164"/>
      <c r="BE345" s="164"/>
      <c r="BF345" s="164"/>
      <c r="BJ345" s="46"/>
      <c r="BK345" s="46"/>
      <c r="BL345" s="173"/>
    </row>
    <row r="346" ht="15.75" customHeight="1" spans="3:64" x14ac:dyDescent="0.25">
      <c r="C346" s="164"/>
      <c r="F346" s="164"/>
      <c r="G346" s="164"/>
      <c r="H346" s="164"/>
      <c r="J346" s="164"/>
      <c r="K346" s="164"/>
      <c r="L346" s="164"/>
      <c r="M346" s="164"/>
      <c r="N346" s="164"/>
      <c r="O346" s="164"/>
      <c r="P346" s="164"/>
      <c r="Q346" s="164"/>
      <c r="R346" s="164"/>
      <c r="U346" s="164"/>
      <c r="V346" s="164"/>
      <c r="W346" s="164"/>
      <c r="X346" s="164"/>
      <c r="Y346" s="164"/>
      <c r="AC346" s="164"/>
      <c r="AD346" s="164"/>
      <c r="AI346" s="164"/>
      <c r="AJ346" s="164"/>
      <c r="AK346" s="164"/>
      <c r="AQ346" s="164"/>
      <c r="AR346" s="164"/>
      <c r="AS346" s="164"/>
      <c r="BE346" s="164"/>
      <c r="BF346" s="164"/>
      <c r="BJ346" s="46"/>
      <c r="BK346" s="46"/>
      <c r="BL346" s="173"/>
    </row>
    <row r="347" ht="15.75" customHeight="1" spans="3:64" x14ac:dyDescent="0.25">
      <c r="C347" s="164"/>
      <c r="F347" s="164"/>
      <c r="G347" s="164"/>
      <c r="H347" s="164"/>
      <c r="J347" s="164"/>
      <c r="K347" s="164"/>
      <c r="L347" s="164"/>
      <c r="M347" s="164"/>
      <c r="N347" s="164"/>
      <c r="O347" s="164"/>
      <c r="P347" s="164"/>
      <c r="Q347" s="164"/>
      <c r="R347" s="164"/>
      <c r="U347" s="164"/>
      <c r="V347" s="164"/>
      <c r="W347" s="164"/>
      <c r="X347" s="164"/>
      <c r="Y347" s="164"/>
      <c r="AC347" s="164"/>
      <c r="AD347" s="164"/>
      <c r="AI347" s="164"/>
      <c r="AJ347" s="164"/>
      <c r="AK347" s="164"/>
      <c r="AQ347" s="164"/>
      <c r="AR347" s="164"/>
      <c r="AS347" s="164"/>
      <c r="BE347" s="164"/>
      <c r="BF347" s="164"/>
      <c r="BJ347" s="46"/>
      <c r="BK347" s="46"/>
      <c r="BL347" s="173"/>
    </row>
    <row r="348" ht="15.75" customHeight="1" spans="3:64" x14ac:dyDescent="0.25">
      <c r="C348" s="164"/>
      <c r="F348" s="164"/>
      <c r="G348" s="164"/>
      <c r="H348" s="164"/>
      <c r="J348" s="164"/>
      <c r="K348" s="164"/>
      <c r="L348" s="164"/>
      <c r="M348" s="164"/>
      <c r="N348" s="164"/>
      <c r="O348" s="164"/>
      <c r="P348" s="164"/>
      <c r="Q348" s="164"/>
      <c r="R348" s="164"/>
      <c r="U348" s="164"/>
      <c r="V348" s="164"/>
      <c r="W348" s="164"/>
      <c r="X348" s="164"/>
      <c r="Y348" s="164"/>
      <c r="AC348" s="164"/>
      <c r="AD348" s="164"/>
      <c r="AI348" s="164"/>
      <c r="AJ348" s="164"/>
      <c r="AK348" s="164"/>
      <c r="AQ348" s="164"/>
      <c r="AR348" s="164"/>
      <c r="AS348" s="164"/>
      <c r="BE348" s="164"/>
      <c r="BF348" s="164"/>
      <c r="BJ348" s="46"/>
      <c r="BK348" s="46"/>
      <c r="BL348" s="173"/>
    </row>
    <row r="349" ht="15.75" customHeight="1" spans="3:64" x14ac:dyDescent="0.25">
      <c r="C349" s="164"/>
      <c r="F349" s="164"/>
      <c r="G349" s="164"/>
      <c r="H349" s="164"/>
      <c r="J349" s="164"/>
      <c r="K349" s="164"/>
      <c r="L349" s="164"/>
      <c r="M349" s="164"/>
      <c r="N349" s="164"/>
      <c r="O349" s="164"/>
      <c r="P349" s="164"/>
      <c r="Q349" s="164"/>
      <c r="R349" s="164"/>
      <c r="U349" s="164"/>
      <c r="V349" s="164"/>
      <c r="W349" s="164"/>
      <c r="X349" s="164"/>
      <c r="Y349" s="164"/>
      <c r="AC349" s="164"/>
      <c r="AD349" s="164"/>
      <c r="AI349" s="164"/>
      <c r="AJ349" s="164"/>
      <c r="AK349" s="164"/>
      <c r="AQ349" s="164"/>
      <c r="AR349" s="164"/>
      <c r="AS349" s="164"/>
      <c r="BE349" s="164"/>
      <c r="BF349" s="164"/>
      <c r="BJ349" s="46"/>
      <c r="BK349" s="46"/>
      <c r="BL349" s="173"/>
    </row>
    <row r="350" ht="15.75" customHeight="1" spans="3:64" x14ac:dyDescent="0.25">
      <c r="C350" s="164"/>
      <c r="F350" s="164"/>
      <c r="G350" s="164"/>
      <c r="H350" s="164"/>
      <c r="J350" s="164"/>
      <c r="K350" s="164"/>
      <c r="L350" s="164"/>
      <c r="M350" s="164"/>
      <c r="N350" s="164"/>
      <c r="O350" s="164"/>
      <c r="P350" s="164"/>
      <c r="Q350" s="164"/>
      <c r="R350" s="164"/>
      <c r="U350" s="164"/>
      <c r="V350" s="164"/>
      <c r="W350" s="164"/>
      <c r="X350" s="164"/>
      <c r="Y350" s="164"/>
      <c r="AC350" s="164"/>
      <c r="AD350" s="164"/>
      <c r="AI350" s="164"/>
      <c r="AJ350" s="164"/>
      <c r="AK350" s="164"/>
      <c r="AQ350" s="164"/>
      <c r="AR350" s="164"/>
      <c r="AS350" s="164"/>
      <c r="BE350" s="164"/>
      <c r="BF350" s="164"/>
      <c r="BJ350" s="46"/>
      <c r="BK350" s="46"/>
      <c r="BL350" s="173"/>
    </row>
    <row r="351" ht="15.75" customHeight="1" spans="3:64" x14ac:dyDescent="0.25">
      <c r="C351" s="164"/>
      <c r="F351" s="164"/>
      <c r="G351" s="164"/>
      <c r="H351" s="164"/>
      <c r="J351" s="164"/>
      <c r="K351" s="164"/>
      <c r="L351" s="164"/>
      <c r="M351" s="164"/>
      <c r="N351" s="164"/>
      <c r="O351" s="164"/>
      <c r="P351" s="164"/>
      <c r="Q351" s="164"/>
      <c r="R351" s="164"/>
      <c r="U351" s="164"/>
      <c r="V351" s="164"/>
      <c r="W351" s="164"/>
      <c r="X351" s="164"/>
      <c r="Y351" s="164"/>
      <c r="AC351" s="164"/>
      <c r="AD351" s="164"/>
      <c r="AI351" s="164"/>
      <c r="AJ351" s="164"/>
      <c r="AK351" s="164"/>
      <c r="AQ351" s="164"/>
      <c r="AR351" s="164"/>
      <c r="AS351" s="164"/>
      <c r="BE351" s="164"/>
      <c r="BF351" s="164"/>
      <c r="BJ351" s="46"/>
      <c r="BK351" s="46"/>
      <c r="BL351" s="173"/>
    </row>
    <row r="352" ht="15.75" customHeight="1" spans="3:64" x14ac:dyDescent="0.25">
      <c r="C352" s="164"/>
      <c r="F352" s="164"/>
      <c r="G352" s="164"/>
      <c r="H352" s="164"/>
      <c r="J352" s="164"/>
      <c r="K352" s="164"/>
      <c r="L352" s="164"/>
      <c r="M352" s="164"/>
      <c r="N352" s="164"/>
      <c r="O352" s="164"/>
      <c r="P352" s="164"/>
      <c r="Q352" s="164"/>
      <c r="R352" s="164"/>
      <c r="U352" s="164"/>
      <c r="V352" s="164"/>
      <c r="W352" s="164"/>
      <c r="X352" s="164"/>
      <c r="Y352" s="164"/>
      <c r="AC352" s="164"/>
      <c r="AD352" s="164"/>
      <c r="AI352" s="164"/>
      <c r="AJ352" s="164"/>
      <c r="AK352" s="164"/>
      <c r="AQ352" s="164"/>
      <c r="AR352" s="164"/>
      <c r="AS352" s="164"/>
      <c r="BE352" s="164"/>
      <c r="BF352" s="164"/>
      <c r="BJ352" s="46"/>
      <c r="BK352" s="46"/>
      <c r="BL352" s="173"/>
    </row>
    <row r="353" ht="15.75" customHeight="1" spans="3:64" x14ac:dyDescent="0.25">
      <c r="C353" s="164"/>
      <c r="F353" s="164"/>
      <c r="G353" s="164"/>
      <c r="H353" s="164"/>
      <c r="J353" s="164"/>
      <c r="K353" s="164"/>
      <c r="L353" s="164"/>
      <c r="M353" s="164"/>
      <c r="N353" s="164"/>
      <c r="O353" s="164"/>
      <c r="P353" s="164"/>
      <c r="Q353" s="164"/>
      <c r="R353" s="164"/>
      <c r="U353" s="164"/>
      <c r="V353" s="164"/>
      <c r="W353" s="164"/>
      <c r="X353" s="164"/>
      <c r="Y353" s="164"/>
      <c r="AC353" s="164"/>
      <c r="AD353" s="164"/>
      <c r="AI353" s="164"/>
      <c r="AJ353" s="164"/>
      <c r="AK353" s="164"/>
      <c r="AQ353" s="164"/>
      <c r="AR353" s="164"/>
      <c r="AS353" s="164"/>
      <c r="BE353" s="164"/>
      <c r="BF353" s="164"/>
      <c r="BJ353" s="46"/>
      <c r="BK353" s="46"/>
      <c r="BL353" s="173"/>
    </row>
    <row r="354" ht="15.75" customHeight="1" spans="3:64" x14ac:dyDescent="0.25">
      <c r="C354" s="164"/>
      <c r="F354" s="164"/>
      <c r="G354" s="164"/>
      <c r="H354" s="164"/>
      <c r="J354" s="164"/>
      <c r="K354" s="164"/>
      <c r="L354" s="164"/>
      <c r="M354" s="164"/>
      <c r="N354" s="164"/>
      <c r="O354" s="164"/>
      <c r="P354" s="164"/>
      <c r="Q354" s="164"/>
      <c r="R354" s="164"/>
      <c r="U354" s="164"/>
      <c r="V354" s="164"/>
      <c r="W354" s="164"/>
      <c r="X354" s="164"/>
      <c r="Y354" s="164"/>
      <c r="AC354" s="164"/>
      <c r="AD354" s="164"/>
      <c r="AI354" s="164"/>
      <c r="AJ354" s="164"/>
      <c r="AK354" s="164"/>
      <c r="AQ354" s="164"/>
      <c r="AR354" s="164"/>
      <c r="AS354" s="164"/>
      <c r="BE354" s="164"/>
      <c r="BF354" s="164"/>
      <c r="BJ354" s="46"/>
      <c r="BK354" s="46"/>
      <c r="BL354" s="173"/>
    </row>
    <row r="355" ht="15.75" customHeight="1" spans="3:64" x14ac:dyDescent="0.25">
      <c r="C355" s="164"/>
      <c r="F355" s="164"/>
      <c r="G355" s="164"/>
      <c r="H355" s="164"/>
      <c r="J355" s="164"/>
      <c r="K355" s="164"/>
      <c r="L355" s="164"/>
      <c r="M355" s="164"/>
      <c r="N355" s="164"/>
      <c r="O355" s="164"/>
      <c r="P355" s="164"/>
      <c r="Q355" s="164"/>
      <c r="R355" s="164"/>
      <c r="U355" s="164"/>
      <c r="V355" s="164"/>
      <c r="W355" s="164"/>
      <c r="X355" s="164"/>
      <c r="Y355" s="164"/>
      <c r="AC355" s="164"/>
      <c r="AD355" s="164"/>
      <c r="AI355" s="164"/>
      <c r="AJ355" s="164"/>
      <c r="AK355" s="164"/>
      <c r="AQ355" s="164"/>
      <c r="AR355" s="164"/>
      <c r="AS355" s="164"/>
      <c r="BE355" s="164"/>
      <c r="BF355" s="164"/>
      <c r="BJ355" s="46"/>
      <c r="BK355" s="46"/>
      <c r="BL355" s="173"/>
    </row>
    <row r="356" ht="15.75" customHeight="1" spans="3:64" x14ac:dyDescent="0.25">
      <c r="C356" s="164"/>
      <c r="F356" s="164"/>
      <c r="G356" s="164"/>
      <c r="H356" s="164"/>
      <c r="J356" s="164"/>
      <c r="K356" s="164"/>
      <c r="L356" s="164"/>
      <c r="M356" s="164"/>
      <c r="N356" s="164"/>
      <c r="O356" s="164"/>
      <c r="P356" s="164"/>
      <c r="Q356" s="164"/>
      <c r="R356" s="164"/>
      <c r="U356" s="164"/>
      <c r="V356" s="164"/>
      <c r="W356" s="164"/>
      <c r="X356" s="164"/>
      <c r="Y356" s="164"/>
      <c r="AC356" s="164"/>
      <c r="AD356" s="164"/>
      <c r="AI356" s="164"/>
      <c r="AJ356" s="164"/>
      <c r="AK356" s="164"/>
      <c r="AQ356" s="164"/>
      <c r="AR356" s="164"/>
      <c r="AS356" s="164"/>
      <c r="BE356" s="164"/>
      <c r="BF356" s="164"/>
      <c r="BJ356" s="46"/>
      <c r="BK356" s="46"/>
      <c r="BL356" s="173"/>
    </row>
    <row r="357" ht="15.75" customHeight="1" spans="3:64" x14ac:dyDescent="0.25">
      <c r="C357" s="164"/>
      <c r="F357" s="164"/>
      <c r="G357" s="164"/>
      <c r="H357" s="164"/>
      <c r="J357" s="164"/>
      <c r="K357" s="164"/>
      <c r="L357" s="164"/>
      <c r="M357" s="164"/>
      <c r="N357" s="164"/>
      <c r="O357" s="164"/>
      <c r="P357" s="164"/>
      <c r="Q357" s="164"/>
      <c r="R357" s="164"/>
      <c r="U357" s="164"/>
      <c r="V357" s="164"/>
      <c r="W357" s="164"/>
      <c r="X357" s="164"/>
      <c r="Y357" s="164"/>
      <c r="AC357" s="164"/>
      <c r="AD357" s="164"/>
      <c r="AI357" s="164"/>
      <c r="AJ357" s="164"/>
      <c r="AK357" s="164"/>
      <c r="AQ357" s="164"/>
      <c r="AR357" s="164"/>
      <c r="AS357" s="164"/>
      <c r="BE357" s="164"/>
      <c r="BF357" s="164"/>
      <c r="BJ357" s="46"/>
      <c r="BK357" s="46"/>
      <c r="BL357" s="173"/>
    </row>
    <row r="358" ht="15.75" customHeight="1" spans="3:64" x14ac:dyDescent="0.25">
      <c r="C358" s="164"/>
      <c r="F358" s="164"/>
      <c r="G358" s="164"/>
      <c r="H358" s="164"/>
      <c r="J358" s="164"/>
      <c r="K358" s="164"/>
      <c r="L358" s="164"/>
      <c r="M358" s="164"/>
      <c r="N358" s="164"/>
      <c r="O358" s="164"/>
      <c r="P358" s="164"/>
      <c r="Q358" s="164"/>
      <c r="R358" s="164"/>
      <c r="U358" s="164"/>
      <c r="V358" s="164"/>
      <c r="W358" s="164"/>
      <c r="X358" s="164"/>
      <c r="Y358" s="164"/>
      <c r="AC358" s="164"/>
      <c r="AD358" s="164"/>
      <c r="AI358" s="164"/>
      <c r="AJ358" s="164"/>
      <c r="AK358" s="164"/>
      <c r="AQ358" s="164"/>
      <c r="AR358" s="164"/>
      <c r="AS358" s="164"/>
      <c r="BE358" s="164"/>
      <c r="BF358" s="164"/>
      <c r="BJ358" s="46"/>
      <c r="BK358" s="46"/>
      <c r="BL358" s="173"/>
    </row>
    <row r="359" ht="15.75" customHeight="1" spans="3:64" x14ac:dyDescent="0.25">
      <c r="C359" s="164"/>
      <c r="F359" s="164"/>
      <c r="G359" s="164"/>
      <c r="H359" s="164"/>
      <c r="J359" s="164"/>
      <c r="K359" s="164"/>
      <c r="L359" s="164"/>
      <c r="M359" s="164"/>
      <c r="N359" s="164"/>
      <c r="O359" s="164"/>
      <c r="P359" s="164"/>
      <c r="Q359" s="164"/>
      <c r="R359" s="164"/>
      <c r="U359" s="164"/>
      <c r="V359" s="164"/>
      <c r="W359" s="164"/>
      <c r="X359" s="164"/>
      <c r="Y359" s="164"/>
      <c r="AC359" s="164"/>
      <c r="AD359" s="164"/>
      <c r="AI359" s="164"/>
      <c r="AJ359" s="164"/>
      <c r="AK359" s="164"/>
      <c r="AQ359" s="164"/>
      <c r="AR359" s="164"/>
      <c r="AS359" s="164"/>
      <c r="BE359" s="164"/>
      <c r="BF359" s="164"/>
      <c r="BJ359" s="46"/>
      <c r="BK359" s="46"/>
      <c r="BL359" s="173"/>
    </row>
    <row r="360" ht="15.75" customHeight="1" spans="3:64" x14ac:dyDescent="0.25">
      <c r="C360" s="164"/>
      <c r="F360" s="164"/>
      <c r="G360" s="164"/>
      <c r="H360" s="164"/>
      <c r="J360" s="164"/>
      <c r="K360" s="164"/>
      <c r="L360" s="164"/>
      <c r="M360" s="164"/>
      <c r="N360" s="164"/>
      <c r="O360" s="164"/>
      <c r="P360" s="164"/>
      <c r="Q360" s="164"/>
      <c r="R360" s="164"/>
      <c r="U360" s="164"/>
      <c r="V360" s="164"/>
      <c r="W360" s="164"/>
      <c r="X360" s="164"/>
      <c r="Y360" s="164"/>
      <c r="AC360" s="164"/>
      <c r="AD360" s="164"/>
      <c r="AI360" s="164"/>
      <c r="AJ360" s="164"/>
      <c r="AK360" s="164"/>
      <c r="AQ360" s="164"/>
      <c r="AR360" s="164"/>
      <c r="AS360" s="164"/>
      <c r="BE360" s="164"/>
      <c r="BF360" s="164"/>
      <c r="BJ360" s="46"/>
      <c r="BK360" s="46"/>
      <c r="BL360" s="173"/>
    </row>
    <row r="361" ht="15.75" customHeight="1" spans="3:64" x14ac:dyDescent="0.25">
      <c r="C361" s="164"/>
      <c r="F361" s="164"/>
      <c r="G361" s="164"/>
      <c r="H361" s="164"/>
      <c r="J361" s="164"/>
      <c r="K361" s="164"/>
      <c r="L361" s="164"/>
      <c r="M361" s="164"/>
      <c r="N361" s="164"/>
      <c r="O361" s="164"/>
      <c r="P361" s="164"/>
      <c r="Q361" s="164"/>
      <c r="R361" s="164"/>
      <c r="U361" s="164"/>
      <c r="V361" s="164"/>
      <c r="W361" s="164"/>
      <c r="X361" s="164"/>
      <c r="Y361" s="164"/>
      <c r="AC361" s="164"/>
      <c r="AD361" s="164"/>
      <c r="AI361" s="164"/>
      <c r="AJ361" s="164"/>
      <c r="AK361" s="164"/>
      <c r="AQ361" s="164"/>
      <c r="AR361" s="164"/>
      <c r="AS361" s="164"/>
      <c r="BE361" s="164"/>
      <c r="BF361" s="164"/>
      <c r="BJ361" s="46"/>
      <c r="BK361" s="46"/>
      <c r="BL361" s="173"/>
    </row>
    <row r="362" ht="15.75" customHeight="1" spans="3:64" x14ac:dyDescent="0.25">
      <c r="C362" s="164"/>
      <c r="F362" s="164"/>
      <c r="G362" s="164"/>
      <c r="H362" s="164"/>
      <c r="J362" s="164"/>
      <c r="K362" s="164"/>
      <c r="L362" s="164"/>
      <c r="M362" s="164"/>
      <c r="N362" s="164"/>
      <c r="O362" s="164"/>
      <c r="P362" s="164"/>
      <c r="Q362" s="164"/>
      <c r="R362" s="164"/>
      <c r="U362" s="164"/>
      <c r="V362" s="164"/>
      <c r="W362" s="164"/>
      <c r="X362" s="164"/>
      <c r="Y362" s="164"/>
      <c r="AC362" s="164"/>
      <c r="AD362" s="164"/>
      <c r="AI362" s="164"/>
      <c r="AJ362" s="164"/>
      <c r="AK362" s="164"/>
      <c r="AQ362" s="164"/>
      <c r="AR362" s="164"/>
      <c r="AS362" s="164"/>
      <c r="BE362" s="164"/>
      <c r="BF362" s="164"/>
      <c r="BJ362" s="46"/>
      <c r="BK362" s="46"/>
      <c r="BL362" s="173"/>
    </row>
    <row r="363" ht="15.75" customHeight="1" spans="3:64" x14ac:dyDescent="0.25">
      <c r="C363" s="164"/>
      <c r="F363" s="164"/>
      <c r="G363" s="164"/>
      <c r="H363" s="164"/>
      <c r="J363" s="164"/>
      <c r="K363" s="164"/>
      <c r="L363" s="164"/>
      <c r="M363" s="164"/>
      <c r="N363" s="164"/>
      <c r="O363" s="164"/>
      <c r="P363" s="164"/>
      <c r="Q363" s="164"/>
      <c r="R363" s="164"/>
      <c r="U363" s="164"/>
      <c r="V363" s="164"/>
      <c r="W363" s="164"/>
      <c r="X363" s="164"/>
      <c r="Y363" s="164"/>
      <c r="AC363" s="164"/>
      <c r="AD363" s="164"/>
      <c r="AI363" s="164"/>
      <c r="AJ363" s="164"/>
      <c r="AK363" s="164"/>
      <c r="AQ363" s="164"/>
      <c r="AR363" s="164"/>
      <c r="AS363" s="164"/>
      <c r="BE363" s="164"/>
      <c r="BF363" s="164"/>
      <c r="BJ363" s="46"/>
      <c r="BK363" s="46"/>
      <c r="BL363" s="173"/>
    </row>
    <row r="364" ht="15.75" customHeight="1" spans="3:64" x14ac:dyDescent="0.25">
      <c r="C364" s="164"/>
      <c r="F364" s="164"/>
      <c r="G364" s="164"/>
      <c r="H364" s="164"/>
      <c r="J364" s="164"/>
      <c r="K364" s="164"/>
      <c r="L364" s="164"/>
      <c r="M364" s="164"/>
      <c r="N364" s="164"/>
      <c r="O364" s="164"/>
      <c r="P364" s="164"/>
      <c r="Q364" s="164"/>
      <c r="R364" s="164"/>
      <c r="U364" s="164"/>
      <c r="V364" s="164"/>
      <c r="W364" s="164"/>
      <c r="X364" s="164"/>
      <c r="Y364" s="164"/>
      <c r="AC364" s="164"/>
      <c r="AD364" s="164"/>
      <c r="AI364" s="164"/>
      <c r="AJ364" s="164"/>
      <c r="AK364" s="164"/>
      <c r="AQ364" s="164"/>
      <c r="AR364" s="164"/>
      <c r="AS364" s="164"/>
      <c r="BE364" s="164"/>
      <c r="BF364" s="164"/>
      <c r="BJ364" s="46"/>
      <c r="BK364" s="46"/>
      <c r="BL364" s="173"/>
    </row>
    <row r="365" ht="15.75" customHeight="1" spans="3:64" x14ac:dyDescent="0.25">
      <c r="C365" s="164"/>
      <c r="F365" s="164"/>
      <c r="G365" s="164"/>
      <c r="H365" s="164"/>
      <c r="J365" s="164"/>
      <c r="K365" s="164"/>
      <c r="L365" s="164"/>
      <c r="M365" s="164"/>
      <c r="N365" s="164"/>
      <c r="O365" s="164"/>
      <c r="P365" s="164"/>
      <c r="Q365" s="164"/>
      <c r="R365" s="164"/>
      <c r="U365" s="164"/>
      <c r="V365" s="164"/>
      <c r="W365" s="164"/>
      <c r="X365" s="164"/>
      <c r="Y365" s="164"/>
      <c r="AC365" s="164"/>
      <c r="AD365" s="164"/>
      <c r="AI365" s="164"/>
      <c r="AJ365" s="164"/>
      <c r="AK365" s="164"/>
      <c r="AQ365" s="164"/>
      <c r="AR365" s="164"/>
      <c r="AS365" s="164"/>
      <c r="BE365" s="164"/>
      <c r="BF365" s="164"/>
      <c r="BJ365" s="46"/>
      <c r="BK365" s="46"/>
      <c r="BL365" s="173"/>
    </row>
    <row r="366" ht="15.75" customHeight="1" spans="3:64" x14ac:dyDescent="0.25">
      <c r="C366" s="164"/>
      <c r="F366" s="164"/>
      <c r="G366" s="164"/>
      <c r="H366" s="164"/>
      <c r="J366" s="164"/>
      <c r="K366" s="164"/>
      <c r="L366" s="164"/>
      <c r="M366" s="164"/>
      <c r="N366" s="164"/>
      <c r="O366" s="164"/>
      <c r="P366" s="164"/>
      <c r="Q366" s="164"/>
      <c r="R366" s="164"/>
      <c r="U366" s="164"/>
      <c r="V366" s="164"/>
      <c r="W366" s="164"/>
      <c r="X366" s="164"/>
      <c r="Y366" s="164"/>
      <c r="AC366" s="164"/>
      <c r="AD366" s="164"/>
      <c r="AI366" s="164"/>
      <c r="AJ366" s="164"/>
      <c r="AK366" s="164"/>
      <c r="AQ366" s="164"/>
      <c r="AR366" s="164"/>
      <c r="AS366" s="164"/>
      <c r="BE366" s="164"/>
      <c r="BF366" s="164"/>
      <c r="BJ366" s="46"/>
      <c r="BK366" s="46"/>
      <c r="BL366" s="173"/>
    </row>
    <row r="367" ht="15.75" customHeight="1" spans="3:64" x14ac:dyDescent="0.25">
      <c r="C367" s="164"/>
      <c r="F367" s="164"/>
      <c r="G367" s="164"/>
      <c r="H367" s="164"/>
      <c r="J367" s="164"/>
      <c r="K367" s="164"/>
      <c r="L367" s="164"/>
      <c r="M367" s="164"/>
      <c r="N367" s="164"/>
      <c r="O367" s="164"/>
      <c r="P367" s="164"/>
      <c r="Q367" s="164"/>
      <c r="R367" s="164"/>
      <c r="U367" s="164"/>
      <c r="V367" s="164"/>
      <c r="W367" s="164"/>
      <c r="X367" s="164"/>
      <c r="Y367" s="164"/>
      <c r="AC367" s="164"/>
      <c r="AD367" s="164"/>
      <c r="AI367" s="164"/>
      <c r="AJ367" s="164"/>
      <c r="AK367" s="164"/>
      <c r="AQ367" s="164"/>
      <c r="AR367" s="164"/>
      <c r="AS367" s="164"/>
      <c r="BE367" s="164"/>
      <c r="BF367" s="164"/>
      <c r="BJ367" s="46"/>
      <c r="BK367" s="46"/>
      <c r="BL367" s="173"/>
    </row>
    <row r="368" ht="15.75" customHeight="1" spans="3:64" x14ac:dyDescent="0.25">
      <c r="C368" s="164"/>
      <c r="F368" s="164"/>
      <c r="G368" s="164"/>
      <c r="H368" s="164"/>
      <c r="J368" s="164"/>
      <c r="K368" s="164"/>
      <c r="L368" s="164"/>
      <c r="M368" s="164"/>
      <c r="N368" s="164"/>
      <c r="O368" s="164"/>
      <c r="P368" s="164"/>
      <c r="Q368" s="164"/>
      <c r="R368" s="164"/>
      <c r="U368" s="164"/>
      <c r="V368" s="164"/>
      <c r="W368" s="164"/>
      <c r="X368" s="164"/>
      <c r="Y368" s="164"/>
      <c r="AC368" s="164"/>
      <c r="AD368" s="164"/>
      <c r="AI368" s="164"/>
      <c r="AJ368" s="164"/>
      <c r="AK368" s="164"/>
      <c r="AQ368" s="164"/>
      <c r="AR368" s="164"/>
      <c r="AS368" s="164"/>
      <c r="BE368" s="164"/>
      <c r="BF368" s="164"/>
      <c r="BJ368" s="46"/>
      <c r="BK368" s="46"/>
      <c r="BL368" s="173"/>
    </row>
    <row r="369" ht="15.75" customHeight="1" spans="3:64" x14ac:dyDescent="0.25">
      <c r="C369" s="164"/>
      <c r="F369" s="164"/>
      <c r="G369" s="164"/>
      <c r="H369" s="164"/>
      <c r="J369" s="164"/>
      <c r="K369" s="164"/>
      <c r="L369" s="164"/>
      <c r="M369" s="164"/>
      <c r="N369" s="164"/>
      <c r="O369" s="164"/>
      <c r="P369" s="164"/>
      <c r="Q369" s="164"/>
      <c r="R369" s="164"/>
      <c r="U369" s="164"/>
      <c r="V369" s="164"/>
      <c r="W369" s="164"/>
      <c r="X369" s="164"/>
      <c r="Y369" s="164"/>
      <c r="AC369" s="164"/>
      <c r="AD369" s="164"/>
      <c r="AI369" s="164"/>
      <c r="AJ369" s="164"/>
      <c r="AK369" s="164"/>
      <c r="AQ369" s="164"/>
      <c r="AR369" s="164"/>
      <c r="AS369" s="164"/>
      <c r="BE369" s="164"/>
      <c r="BF369" s="164"/>
      <c r="BJ369" s="46"/>
      <c r="BK369" s="46"/>
      <c r="BL369" s="173"/>
    </row>
    <row r="370" ht="15.75" customHeight="1" spans="3:64" x14ac:dyDescent="0.25">
      <c r="C370" s="164"/>
      <c r="F370" s="164"/>
      <c r="G370" s="164"/>
      <c r="H370" s="164"/>
      <c r="J370" s="164"/>
      <c r="K370" s="164"/>
      <c r="L370" s="164"/>
      <c r="M370" s="164"/>
      <c r="N370" s="164"/>
      <c r="O370" s="164"/>
      <c r="P370" s="164"/>
      <c r="Q370" s="164"/>
      <c r="R370" s="164"/>
      <c r="U370" s="164"/>
      <c r="V370" s="164"/>
      <c r="W370" s="164"/>
      <c r="X370" s="164"/>
      <c r="Y370" s="164"/>
      <c r="AC370" s="164"/>
      <c r="AD370" s="164"/>
      <c r="AI370" s="164"/>
      <c r="AJ370" s="164"/>
      <c r="AK370" s="164"/>
      <c r="AQ370" s="164"/>
      <c r="AR370" s="164"/>
      <c r="AS370" s="164"/>
      <c r="BE370" s="164"/>
      <c r="BF370" s="164"/>
      <c r="BJ370" s="46"/>
      <c r="BK370" s="46"/>
      <c r="BL370" s="173"/>
    </row>
    <row r="371" ht="15.75" customHeight="1" spans="3:64" x14ac:dyDescent="0.25">
      <c r="C371" s="164"/>
      <c r="F371" s="164"/>
      <c r="G371" s="164"/>
      <c r="H371" s="164"/>
      <c r="J371" s="164"/>
      <c r="K371" s="164"/>
      <c r="L371" s="164"/>
      <c r="M371" s="164"/>
      <c r="N371" s="164"/>
      <c r="O371" s="164"/>
      <c r="P371" s="164"/>
      <c r="Q371" s="164"/>
      <c r="R371" s="164"/>
      <c r="U371" s="164"/>
      <c r="V371" s="164"/>
      <c r="W371" s="164"/>
      <c r="X371" s="164"/>
      <c r="Y371" s="164"/>
      <c r="AC371" s="164"/>
      <c r="AD371" s="164"/>
      <c r="AI371" s="164"/>
      <c r="AJ371" s="164"/>
      <c r="AK371" s="164"/>
      <c r="AQ371" s="164"/>
      <c r="AR371" s="164"/>
      <c r="AS371" s="164"/>
      <c r="BE371" s="164"/>
      <c r="BF371" s="164"/>
      <c r="BJ371" s="46"/>
      <c r="BK371" s="46"/>
      <c r="BL371" s="173"/>
    </row>
    <row r="372" ht="15.75" customHeight="1" spans="3:64" x14ac:dyDescent="0.25">
      <c r="C372" s="164"/>
      <c r="F372" s="164"/>
      <c r="G372" s="164"/>
      <c r="H372" s="164"/>
      <c r="J372" s="164"/>
      <c r="K372" s="164"/>
      <c r="L372" s="164"/>
      <c r="M372" s="164"/>
      <c r="N372" s="164"/>
      <c r="O372" s="164"/>
      <c r="P372" s="164"/>
      <c r="Q372" s="164"/>
      <c r="R372" s="164"/>
      <c r="U372" s="164"/>
      <c r="V372" s="164"/>
      <c r="W372" s="164"/>
      <c r="X372" s="164"/>
      <c r="Y372" s="164"/>
      <c r="AC372" s="164"/>
      <c r="AD372" s="164"/>
      <c r="AI372" s="164"/>
      <c r="AJ372" s="164"/>
      <c r="AK372" s="164"/>
      <c r="AQ372" s="164"/>
      <c r="AR372" s="164"/>
      <c r="AS372" s="164"/>
      <c r="BE372" s="164"/>
      <c r="BF372" s="164"/>
      <c r="BJ372" s="46"/>
      <c r="BK372" s="46"/>
      <c r="BL372" s="173"/>
    </row>
    <row r="373" ht="15.75" customHeight="1" spans="3:64" x14ac:dyDescent="0.25">
      <c r="C373" s="164"/>
      <c r="F373" s="164"/>
      <c r="G373" s="164"/>
      <c r="H373" s="164"/>
      <c r="J373" s="164"/>
      <c r="K373" s="164"/>
      <c r="L373" s="164"/>
      <c r="M373" s="164"/>
      <c r="N373" s="164"/>
      <c r="O373" s="164"/>
      <c r="P373" s="164"/>
      <c r="Q373" s="164"/>
      <c r="R373" s="164"/>
      <c r="U373" s="164"/>
      <c r="V373" s="164"/>
      <c r="W373" s="164"/>
      <c r="X373" s="164"/>
      <c r="Y373" s="164"/>
      <c r="AC373" s="164"/>
      <c r="AD373" s="164"/>
      <c r="AI373" s="164"/>
      <c r="AJ373" s="164"/>
      <c r="AK373" s="164"/>
      <c r="AQ373" s="164"/>
      <c r="AR373" s="164"/>
      <c r="AS373" s="164"/>
      <c r="BE373" s="164"/>
      <c r="BF373" s="164"/>
      <c r="BJ373" s="46"/>
      <c r="BK373" s="46"/>
      <c r="BL373" s="173"/>
    </row>
    <row r="374" ht="15.75" customHeight="1" spans="3:64" x14ac:dyDescent="0.25">
      <c r="C374" s="164"/>
      <c r="F374" s="164"/>
      <c r="G374" s="164"/>
      <c r="H374" s="164"/>
      <c r="J374" s="164"/>
      <c r="K374" s="164"/>
      <c r="L374" s="164"/>
      <c r="M374" s="164"/>
      <c r="N374" s="164"/>
      <c r="O374" s="164"/>
      <c r="P374" s="164"/>
      <c r="Q374" s="164"/>
      <c r="R374" s="164"/>
      <c r="U374" s="164"/>
      <c r="V374" s="164"/>
      <c r="W374" s="164"/>
      <c r="X374" s="164"/>
      <c r="Y374" s="164"/>
      <c r="AC374" s="164"/>
      <c r="AD374" s="164"/>
      <c r="AI374" s="164"/>
      <c r="AJ374" s="164"/>
      <c r="AK374" s="164"/>
      <c r="AQ374" s="164"/>
      <c r="AR374" s="164"/>
      <c r="AS374" s="164"/>
      <c r="BE374" s="164"/>
      <c r="BF374" s="164"/>
      <c r="BJ374" s="46"/>
      <c r="BK374" s="46"/>
      <c r="BL374" s="173"/>
    </row>
    <row r="375" ht="15.75" customHeight="1" spans="3:64" x14ac:dyDescent="0.25">
      <c r="C375" s="164"/>
      <c r="F375" s="164"/>
      <c r="G375" s="164"/>
      <c r="H375" s="164"/>
      <c r="J375" s="164"/>
      <c r="K375" s="164"/>
      <c r="L375" s="164"/>
      <c r="M375" s="164"/>
      <c r="N375" s="164"/>
      <c r="O375" s="164"/>
      <c r="P375" s="164"/>
      <c r="Q375" s="164"/>
      <c r="R375" s="164"/>
      <c r="U375" s="164"/>
      <c r="V375" s="164"/>
      <c r="W375" s="164"/>
      <c r="X375" s="164"/>
      <c r="Y375" s="164"/>
      <c r="AC375" s="164"/>
      <c r="AD375" s="164"/>
      <c r="AI375" s="164"/>
      <c r="AJ375" s="164"/>
      <c r="AK375" s="164"/>
      <c r="AQ375" s="164"/>
      <c r="AR375" s="164"/>
      <c r="AS375" s="164"/>
      <c r="BE375" s="164"/>
      <c r="BF375" s="164"/>
      <c r="BJ375" s="46"/>
      <c r="BK375" s="46"/>
      <c r="BL375" s="173"/>
    </row>
    <row r="376" ht="15.75" customHeight="1" spans="3:64" x14ac:dyDescent="0.25">
      <c r="C376" s="164"/>
      <c r="F376" s="164"/>
      <c r="G376" s="164"/>
      <c r="H376" s="164"/>
      <c r="J376" s="164"/>
      <c r="K376" s="164"/>
      <c r="L376" s="164"/>
      <c r="M376" s="164"/>
      <c r="N376" s="164"/>
      <c r="O376" s="164"/>
      <c r="P376" s="164"/>
      <c r="Q376" s="164"/>
      <c r="R376" s="164"/>
      <c r="U376" s="164"/>
      <c r="V376" s="164"/>
      <c r="W376" s="164"/>
      <c r="X376" s="164"/>
      <c r="Y376" s="164"/>
      <c r="AC376" s="164"/>
      <c r="AD376" s="164"/>
      <c r="AI376" s="164"/>
      <c r="AJ376" s="164"/>
      <c r="AK376" s="164"/>
      <c r="AQ376" s="164"/>
      <c r="AR376" s="164"/>
      <c r="AS376" s="164"/>
      <c r="BE376" s="164"/>
      <c r="BF376" s="164"/>
      <c r="BJ376" s="46"/>
      <c r="BK376" s="46"/>
      <c r="BL376" s="173"/>
    </row>
    <row r="377" ht="15.75" customHeight="1" spans="3:64" x14ac:dyDescent="0.25">
      <c r="C377" s="164"/>
      <c r="F377" s="164"/>
      <c r="G377" s="164"/>
      <c r="H377" s="164"/>
      <c r="J377" s="164"/>
      <c r="K377" s="164"/>
      <c r="L377" s="164"/>
      <c r="M377" s="164"/>
      <c r="N377" s="164"/>
      <c r="O377" s="164"/>
      <c r="P377" s="164"/>
      <c r="Q377" s="164"/>
      <c r="R377" s="164"/>
      <c r="U377" s="164"/>
      <c r="V377" s="164"/>
      <c r="W377" s="164"/>
      <c r="X377" s="164"/>
      <c r="Y377" s="164"/>
      <c r="AC377" s="164"/>
      <c r="AD377" s="164"/>
      <c r="AI377" s="164"/>
      <c r="AJ377" s="164"/>
      <c r="AK377" s="164"/>
      <c r="AQ377" s="164"/>
      <c r="AR377" s="164"/>
      <c r="AS377" s="164"/>
      <c r="BE377" s="164"/>
      <c r="BF377" s="164"/>
      <c r="BJ377" s="46"/>
      <c r="BK377" s="46"/>
      <c r="BL377" s="173"/>
    </row>
    <row r="378" ht="15.75" customHeight="1" spans="3:64" x14ac:dyDescent="0.25">
      <c r="C378" s="164"/>
      <c r="F378" s="164"/>
      <c r="G378" s="164"/>
      <c r="H378" s="164"/>
      <c r="J378" s="164"/>
      <c r="K378" s="164"/>
      <c r="L378" s="164"/>
      <c r="M378" s="164"/>
      <c r="N378" s="164"/>
      <c r="O378" s="164"/>
      <c r="P378" s="164"/>
      <c r="Q378" s="164"/>
      <c r="R378" s="164"/>
      <c r="U378" s="164"/>
      <c r="V378" s="164"/>
      <c r="W378" s="164"/>
      <c r="X378" s="164"/>
      <c r="Y378" s="164"/>
      <c r="AC378" s="164"/>
      <c r="AD378" s="164"/>
      <c r="AI378" s="164"/>
      <c r="AJ378" s="164"/>
      <c r="AK378" s="164"/>
      <c r="AQ378" s="164"/>
      <c r="AR378" s="164"/>
      <c r="AS378" s="164"/>
      <c r="BE378" s="164"/>
      <c r="BF378" s="164"/>
      <c r="BJ378" s="46"/>
      <c r="BK378" s="46"/>
      <c r="BL378" s="173"/>
    </row>
    <row r="379" ht="15.75" customHeight="1" spans="3:64" x14ac:dyDescent="0.25">
      <c r="C379" s="164"/>
      <c r="F379" s="164"/>
      <c r="G379" s="164"/>
      <c r="H379" s="164"/>
      <c r="J379" s="164"/>
      <c r="K379" s="164"/>
      <c r="L379" s="164"/>
      <c r="M379" s="164"/>
      <c r="N379" s="164"/>
      <c r="O379" s="164"/>
      <c r="P379" s="164"/>
      <c r="Q379" s="164"/>
      <c r="R379" s="164"/>
      <c r="U379" s="164"/>
      <c r="V379" s="164"/>
      <c r="W379" s="164"/>
      <c r="X379" s="164"/>
      <c r="Y379" s="164"/>
      <c r="AC379" s="164"/>
      <c r="AD379" s="164"/>
      <c r="AI379" s="164"/>
      <c r="AJ379" s="164"/>
      <c r="AK379" s="164"/>
      <c r="AQ379" s="164"/>
      <c r="AR379" s="164"/>
      <c r="AS379" s="164"/>
      <c r="BE379" s="164"/>
      <c r="BF379" s="164"/>
      <c r="BJ379" s="46"/>
      <c r="BK379" s="46"/>
      <c r="BL379" s="173"/>
    </row>
    <row r="380" ht="15.75" customHeight="1" spans="3:64" x14ac:dyDescent="0.25">
      <c r="C380" s="164"/>
      <c r="F380" s="164"/>
      <c r="G380" s="164"/>
      <c r="H380" s="164"/>
      <c r="J380" s="164"/>
      <c r="K380" s="164"/>
      <c r="L380" s="164"/>
      <c r="M380" s="164"/>
      <c r="N380" s="164"/>
      <c r="O380" s="164"/>
      <c r="P380" s="164"/>
      <c r="Q380" s="164"/>
      <c r="R380" s="164"/>
      <c r="U380" s="164"/>
      <c r="V380" s="164"/>
      <c r="W380" s="164"/>
      <c r="X380" s="164"/>
      <c r="Y380" s="164"/>
      <c r="AC380" s="164"/>
      <c r="AD380" s="164"/>
      <c r="AI380" s="164"/>
      <c r="AJ380" s="164"/>
      <c r="AK380" s="164"/>
      <c r="AQ380" s="164"/>
      <c r="AR380" s="164"/>
      <c r="AS380" s="164"/>
      <c r="BE380" s="164"/>
      <c r="BF380" s="164"/>
      <c r="BJ380" s="46"/>
      <c r="BK380" s="46"/>
      <c r="BL380" s="173"/>
    </row>
    <row r="381" ht="15.75" customHeight="1" spans="3:64" x14ac:dyDescent="0.25">
      <c r="C381" s="164"/>
      <c r="F381" s="164"/>
      <c r="G381" s="164"/>
      <c r="H381" s="164"/>
      <c r="J381" s="164"/>
      <c r="K381" s="164"/>
      <c r="L381" s="164"/>
      <c r="M381" s="164"/>
      <c r="N381" s="164"/>
      <c r="O381" s="164"/>
      <c r="P381" s="164"/>
      <c r="Q381" s="164"/>
      <c r="R381" s="164"/>
      <c r="U381" s="164"/>
      <c r="V381" s="164"/>
      <c r="W381" s="164"/>
      <c r="X381" s="164"/>
      <c r="Y381" s="164"/>
      <c r="AC381" s="164"/>
      <c r="AD381" s="164"/>
      <c r="AI381" s="164"/>
      <c r="AJ381" s="164"/>
      <c r="AK381" s="164"/>
      <c r="AQ381" s="164"/>
      <c r="AR381" s="164"/>
      <c r="AS381" s="164"/>
      <c r="BE381" s="164"/>
      <c r="BF381" s="164"/>
      <c r="BJ381" s="46"/>
      <c r="BK381" s="46"/>
      <c r="BL381" s="173"/>
    </row>
    <row r="382" ht="15.75" customHeight="1" spans="3:64" x14ac:dyDescent="0.25">
      <c r="C382" s="164"/>
      <c r="F382" s="164"/>
      <c r="G382" s="164"/>
      <c r="H382" s="164"/>
      <c r="J382" s="164"/>
      <c r="K382" s="164"/>
      <c r="L382" s="164"/>
      <c r="M382" s="164"/>
      <c r="N382" s="164"/>
      <c r="O382" s="164"/>
      <c r="P382" s="164"/>
      <c r="Q382" s="164"/>
      <c r="R382" s="164"/>
      <c r="U382" s="164"/>
      <c r="V382" s="164"/>
      <c r="W382" s="164"/>
      <c r="X382" s="164"/>
      <c r="Y382" s="164"/>
      <c r="AC382" s="164"/>
      <c r="AD382" s="164"/>
      <c r="AI382" s="164"/>
      <c r="AJ382" s="164"/>
      <c r="AK382" s="164"/>
      <c r="AQ382" s="164"/>
      <c r="AR382" s="164"/>
      <c r="AS382" s="164"/>
      <c r="BE382" s="164"/>
      <c r="BF382" s="164"/>
      <c r="BJ382" s="46"/>
      <c r="BK382" s="46"/>
      <c r="BL382" s="173"/>
    </row>
    <row r="383" ht="15.75" customHeight="1" spans="3:64" x14ac:dyDescent="0.25">
      <c r="C383" s="164"/>
      <c r="F383" s="164"/>
      <c r="G383" s="164"/>
      <c r="H383" s="164"/>
      <c r="J383" s="164"/>
      <c r="K383" s="164"/>
      <c r="L383" s="164"/>
      <c r="M383" s="164"/>
      <c r="N383" s="164"/>
      <c r="O383" s="164"/>
      <c r="P383" s="164"/>
      <c r="Q383" s="164"/>
      <c r="R383" s="164"/>
      <c r="U383" s="164"/>
      <c r="V383" s="164"/>
      <c r="W383" s="164"/>
      <c r="X383" s="164"/>
      <c r="Y383" s="164"/>
      <c r="AC383" s="164"/>
      <c r="AD383" s="164"/>
      <c r="AI383" s="164"/>
      <c r="AJ383" s="164"/>
      <c r="AK383" s="164"/>
      <c r="AQ383" s="164"/>
      <c r="AR383" s="164"/>
      <c r="AS383" s="164"/>
      <c r="BE383" s="164"/>
      <c r="BF383" s="164"/>
      <c r="BJ383" s="46"/>
      <c r="BK383" s="46"/>
      <c r="BL383" s="173"/>
    </row>
    <row r="384" ht="15.75" customHeight="1" spans="3:64" x14ac:dyDescent="0.25">
      <c r="C384" s="164"/>
      <c r="F384" s="164"/>
      <c r="G384" s="164"/>
      <c r="H384" s="164"/>
      <c r="J384" s="164"/>
      <c r="K384" s="164"/>
      <c r="L384" s="164"/>
      <c r="M384" s="164"/>
      <c r="N384" s="164"/>
      <c r="O384" s="164"/>
      <c r="P384" s="164"/>
      <c r="Q384" s="164"/>
      <c r="R384" s="164"/>
      <c r="U384" s="164"/>
      <c r="V384" s="164"/>
      <c r="W384" s="164"/>
      <c r="X384" s="164"/>
      <c r="Y384" s="164"/>
      <c r="AC384" s="164"/>
      <c r="AD384" s="164"/>
      <c r="AI384" s="164"/>
      <c r="AJ384" s="164"/>
      <c r="AK384" s="164"/>
      <c r="AQ384" s="164"/>
      <c r="AR384" s="164"/>
      <c r="AS384" s="164"/>
      <c r="BE384" s="164"/>
      <c r="BF384" s="164"/>
      <c r="BJ384" s="46"/>
      <c r="BK384" s="46"/>
      <c r="BL384" s="173"/>
    </row>
    <row r="385" ht="15.75" customHeight="1" spans="3:64" x14ac:dyDescent="0.25">
      <c r="C385" s="164"/>
      <c r="F385" s="164"/>
      <c r="G385" s="164"/>
      <c r="H385" s="164"/>
      <c r="J385" s="164"/>
      <c r="K385" s="164"/>
      <c r="L385" s="164"/>
      <c r="M385" s="164"/>
      <c r="N385" s="164"/>
      <c r="O385" s="164"/>
      <c r="P385" s="164"/>
      <c r="Q385" s="164"/>
      <c r="R385" s="164"/>
      <c r="U385" s="164"/>
      <c r="V385" s="164"/>
      <c r="W385" s="164"/>
      <c r="X385" s="164"/>
      <c r="Y385" s="164"/>
      <c r="AC385" s="164"/>
      <c r="AD385" s="164"/>
      <c r="AI385" s="164"/>
      <c r="AJ385" s="164"/>
      <c r="AK385" s="164"/>
      <c r="AQ385" s="164"/>
      <c r="AR385" s="164"/>
      <c r="AS385" s="164"/>
      <c r="BE385" s="164"/>
      <c r="BF385" s="164"/>
      <c r="BJ385" s="46"/>
      <c r="BK385" s="46"/>
      <c r="BL385" s="173"/>
    </row>
    <row r="386" ht="15.75" customHeight="1" spans="3:64" x14ac:dyDescent="0.25">
      <c r="C386" s="164"/>
      <c r="F386" s="164"/>
      <c r="G386" s="164"/>
      <c r="H386" s="164"/>
      <c r="J386" s="164"/>
      <c r="K386" s="164"/>
      <c r="L386" s="164"/>
      <c r="M386" s="164"/>
      <c r="N386" s="164"/>
      <c r="O386" s="164"/>
      <c r="P386" s="164"/>
      <c r="Q386" s="164"/>
      <c r="R386" s="164"/>
      <c r="U386" s="164"/>
      <c r="V386" s="164"/>
      <c r="W386" s="164"/>
      <c r="X386" s="164"/>
      <c r="Y386" s="164"/>
      <c r="AC386" s="164"/>
      <c r="AD386" s="164"/>
      <c r="AI386" s="164"/>
      <c r="AJ386" s="164"/>
      <c r="AK386" s="164"/>
      <c r="AQ386" s="164"/>
      <c r="AR386" s="164"/>
      <c r="AS386" s="164"/>
      <c r="BE386" s="164"/>
      <c r="BF386" s="164"/>
      <c r="BJ386" s="46"/>
      <c r="BK386" s="46"/>
      <c r="BL386" s="173"/>
    </row>
    <row r="387" ht="15.75" customHeight="1" spans="3:64" x14ac:dyDescent="0.25">
      <c r="C387" s="164"/>
      <c r="F387" s="164"/>
      <c r="G387" s="164"/>
      <c r="H387" s="164"/>
      <c r="J387" s="164"/>
      <c r="K387" s="164"/>
      <c r="L387" s="164"/>
      <c r="M387" s="164"/>
      <c r="N387" s="164"/>
      <c r="O387" s="164"/>
      <c r="P387" s="164"/>
      <c r="Q387" s="164"/>
      <c r="R387" s="164"/>
      <c r="U387" s="164"/>
      <c r="V387" s="164"/>
      <c r="W387" s="164"/>
      <c r="X387" s="164"/>
      <c r="Y387" s="164"/>
      <c r="AC387" s="164"/>
      <c r="AD387" s="164"/>
      <c r="AI387" s="164"/>
      <c r="AJ387" s="164"/>
      <c r="AK387" s="164"/>
      <c r="AQ387" s="164"/>
      <c r="AR387" s="164"/>
      <c r="AS387" s="164"/>
      <c r="BE387" s="164"/>
      <c r="BF387" s="164"/>
      <c r="BJ387" s="46"/>
      <c r="BK387" s="46"/>
      <c r="BL387" s="173"/>
    </row>
    <row r="388" ht="15.75" customHeight="1" spans="3:64" x14ac:dyDescent="0.25">
      <c r="C388" s="164"/>
      <c r="F388" s="164"/>
      <c r="G388" s="164"/>
      <c r="H388" s="164"/>
      <c r="J388" s="164"/>
      <c r="K388" s="164"/>
      <c r="L388" s="164"/>
      <c r="M388" s="164"/>
      <c r="N388" s="164"/>
      <c r="O388" s="164"/>
      <c r="P388" s="164"/>
      <c r="Q388" s="164"/>
      <c r="R388" s="164"/>
      <c r="U388" s="164"/>
      <c r="V388" s="164"/>
      <c r="W388" s="164"/>
      <c r="X388" s="164"/>
      <c r="Y388" s="164"/>
      <c r="AC388" s="164"/>
      <c r="AD388" s="164"/>
      <c r="AI388" s="164"/>
      <c r="AJ388" s="164"/>
      <c r="AK388" s="164"/>
      <c r="AQ388" s="164"/>
      <c r="AR388" s="164"/>
      <c r="AS388" s="164"/>
      <c r="BE388" s="164"/>
      <c r="BF388" s="164"/>
      <c r="BJ388" s="46"/>
      <c r="BK388" s="46"/>
      <c r="BL388" s="173"/>
    </row>
    <row r="389" ht="15.75" customHeight="1" spans="3:64" x14ac:dyDescent="0.25">
      <c r="C389" s="164"/>
      <c r="F389" s="164"/>
      <c r="G389" s="164"/>
      <c r="H389" s="164"/>
      <c r="J389" s="164"/>
      <c r="K389" s="164"/>
      <c r="L389" s="164"/>
      <c r="M389" s="164"/>
      <c r="N389" s="164"/>
      <c r="O389" s="164"/>
      <c r="P389" s="164"/>
      <c r="Q389" s="164"/>
      <c r="R389" s="164"/>
      <c r="U389" s="164"/>
      <c r="V389" s="164"/>
      <c r="W389" s="164"/>
      <c r="X389" s="164"/>
      <c r="Y389" s="164"/>
      <c r="AC389" s="164"/>
      <c r="AD389" s="164"/>
      <c r="AI389" s="164"/>
      <c r="AJ389" s="164"/>
      <c r="AK389" s="164"/>
      <c r="AQ389" s="164"/>
      <c r="AR389" s="164"/>
      <c r="AS389" s="164"/>
      <c r="BE389" s="164"/>
      <c r="BF389" s="164"/>
      <c r="BJ389" s="46"/>
      <c r="BK389" s="46"/>
      <c r="BL389" s="173"/>
    </row>
    <row r="390" ht="15.75" customHeight="1" spans="3:64" x14ac:dyDescent="0.25">
      <c r="C390" s="164"/>
      <c r="F390" s="164"/>
      <c r="G390" s="164"/>
      <c r="H390" s="164"/>
      <c r="J390" s="164"/>
      <c r="K390" s="164"/>
      <c r="L390" s="164"/>
      <c r="M390" s="164"/>
      <c r="N390" s="164"/>
      <c r="O390" s="164"/>
      <c r="P390" s="164"/>
      <c r="Q390" s="164"/>
      <c r="R390" s="164"/>
      <c r="U390" s="164"/>
      <c r="V390" s="164"/>
      <c r="W390" s="164"/>
      <c r="X390" s="164"/>
      <c r="Y390" s="164"/>
      <c r="AC390" s="164"/>
      <c r="AD390" s="164"/>
      <c r="AI390" s="164"/>
      <c r="AJ390" s="164"/>
      <c r="AK390" s="164"/>
      <c r="AQ390" s="164"/>
      <c r="AR390" s="164"/>
      <c r="AS390" s="164"/>
      <c r="BE390" s="164"/>
      <c r="BF390" s="164"/>
      <c r="BJ390" s="46"/>
      <c r="BK390" s="46"/>
      <c r="BL390" s="173"/>
    </row>
    <row r="391" ht="15.75" customHeight="1" spans="3:64" x14ac:dyDescent="0.25">
      <c r="C391" s="164"/>
      <c r="F391" s="164"/>
      <c r="G391" s="164"/>
      <c r="H391" s="164"/>
      <c r="J391" s="164"/>
      <c r="K391" s="164"/>
      <c r="L391" s="164"/>
      <c r="M391" s="164"/>
      <c r="N391" s="164"/>
      <c r="O391" s="164"/>
      <c r="P391" s="164"/>
      <c r="Q391" s="164"/>
      <c r="R391" s="164"/>
      <c r="U391" s="164"/>
      <c r="V391" s="164"/>
      <c r="W391" s="164"/>
      <c r="X391" s="164"/>
      <c r="Y391" s="164"/>
      <c r="AC391" s="164"/>
      <c r="AD391" s="164"/>
      <c r="AI391" s="164"/>
      <c r="AJ391" s="164"/>
      <c r="AK391" s="164"/>
      <c r="AQ391" s="164"/>
      <c r="AR391" s="164"/>
      <c r="AS391" s="164"/>
      <c r="BE391" s="164"/>
      <c r="BF391" s="164"/>
      <c r="BJ391" s="46"/>
      <c r="BK391" s="46"/>
      <c r="BL391" s="173"/>
    </row>
    <row r="392" ht="15.75" customHeight="1" spans="3:64" x14ac:dyDescent="0.25">
      <c r="C392" s="164"/>
      <c r="F392" s="164"/>
      <c r="G392" s="164"/>
      <c r="H392" s="164"/>
      <c r="J392" s="164"/>
      <c r="K392" s="164"/>
      <c r="L392" s="164"/>
      <c r="M392" s="164"/>
      <c r="N392" s="164"/>
      <c r="O392" s="164"/>
      <c r="P392" s="164"/>
      <c r="Q392" s="164"/>
      <c r="R392" s="164"/>
      <c r="U392" s="164"/>
      <c r="V392" s="164"/>
      <c r="W392" s="164"/>
      <c r="X392" s="164"/>
      <c r="Y392" s="164"/>
      <c r="AC392" s="164"/>
      <c r="AD392" s="164"/>
      <c r="AI392" s="164"/>
      <c r="AJ392" s="164"/>
      <c r="AK392" s="164"/>
      <c r="AQ392" s="164"/>
      <c r="AR392" s="164"/>
      <c r="AS392" s="164"/>
      <c r="BE392" s="164"/>
      <c r="BF392" s="164"/>
      <c r="BJ392" s="46"/>
      <c r="BK392" s="46"/>
      <c r="BL392" s="173"/>
    </row>
    <row r="393" ht="15.75" customHeight="1" spans="3:64" x14ac:dyDescent="0.25">
      <c r="C393" s="164"/>
      <c r="F393" s="164"/>
      <c r="G393" s="164"/>
      <c r="H393" s="164"/>
      <c r="J393" s="164"/>
      <c r="K393" s="164"/>
      <c r="L393" s="164"/>
      <c r="M393" s="164"/>
      <c r="N393" s="164"/>
      <c r="O393" s="164"/>
      <c r="P393" s="164"/>
      <c r="Q393" s="164"/>
      <c r="R393" s="164"/>
      <c r="U393" s="164"/>
      <c r="V393" s="164"/>
      <c r="W393" s="164"/>
      <c r="X393" s="164"/>
      <c r="Y393" s="164"/>
      <c r="AC393" s="164"/>
      <c r="AD393" s="164"/>
      <c r="AI393" s="164"/>
      <c r="AJ393" s="164"/>
      <c r="AK393" s="164"/>
      <c r="AQ393" s="164"/>
      <c r="AR393" s="164"/>
      <c r="AS393" s="164"/>
      <c r="BE393" s="164"/>
      <c r="BF393" s="164"/>
      <c r="BJ393" s="46"/>
      <c r="BK393" s="46"/>
      <c r="BL393" s="173"/>
    </row>
    <row r="394" ht="15.75" customHeight="1" spans="3:64" x14ac:dyDescent="0.25">
      <c r="C394" s="164"/>
      <c r="F394" s="164"/>
      <c r="G394" s="164"/>
      <c r="H394" s="164"/>
      <c r="J394" s="164"/>
      <c r="K394" s="164"/>
      <c r="L394" s="164"/>
      <c r="M394" s="164"/>
      <c r="N394" s="164"/>
      <c r="O394" s="164"/>
      <c r="P394" s="164"/>
      <c r="Q394" s="164"/>
      <c r="R394" s="164"/>
      <c r="U394" s="164"/>
      <c r="V394" s="164"/>
      <c r="W394" s="164"/>
      <c r="X394" s="164"/>
      <c r="Y394" s="164"/>
      <c r="AC394" s="164"/>
      <c r="AD394" s="164"/>
      <c r="AI394" s="164"/>
      <c r="AJ394" s="164"/>
      <c r="AK394" s="164"/>
      <c r="AQ394" s="164"/>
      <c r="AR394" s="164"/>
      <c r="AS394" s="164"/>
      <c r="BE394" s="164"/>
      <c r="BF394" s="164"/>
      <c r="BJ394" s="46"/>
      <c r="BK394" s="46"/>
      <c r="BL394" s="173"/>
    </row>
    <row r="395" ht="15.75" customHeight="1" spans="3:64" x14ac:dyDescent="0.25">
      <c r="C395" s="164"/>
      <c r="F395" s="164"/>
      <c r="G395" s="164"/>
      <c r="H395" s="164"/>
      <c r="J395" s="164"/>
      <c r="K395" s="164"/>
      <c r="L395" s="164"/>
      <c r="M395" s="164"/>
      <c r="N395" s="164"/>
      <c r="O395" s="164"/>
      <c r="P395" s="164"/>
      <c r="Q395" s="164"/>
      <c r="R395" s="164"/>
      <c r="U395" s="164"/>
      <c r="V395" s="164"/>
      <c r="W395" s="164"/>
      <c r="X395" s="164"/>
      <c r="Y395" s="164"/>
      <c r="AC395" s="164"/>
      <c r="AD395" s="164"/>
      <c r="AI395" s="164"/>
      <c r="AJ395" s="164"/>
      <c r="AK395" s="164"/>
      <c r="AQ395" s="164"/>
      <c r="AR395" s="164"/>
      <c r="AS395" s="164"/>
      <c r="BE395" s="164"/>
      <c r="BF395" s="164"/>
      <c r="BJ395" s="46"/>
      <c r="BK395" s="46"/>
      <c r="BL395" s="173"/>
    </row>
    <row r="396" ht="15.75" customHeight="1" spans="3:64" x14ac:dyDescent="0.25">
      <c r="C396" s="164"/>
      <c r="F396" s="164"/>
      <c r="G396" s="164"/>
      <c r="H396" s="164"/>
      <c r="J396" s="164"/>
      <c r="K396" s="164"/>
      <c r="L396" s="164"/>
      <c r="M396" s="164"/>
      <c r="N396" s="164"/>
      <c r="O396" s="164"/>
      <c r="P396" s="164"/>
      <c r="Q396" s="164"/>
      <c r="R396" s="164"/>
      <c r="U396" s="164"/>
      <c r="V396" s="164"/>
      <c r="W396" s="164"/>
      <c r="X396" s="164"/>
      <c r="Y396" s="164"/>
      <c r="AC396" s="164"/>
      <c r="AD396" s="164"/>
      <c r="AI396" s="164"/>
      <c r="AJ396" s="164"/>
      <c r="AK396" s="164"/>
      <c r="AQ396" s="164"/>
      <c r="AR396" s="164"/>
      <c r="AS396" s="164"/>
      <c r="BE396" s="164"/>
      <c r="BF396" s="164"/>
      <c r="BJ396" s="46"/>
      <c r="BK396" s="46"/>
      <c r="BL396" s="173"/>
    </row>
    <row r="397" ht="15.75" customHeight="1" spans="3:64" x14ac:dyDescent="0.25">
      <c r="C397" s="164"/>
      <c r="F397" s="164"/>
      <c r="G397" s="164"/>
      <c r="H397" s="164"/>
      <c r="J397" s="164"/>
      <c r="K397" s="164"/>
      <c r="L397" s="164"/>
      <c r="M397" s="164"/>
      <c r="N397" s="164"/>
      <c r="O397" s="164"/>
      <c r="P397" s="164"/>
      <c r="Q397" s="164"/>
      <c r="R397" s="164"/>
      <c r="U397" s="164"/>
      <c r="V397" s="164"/>
      <c r="W397" s="164"/>
      <c r="X397" s="164"/>
      <c r="Y397" s="164"/>
      <c r="AC397" s="164"/>
      <c r="AD397" s="164"/>
      <c r="AI397" s="164"/>
      <c r="AJ397" s="164"/>
      <c r="AK397" s="164"/>
      <c r="AQ397" s="164"/>
      <c r="AR397" s="164"/>
      <c r="AS397" s="164"/>
      <c r="BE397" s="164"/>
      <c r="BF397" s="164"/>
      <c r="BJ397" s="46"/>
      <c r="BK397" s="46"/>
      <c r="BL397" s="173"/>
    </row>
    <row r="398" ht="15.75" customHeight="1" spans="3:64" x14ac:dyDescent="0.25">
      <c r="C398" s="164"/>
      <c r="F398" s="164"/>
      <c r="G398" s="164"/>
      <c r="H398" s="164"/>
      <c r="J398" s="164"/>
      <c r="K398" s="164"/>
      <c r="L398" s="164"/>
      <c r="M398" s="164"/>
      <c r="N398" s="164"/>
      <c r="O398" s="164"/>
      <c r="P398" s="164"/>
      <c r="Q398" s="164"/>
      <c r="R398" s="164"/>
      <c r="U398" s="164"/>
      <c r="V398" s="164"/>
      <c r="W398" s="164"/>
      <c r="X398" s="164"/>
      <c r="Y398" s="164"/>
      <c r="AC398" s="164"/>
      <c r="AD398" s="164"/>
      <c r="AI398" s="164"/>
      <c r="AJ398" s="164"/>
      <c r="AK398" s="164"/>
      <c r="AQ398" s="164"/>
      <c r="AR398" s="164"/>
      <c r="AS398" s="164"/>
      <c r="BE398" s="164"/>
      <c r="BF398" s="164"/>
      <c r="BJ398" s="46"/>
      <c r="BK398" s="46"/>
      <c r="BL398" s="173"/>
    </row>
    <row r="399" ht="15.75" customHeight="1" spans="3:64" x14ac:dyDescent="0.25">
      <c r="C399" s="164"/>
      <c r="F399" s="164"/>
      <c r="G399" s="164"/>
      <c r="H399" s="164"/>
      <c r="J399" s="164"/>
      <c r="K399" s="164"/>
      <c r="L399" s="164"/>
      <c r="M399" s="164"/>
      <c r="N399" s="164"/>
      <c r="O399" s="164"/>
      <c r="P399" s="164"/>
      <c r="Q399" s="164"/>
      <c r="R399" s="164"/>
      <c r="U399" s="164"/>
      <c r="V399" s="164"/>
      <c r="W399" s="164"/>
      <c r="X399" s="164"/>
      <c r="Y399" s="164"/>
      <c r="AC399" s="164"/>
      <c r="AD399" s="164"/>
      <c r="AI399" s="164"/>
      <c r="AJ399" s="164"/>
      <c r="AK399" s="164"/>
      <c r="AQ399" s="164"/>
      <c r="AR399" s="164"/>
      <c r="AS399" s="164"/>
      <c r="BE399" s="164"/>
      <c r="BF399" s="164"/>
      <c r="BJ399" s="46"/>
      <c r="BK399" s="46"/>
      <c r="BL399" s="173"/>
    </row>
    <row r="400" ht="15.75" customHeight="1" spans="3:64" x14ac:dyDescent="0.25">
      <c r="C400" s="164"/>
      <c r="F400" s="164"/>
      <c r="G400" s="164"/>
      <c r="H400" s="164"/>
      <c r="J400" s="164"/>
      <c r="K400" s="164"/>
      <c r="L400" s="164"/>
      <c r="M400" s="164"/>
      <c r="N400" s="164"/>
      <c r="O400" s="164"/>
      <c r="P400" s="164"/>
      <c r="Q400" s="164"/>
      <c r="R400" s="164"/>
      <c r="U400" s="164"/>
      <c r="V400" s="164"/>
      <c r="W400" s="164"/>
      <c r="X400" s="164"/>
      <c r="Y400" s="164"/>
      <c r="AC400" s="164"/>
      <c r="AD400" s="164"/>
      <c r="AI400" s="164"/>
      <c r="AJ400" s="164"/>
      <c r="AK400" s="164"/>
      <c r="AQ400" s="164"/>
      <c r="AR400" s="164"/>
      <c r="AS400" s="164"/>
      <c r="BE400" s="164"/>
      <c r="BF400" s="164"/>
      <c r="BJ400" s="46"/>
      <c r="BK400" s="46"/>
      <c r="BL400" s="173"/>
    </row>
  </sheetData>
  <mergeCells count="48">
    <mergeCell ref="D1:BA2"/>
    <mergeCell ref="BB1:BG1"/>
    <mergeCell ref="BB2:BG2"/>
    <mergeCell ref="D3:BA3"/>
    <mergeCell ref="BB3:BG3"/>
    <mergeCell ref="D4:K4"/>
    <mergeCell ref="M4:Y4"/>
    <mergeCell ref="Z4:AA4"/>
    <mergeCell ref="AB4:AD4"/>
    <mergeCell ref="AG4:AL4"/>
    <mergeCell ref="AM4:AN4"/>
    <mergeCell ref="AP4:AU4"/>
    <mergeCell ref="AV4:AW4"/>
    <mergeCell ref="BB4:BG4"/>
    <mergeCell ref="I5:R5"/>
    <mergeCell ref="S5:Y5"/>
    <mergeCell ref="AA5:AE5"/>
    <mergeCell ref="AF5:BA5"/>
    <mergeCell ref="BB5:BH5"/>
    <mergeCell ref="D6:Z6"/>
    <mergeCell ref="AA6:AH135"/>
    <mergeCell ref="A6:A12"/>
    <mergeCell ref="B6:B12"/>
    <mergeCell ref="AI8:AK8"/>
    <mergeCell ref="AL8:AN8"/>
    <mergeCell ref="AO8:AQ8"/>
    <mergeCell ref="AR8:AT8"/>
    <mergeCell ref="AU8:AW8"/>
    <mergeCell ref="AX8:AZ8"/>
    <mergeCell ref="AI9:AJ9"/>
    <mergeCell ref="AL9:AM9"/>
    <mergeCell ref="AO9:AP9"/>
    <mergeCell ref="AR9:AS9"/>
    <mergeCell ref="AU9:AV9"/>
    <mergeCell ref="AX9:AY9"/>
    <mergeCell ref="AI10:AJ10"/>
    <mergeCell ref="AL10:AM10"/>
    <mergeCell ref="AO10:AP10"/>
    <mergeCell ref="AR10:AS10"/>
    <mergeCell ref="AU10:AV10"/>
    <mergeCell ref="AX10:AY10"/>
    <mergeCell ref="C10:C12"/>
    <mergeCell ref="AI11:AJ11"/>
    <mergeCell ref="AL11:AM11"/>
    <mergeCell ref="AO11:AP11"/>
    <mergeCell ref="AR11:AS11"/>
    <mergeCell ref="AU11:AV11"/>
    <mergeCell ref="AX11:AY11"/>
  </mergeCells>
  <conditionalFormatting sqref="D136:D199">
    <cfRule type="cellIs" dxfId="2" priority="5" operator="greaterThan">
      <formula>#REF!</formula>
    </cfRule>
  </conditionalFormatting>
  <dataValidations count="1473">
    <dataValidation type="decimal" allowBlank="1" showInputMessage="1" prompt="Dear Sir/ Madam - Score entered is greater than Max. Marks allotted." showErrorMessage="1" sqref="BG136">
      <formula1>0</formula1>
      <formula2>NaN</formula2>
    </dataValidation>
    <dataValidation type="decimal" allowBlank="1" showInputMessage="1" prompt="Dear Sir/ Madam - Score entered is greater than Max. Marks allotted." showErrorMessage="1" sqref="BG137">
      <formula1>0</formula1>
      <formula2>NaN</formula2>
    </dataValidation>
    <dataValidation type="decimal" allowBlank="1" showInputMessage="1" prompt="Dear Sir/ Madam - Score entered is greater than Max. Marks allotted." showErrorMessage="1" sqref="BG138">
      <formula1>0</formula1>
      <formula2>NaN</formula2>
    </dataValidation>
    <dataValidation type="decimal" allowBlank="1" showInputMessage="1" prompt="Dear Sir/ Madam - Score entered is greater than Max. Marks allotted." showErrorMessage="1" sqref="BG139">
      <formula1>0</formula1>
      <formula2>NaN</formula2>
    </dataValidation>
    <dataValidation type="decimal" allowBlank="1" showInputMessage="1" prompt="Dear Sir/ Madam - Score entered is greater than Max. Marks allotted." showErrorMessage="1" sqref="BG140">
      <formula1>0</formula1>
      <formula2>NaN</formula2>
    </dataValidation>
    <dataValidation type="decimal" allowBlank="1" showInputMessage="1" prompt="Dear Sir/ Madam - Score entered is greater than Max. Marks allotted." showErrorMessage="1" sqref="BG141">
      <formula1>0</formula1>
      <formula2>NaN</formula2>
    </dataValidation>
    <dataValidation type="decimal" allowBlank="1" showInputMessage="1" prompt="Dear Sir/ Madam - Score entered is greater than Max. Marks allotted." showErrorMessage="1" sqref="BG142">
      <formula1>0</formula1>
      <formula2>NaN</formula2>
    </dataValidation>
    <dataValidation type="decimal" allowBlank="1" showInputMessage="1" prompt="Dear Sir/ Madam - Score entered is greater than Max. Marks allotted." showErrorMessage="1" sqref="BG143">
      <formula1>0</formula1>
      <formula2>NaN</formula2>
    </dataValidation>
    <dataValidation type="decimal" allowBlank="1" showInputMessage="1" prompt="Dear Sir/ Madam - Score entered is greater than Max. Marks allotted." showErrorMessage="1" sqref="BG144">
      <formula1>0</formula1>
      <formula2>NaN</formula2>
    </dataValidation>
    <dataValidation type="decimal" allowBlank="1" showInputMessage="1" prompt="Dear Sir/ Madam - Score entered is greater than Max. Marks allotted." showErrorMessage="1" sqref="BG145">
      <formula1>0</formula1>
      <formula2>NaN</formula2>
    </dataValidation>
    <dataValidation type="decimal" allowBlank="1" showInputMessage="1" prompt="Dear Sir/ Madam - Score entered is greater than Max. Marks allotted." showErrorMessage="1" sqref="BG146">
      <formula1>0</formula1>
      <formula2>NaN</formula2>
    </dataValidation>
    <dataValidation type="decimal" allowBlank="1" showInputMessage="1" prompt="Dear Sir/ Madam - Score entered is greater than Max. Marks allotted." showErrorMessage="1" sqref="BG147">
      <formula1>0</formula1>
      <formula2>NaN</formula2>
    </dataValidation>
    <dataValidation type="decimal" allowBlank="1" showInputMessage="1" prompt="Dear Sir/ Madam - Score entered is greater than Max. Marks allotted." showErrorMessage="1" sqref="BG148">
      <formula1>0</formula1>
      <formula2>NaN</formula2>
    </dataValidation>
    <dataValidation type="decimal" allowBlank="1" showInputMessage="1" prompt="Dear Sir/ Madam - Score entered is greater than Max. Marks allotted." showErrorMessage="1" sqref="BG149">
      <formula1>0</formula1>
      <formula2>NaN</formula2>
    </dataValidation>
    <dataValidation type="decimal" allowBlank="1" showInputMessage="1" prompt="Dear Sir/ Madam - Score entered is greater than Max. Marks allotted." showErrorMessage="1" sqref="BG150">
      <formula1>0</formula1>
      <formula2>NaN</formula2>
    </dataValidation>
    <dataValidation type="decimal" allowBlank="1" showInputMessage="1" prompt="Dear Sir/ Madam - Score entered is greater than Max. Marks allotted." showErrorMessage="1" sqref="BG151">
      <formula1>0</formula1>
      <formula2>NaN</formula2>
    </dataValidation>
    <dataValidation type="decimal" allowBlank="1" showInputMessage="1" prompt="Dear Sir/ Madam - Score entered is greater than Max. Marks allotted." showErrorMessage="1" sqref="BG152">
      <formula1>0</formula1>
      <formula2>NaN</formula2>
    </dataValidation>
    <dataValidation type="decimal" allowBlank="1" showInputMessage="1" prompt="Dear Sir/ Madam - Score entered is greater than Max. Marks allotted." showErrorMessage="1" sqref="BG153">
      <formula1>0</formula1>
      <formula2>NaN</formula2>
    </dataValidation>
    <dataValidation type="decimal" allowBlank="1" showInputMessage="1" prompt="Dear Sir/ Madam - Score entered is greater than Max. Marks allotted." showErrorMessage="1" sqref="BG154">
      <formula1>0</formula1>
      <formula2>NaN</formula2>
    </dataValidation>
    <dataValidation type="decimal" allowBlank="1" showInputMessage="1" prompt="Dear Sir/ Madam - Score entered is greater than Max. Marks allotted." showErrorMessage="1" sqref="BG155">
      <formula1>0</formula1>
      <formula2>NaN</formula2>
    </dataValidation>
    <dataValidation type="decimal" allowBlank="1" showInputMessage="1" prompt="Dear Sir/ Madam - Score entered is greater than Max. Marks allotted." showErrorMessage="1" sqref="BG156">
      <formula1>0</formula1>
      <formula2>NaN</formula2>
    </dataValidation>
    <dataValidation type="decimal" allowBlank="1" showInputMessage="1" prompt="Dear Sir/ Madam - Score entered is greater than Max. Marks allotted." showErrorMessage="1" sqref="BG157">
      <formula1>0</formula1>
      <formula2>NaN</formula2>
    </dataValidation>
    <dataValidation type="decimal" allowBlank="1" showInputMessage="1" prompt="Dear Sir/ Madam - Score entered is greater than Max. Marks allotted." showErrorMessage="1" sqref="BG158">
      <formula1>0</formula1>
      <formula2>NaN</formula2>
    </dataValidation>
    <dataValidation type="decimal" allowBlank="1" showInputMessage="1" prompt="Dear Sir/ Madam - Score entered is greater than Max. Marks allotted." showErrorMessage="1" sqref="BG159">
      <formula1>0</formula1>
      <formula2>NaN</formula2>
    </dataValidation>
    <dataValidation type="decimal" allowBlank="1" showInputMessage="1" prompt="Dear Sir/ Madam - Score entered is greater than Max. Marks allotted." showErrorMessage="1" sqref="BG160">
      <formula1>0</formula1>
      <formula2>NaN</formula2>
    </dataValidation>
    <dataValidation type="decimal" allowBlank="1" showInputMessage="1" prompt="Dear Sir/ Madam - Score entered is greater than Max. Marks allotted." showErrorMessage="1" sqref="BG161">
      <formula1>0</formula1>
      <formula2>NaN</formula2>
    </dataValidation>
    <dataValidation type="decimal" allowBlank="1" showInputMessage="1" prompt="Dear Sir/ Madam - Score entered is greater than Max. Marks allotted." showErrorMessage="1" sqref="BG162">
      <formula1>0</formula1>
      <formula2>NaN</formula2>
    </dataValidation>
    <dataValidation type="decimal" allowBlank="1" showInputMessage="1" prompt="Dear Sir/ Madam - Score entered is greater than Max. Marks allotted." showErrorMessage="1" sqref="BG163">
      <formula1>0</formula1>
      <formula2>NaN</formula2>
    </dataValidation>
    <dataValidation type="decimal" allowBlank="1" showInputMessage="1" prompt="Dear Sir/ Madam - Score entered is greater than Max. Marks allotted." showErrorMessage="1" sqref="BG164">
      <formula1>0</formula1>
      <formula2>NaN</formula2>
    </dataValidation>
    <dataValidation type="decimal" allowBlank="1" showInputMessage="1" prompt="Dear Sir/ Madam - Score entered is greater than Max. Marks allotted." showErrorMessage="1" sqref="BG165">
      <formula1>0</formula1>
      <formula2>NaN</formula2>
    </dataValidation>
    <dataValidation type="decimal" allowBlank="1" showInputMessage="1" prompt="Dear Sir/ Madam - Score entered is greater than Max. Marks allotted." showErrorMessage="1" sqref="BG166">
      <formula1>0</formula1>
      <formula2>NaN</formula2>
    </dataValidation>
    <dataValidation type="decimal" allowBlank="1" showInputMessage="1" prompt="Dear Sir/ Madam - Score entered is greater than Max. Marks allotted." showErrorMessage="1" sqref="BG167">
      <formula1>0</formula1>
      <formula2>NaN</formula2>
    </dataValidation>
    <dataValidation type="decimal" allowBlank="1" showInputMessage="1" prompt="Dear Sir/ Madam - Score entered is greater than Max. Marks allotted." showErrorMessage="1" sqref="BG168">
      <formula1>0</formula1>
      <formula2>NaN</formula2>
    </dataValidation>
    <dataValidation type="decimal" allowBlank="1" showInputMessage="1" prompt="Dear Sir/ Madam - Score entered is greater than Max. Marks allotted." showErrorMessage="1" sqref="BG169">
      <formula1>0</formula1>
      <formula2>NaN</formula2>
    </dataValidation>
    <dataValidation type="decimal" allowBlank="1" showInputMessage="1" prompt="Dear Sir/ Madam - Score entered is greater than Max. Marks allotted." showErrorMessage="1" sqref="BG170">
      <formula1>0</formula1>
      <formula2>NaN</formula2>
    </dataValidation>
    <dataValidation type="decimal" allowBlank="1" showInputMessage="1" prompt="Dear Sir/ Madam - Score entered is greater than Max. Marks allotted." showErrorMessage="1" sqref="BG171">
      <formula1>0</formula1>
      <formula2>NaN</formula2>
    </dataValidation>
    <dataValidation type="decimal" allowBlank="1" showInputMessage="1" prompt="Dear Sir/ Madam - Score entered is greater than Max. Marks allotted." showErrorMessage="1" sqref="BG172">
      <formula1>0</formula1>
      <formula2>NaN</formula2>
    </dataValidation>
    <dataValidation type="decimal" allowBlank="1" showInputMessage="1" prompt="Dear Sir/ Madam - Score entered is greater than Max. Marks allotted." showErrorMessage="1" sqref="BG173">
      <formula1>0</formula1>
      <formula2>NaN</formula2>
    </dataValidation>
    <dataValidation type="decimal" allowBlank="1" showInputMessage="1" prompt="Dear Sir/ Madam - Score entered is greater than Max. Marks allotted." showErrorMessage="1" sqref="BG174">
      <formula1>0</formula1>
      <formula2>NaN</formula2>
    </dataValidation>
    <dataValidation type="decimal" allowBlank="1" showInputMessage="1" prompt="Dear Sir/ Madam - Score entered is greater than Max. Marks allotted." showErrorMessage="1" sqref="BG175">
      <formula1>0</formula1>
      <formula2>NaN</formula2>
    </dataValidation>
    <dataValidation type="decimal" allowBlank="1" showInputMessage="1" prompt="Dear Sir/ Madam - Score entered is greater than Max. Marks allotted." showErrorMessage="1" sqref="BG176">
      <formula1>0</formula1>
      <formula2>NaN</formula2>
    </dataValidation>
    <dataValidation type="decimal" allowBlank="1" showInputMessage="1" prompt="Dear Sir/ Madam - Score entered is greater than Max. Marks allotted." showErrorMessage="1" sqref="BG177">
      <formula1>0</formula1>
      <formula2>NaN</formula2>
    </dataValidation>
    <dataValidation type="decimal" allowBlank="1" showInputMessage="1" prompt="Dear Sir/ Madam - Score entered is greater than Max. Marks allotted." showErrorMessage="1" sqref="BG178">
      <formula1>0</formula1>
      <formula2>NaN</formula2>
    </dataValidation>
    <dataValidation type="decimal" allowBlank="1" showInputMessage="1" prompt="Dear Sir/ Madam - Score entered is greater than Max. Marks allotted." showErrorMessage="1" sqref="BG179">
      <formula1>0</formula1>
      <formula2>NaN</formula2>
    </dataValidation>
    <dataValidation type="decimal" allowBlank="1" showInputMessage="1" prompt="Dear Sir/ Madam - Score entered is greater than Max. Marks allotted." showErrorMessage="1" sqref="BG180">
      <formula1>0</formula1>
      <formula2>NaN</formula2>
    </dataValidation>
    <dataValidation type="decimal" allowBlank="1" showInputMessage="1" prompt="Dear Sir/ Madam - Score entered is greater than Max. Marks allotted." showErrorMessage="1" sqref="BG181">
      <formula1>0</formula1>
      <formula2>NaN</formula2>
    </dataValidation>
    <dataValidation type="decimal" allowBlank="1" showInputMessage="1" prompt="Dear Sir/ Madam - Score entered is greater than Max. Marks allotted." showErrorMessage="1" sqref="BG182">
      <formula1>0</formula1>
      <formula2>NaN</formula2>
    </dataValidation>
    <dataValidation type="decimal" allowBlank="1" showInputMessage="1" prompt="Dear Sir/ Madam - Score entered is greater than Max. Marks allotted." showErrorMessage="1" sqref="BG183">
      <formula1>0</formula1>
      <formula2>NaN</formula2>
    </dataValidation>
    <dataValidation type="decimal" allowBlank="1" showInputMessage="1" prompt="Dear Sir/ Madam - Score entered is greater than Max. Marks allotted." showErrorMessage="1" sqref="BG184">
      <formula1>0</formula1>
      <formula2>NaN</formula2>
    </dataValidation>
    <dataValidation type="decimal" allowBlank="1" showInputMessage="1" prompt="Dear Sir/ Madam - Score entered is greater than Max. Marks allotted." showErrorMessage="1" sqref="BG185">
      <formula1>0</formula1>
      <formula2>NaN</formula2>
    </dataValidation>
    <dataValidation type="decimal" allowBlank="1" showInputMessage="1" prompt="Dear Sir/ Madam - Score entered is greater than Max. Marks allotted." showErrorMessage="1" sqref="BG186">
      <formula1>0</formula1>
      <formula2>NaN</formula2>
    </dataValidation>
    <dataValidation type="decimal" allowBlank="1" showInputMessage="1" prompt="Dear Sir/ Madam - Score entered is greater than Max. Marks allotted." showErrorMessage="1" sqref="BG187">
      <formula1>0</formula1>
      <formula2>NaN</formula2>
    </dataValidation>
    <dataValidation type="decimal" allowBlank="1" showInputMessage="1" prompt="Dear Sir/ Madam - Score entered is greater than Max. Marks allotted." showErrorMessage="1" sqref="BG188">
      <formula1>0</formula1>
      <formula2>NaN</formula2>
    </dataValidation>
    <dataValidation type="decimal" allowBlank="1" showInputMessage="1" prompt="Dear Sir/ Madam - Score entered is greater than Max. Marks allotted." showErrorMessage="1" sqref="BG189">
      <formula1>0</formula1>
      <formula2>NaN</formula2>
    </dataValidation>
    <dataValidation type="decimal" allowBlank="1" showInputMessage="1" prompt="Dear Sir/ Madam - Score entered is greater than Max. Marks allotted." showErrorMessage="1" sqref="BG190">
      <formula1>0</formula1>
      <formula2>NaN</formula2>
    </dataValidation>
    <dataValidation type="decimal" allowBlank="1" showInputMessage="1" prompt="Dear Sir/ Madam - Score entered is greater than Max. Marks allotted." showErrorMessage="1" sqref="BG191">
      <formula1>0</formula1>
      <formula2>NaN</formula2>
    </dataValidation>
    <dataValidation type="decimal" allowBlank="1" showInputMessage="1" prompt="Dear Sir/ Madam - Score entered is greater than Max. Marks allotted." showErrorMessage="1" sqref="BG192">
      <formula1>0</formula1>
      <formula2>NaN</formula2>
    </dataValidation>
    <dataValidation type="decimal" allowBlank="1" showInputMessage="1" prompt="Dear Sir/ Madam - Score entered is greater than Max. Marks allotted." showErrorMessage="1" sqref="BG193">
      <formula1>0</formula1>
      <formula2>NaN</formula2>
    </dataValidation>
    <dataValidation type="decimal" allowBlank="1" showInputMessage="1" prompt="Dear Sir/ Madam - Score entered is greater than Max. Marks allotted." showErrorMessage="1" sqref="BG194">
      <formula1>0</formula1>
      <formula2>NaN</formula2>
    </dataValidation>
    <dataValidation type="decimal" allowBlank="1" showInputMessage="1" prompt="Dear Sir/ Madam - Score entered is greater than Max. Marks allotted." showErrorMessage="1" sqref="BG195">
      <formula1>0</formula1>
      <formula2>NaN</formula2>
    </dataValidation>
    <dataValidation type="decimal" allowBlank="1" showInputMessage="1" prompt="Dear Sir/ Madam - Score entered is greater than Max. Marks allotted." showErrorMessage="1" sqref="BG196">
      <formula1>0</formula1>
      <formula2>NaN</formula2>
    </dataValidation>
    <dataValidation type="decimal" allowBlank="1" showInputMessage="1" prompt="Dear Sir/ Madam - Score entered is greater than Max. Marks allotted." showErrorMessage="1" sqref="BG197">
      <formula1>0</formula1>
      <formula2>NaN</formula2>
    </dataValidation>
    <dataValidation type="decimal" allowBlank="1" showInputMessage="1" prompt="Dear Sir/ Madam - Score entered is greater than Max. Marks allotted." showErrorMessage="1" sqref="BG198">
      <formula1>0</formula1>
      <formula2>NaN</formula2>
    </dataValidation>
    <dataValidation type="decimal" allowBlank="1" showInputMessage="1" prompt="Dear Sir/ Madam - Score entered is greater than Max. Marks allotted." showErrorMessage="1" sqref="BG199">
      <formula1>0</formula1>
      <formula2>NaN</formula2>
    </dataValidation>
    <dataValidation type="decimal" allowBlank="1" showInputMessage="1" prompt="Dear Sir/ Madam - Score entered is greater than Max. Marks allotted." showErrorMessage="1" sqref="BG200">
      <formula1>0</formula1>
      <formula2>NaN</formula2>
    </dataValidation>
    <dataValidation type="decimal" allowBlank="1" showInputMessage="1" prompt="Dear Sir/ Madam - Score entered is greater than Max. Marks allotted." showErrorMessage="1" sqref="BH136">
      <formula1>0</formula1>
      <formula2>NaN</formula2>
    </dataValidation>
    <dataValidation type="decimal" allowBlank="1" showInputMessage="1" prompt="Dear Sir/ Madam - Score entered is greater than Max. Marks allotted." showErrorMessage="1" sqref="BH137">
      <formula1>0</formula1>
      <formula2>NaN</formula2>
    </dataValidation>
    <dataValidation type="decimal" allowBlank="1" showInputMessage="1" prompt="Dear Sir/ Madam - Score entered is greater than Max. Marks allotted." showErrorMessage="1" sqref="BH138">
      <formula1>0</formula1>
      <formula2>NaN</formula2>
    </dataValidation>
    <dataValidation type="decimal" allowBlank="1" showInputMessage="1" prompt="Dear Sir/ Madam - Score entered is greater than Max. Marks allotted." showErrorMessage="1" sqref="BH139">
      <formula1>0</formula1>
      <formula2>NaN</formula2>
    </dataValidation>
    <dataValidation type="decimal" allowBlank="1" showInputMessage="1" prompt="Dear Sir/ Madam - Score entered is greater than Max. Marks allotted." showErrorMessage="1" sqref="BH140">
      <formula1>0</formula1>
      <formula2>NaN</formula2>
    </dataValidation>
    <dataValidation type="decimal" allowBlank="1" showInputMessage="1" prompt="Dear Sir/ Madam - Score entered is greater than Max. Marks allotted." showErrorMessage="1" sqref="BH141">
      <formula1>0</formula1>
      <formula2>NaN</formula2>
    </dataValidation>
    <dataValidation type="decimal" allowBlank="1" showInputMessage="1" prompt="Dear Sir/ Madam - Score entered is greater than Max. Marks allotted." showErrorMessage="1" sqref="BH142">
      <formula1>0</formula1>
      <formula2>NaN</formula2>
    </dataValidation>
    <dataValidation type="decimal" allowBlank="1" showInputMessage="1" prompt="Dear Sir/ Madam - Score entered is greater than Max. Marks allotted." showErrorMessage="1" sqref="BH143">
      <formula1>0</formula1>
      <formula2>NaN</formula2>
    </dataValidation>
    <dataValidation type="decimal" allowBlank="1" showInputMessage="1" prompt="Dear Sir/ Madam - Score entered is greater than Max. Marks allotted." showErrorMessage="1" sqref="BH144">
      <formula1>0</formula1>
      <formula2>NaN</formula2>
    </dataValidation>
    <dataValidation type="decimal" allowBlank="1" showInputMessage="1" prompt="Dear Sir/ Madam - Score entered is greater than Max. Marks allotted." showErrorMessage="1" sqref="BH145">
      <formula1>0</formula1>
      <formula2>NaN</formula2>
    </dataValidation>
    <dataValidation type="decimal" allowBlank="1" showInputMessage="1" prompt="Dear Sir/ Madam - Score entered is greater than Max. Marks allotted." showErrorMessage="1" sqref="BH146">
      <formula1>0</formula1>
      <formula2>NaN</formula2>
    </dataValidation>
    <dataValidation type="decimal" allowBlank="1" showInputMessage="1" prompt="Dear Sir/ Madam - Score entered is greater than Max. Marks allotted." showErrorMessage="1" sqref="BH147">
      <formula1>0</formula1>
      <formula2>NaN</formula2>
    </dataValidation>
    <dataValidation type="decimal" allowBlank="1" showInputMessage="1" prompt="Dear Sir/ Madam - Score entered is greater than Max. Marks allotted." showErrorMessage="1" sqref="BH148">
      <formula1>0</formula1>
      <formula2>NaN</formula2>
    </dataValidation>
    <dataValidation type="decimal" allowBlank="1" showInputMessage="1" prompt="Dear Sir/ Madam - Score entered is greater than Max. Marks allotted." showErrorMessage="1" sqref="BH149">
      <formula1>0</formula1>
      <formula2>NaN</formula2>
    </dataValidation>
    <dataValidation type="decimal" allowBlank="1" showInputMessage="1" prompt="Dear Sir/ Madam - Score entered is greater than Max. Marks allotted." showErrorMessage="1" sqref="BH150">
      <formula1>0</formula1>
      <formula2>NaN</formula2>
    </dataValidation>
    <dataValidation type="decimal" allowBlank="1" showInputMessage="1" prompt="Dear Sir/ Madam - Score entered is greater than Max. Marks allotted." showErrorMessage="1" sqref="BH151">
      <formula1>0</formula1>
      <formula2>NaN</formula2>
    </dataValidation>
    <dataValidation type="decimal" allowBlank="1" showInputMessage="1" prompt="Dear Sir/ Madam - Score entered is greater than Max. Marks allotted." showErrorMessage="1" sqref="BH152">
      <formula1>0</formula1>
      <formula2>NaN</formula2>
    </dataValidation>
    <dataValidation type="decimal" allowBlank="1" showInputMessage="1" prompt="Dear Sir/ Madam - Score entered is greater than Max. Marks allotted." showErrorMessage="1" sqref="BH153">
      <formula1>0</formula1>
      <formula2>NaN</formula2>
    </dataValidation>
    <dataValidation type="decimal" allowBlank="1" showInputMessage="1" prompt="Dear Sir/ Madam - Score entered is greater than Max. Marks allotted." showErrorMessage="1" sqref="BH154">
      <formula1>0</formula1>
      <formula2>NaN</formula2>
    </dataValidation>
    <dataValidation type="decimal" allowBlank="1" showInputMessage="1" prompt="Dear Sir/ Madam - Score entered is greater than Max. Marks allotted." showErrorMessage="1" sqref="BH155">
      <formula1>0</formula1>
      <formula2>NaN</formula2>
    </dataValidation>
    <dataValidation type="decimal" allowBlank="1" showInputMessage="1" prompt="Dear Sir/ Madam - Score entered is greater than Max. Marks allotted." showErrorMessage="1" sqref="BH156">
      <formula1>0</formula1>
      <formula2>NaN</formula2>
    </dataValidation>
    <dataValidation type="decimal" allowBlank="1" showInputMessage="1" prompt="Dear Sir/ Madam - Score entered is greater than Max. Marks allotted." showErrorMessage="1" sqref="BH157">
      <formula1>0</formula1>
      <formula2>NaN</formula2>
    </dataValidation>
    <dataValidation type="decimal" allowBlank="1" showInputMessage="1" prompt="Dear Sir/ Madam - Score entered is greater than Max. Marks allotted." showErrorMessage="1" sqref="BH158">
      <formula1>0</formula1>
      <formula2>NaN</formula2>
    </dataValidation>
    <dataValidation type="decimal" allowBlank="1" showInputMessage="1" prompt="Dear Sir/ Madam - Score entered is greater than Max. Marks allotted." showErrorMessage="1" sqref="BH159">
      <formula1>0</formula1>
      <formula2>NaN</formula2>
    </dataValidation>
    <dataValidation type="decimal" allowBlank="1" showInputMessage="1" prompt="Dear Sir/ Madam - Score entered is greater than Max. Marks allotted." showErrorMessage="1" sqref="BH160">
      <formula1>0</formula1>
      <formula2>NaN</formula2>
    </dataValidation>
    <dataValidation type="decimal" allowBlank="1" showInputMessage="1" prompt="Dear Sir/ Madam - Score entered is greater than Max. Marks allotted." showErrorMessage="1" sqref="BH161">
      <formula1>0</formula1>
      <formula2>NaN</formula2>
    </dataValidation>
    <dataValidation type="decimal" allowBlank="1" showInputMessage="1" prompt="Dear Sir/ Madam - Score entered is greater than Max. Marks allotted." showErrorMessage="1" sqref="BH162">
      <formula1>0</formula1>
      <formula2>NaN</formula2>
    </dataValidation>
    <dataValidation type="decimal" allowBlank="1" showInputMessage="1" prompt="Dear Sir/ Madam - Score entered is greater than Max. Marks allotted." showErrorMessage="1" sqref="BH163">
      <formula1>0</formula1>
      <formula2>NaN</formula2>
    </dataValidation>
    <dataValidation type="decimal" allowBlank="1" showInputMessage="1" prompt="Dear Sir/ Madam - Score entered is greater than Max. Marks allotted." showErrorMessage="1" sqref="BH164">
      <formula1>0</formula1>
      <formula2>NaN</formula2>
    </dataValidation>
    <dataValidation type="decimal" allowBlank="1" showInputMessage="1" prompt="Dear Sir/ Madam - Score entered is greater than Max. Marks allotted." showErrorMessage="1" sqref="BH165">
      <formula1>0</formula1>
      <formula2>NaN</formula2>
    </dataValidation>
    <dataValidation type="decimal" allowBlank="1" showInputMessage="1" prompt="Dear Sir/ Madam - Score entered is greater than Max. Marks allotted." showErrorMessage="1" sqref="BH166">
      <formula1>0</formula1>
      <formula2>NaN</formula2>
    </dataValidation>
    <dataValidation type="decimal" allowBlank="1" showInputMessage="1" prompt="Dear Sir/ Madam - Score entered is greater than Max. Marks allotted." showErrorMessage="1" sqref="BH167">
      <formula1>0</formula1>
      <formula2>NaN</formula2>
    </dataValidation>
    <dataValidation type="decimal" allowBlank="1" showInputMessage="1" prompt="Dear Sir/ Madam - Score entered is greater than Max. Marks allotted." showErrorMessage="1" sqref="BH168">
      <formula1>0</formula1>
      <formula2>NaN</formula2>
    </dataValidation>
    <dataValidation type="decimal" allowBlank="1" showInputMessage="1" prompt="Dear Sir/ Madam - Score entered is greater than Max. Marks allotted." showErrorMessage="1" sqref="BH169">
      <formula1>0</formula1>
      <formula2>NaN</formula2>
    </dataValidation>
    <dataValidation type="decimal" allowBlank="1" showInputMessage="1" prompt="Dear Sir/ Madam - Score entered is greater than Max. Marks allotted." showErrorMessage="1" sqref="BH170">
      <formula1>0</formula1>
      <formula2>NaN</formula2>
    </dataValidation>
    <dataValidation type="decimal" allowBlank="1" showInputMessage="1" prompt="Dear Sir/ Madam - Score entered is greater than Max. Marks allotted." showErrorMessage="1" sqref="BH171">
      <formula1>0</formula1>
      <formula2>NaN</formula2>
    </dataValidation>
    <dataValidation type="decimal" allowBlank="1" showInputMessage="1" prompt="Dear Sir/ Madam - Score entered is greater than Max. Marks allotted." showErrorMessage="1" sqref="BH172">
      <formula1>0</formula1>
      <formula2>NaN</formula2>
    </dataValidation>
    <dataValidation type="decimal" allowBlank="1" showInputMessage="1" prompt="Dear Sir/ Madam - Score entered is greater than Max. Marks allotted." showErrorMessage="1" sqref="BH173">
      <formula1>0</formula1>
      <formula2>NaN</formula2>
    </dataValidation>
    <dataValidation type="decimal" allowBlank="1" showInputMessage="1" prompt="Dear Sir/ Madam - Score entered is greater than Max. Marks allotted." showErrorMessage="1" sqref="BH174">
      <formula1>0</formula1>
      <formula2>NaN</formula2>
    </dataValidation>
    <dataValidation type="decimal" allowBlank="1" showInputMessage="1" prompt="Dear Sir/ Madam - Score entered is greater than Max. Marks allotted." showErrorMessage="1" sqref="BH175">
      <formula1>0</formula1>
      <formula2>NaN</formula2>
    </dataValidation>
    <dataValidation type="decimal" allowBlank="1" showInputMessage="1" prompt="Dear Sir/ Madam - Score entered is greater than Max. Marks allotted." showErrorMessage="1" sqref="BH176">
      <formula1>0</formula1>
      <formula2>NaN</formula2>
    </dataValidation>
    <dataValidation type="decimal" allowBlank="1" showInputMessage="1" prompt="Dear Sir/ Madam - Score entered is greater than Max. Marks allotted." showErrorMessage="1" sqref="BH177">
      <formula1>0</formula1>
      <formula2>NaN</formula2>
    </dataValidation>
    <dataValidation type="decimal" allowBlank="1" showInputMessage="1" prompt="Dear Sir/ Madam - Score entered is greater than Max. Marks allotted." showErrorMessage="1" sqref="BH178">
      <formula1>0</formula1>
      <formula2>NaN</formula2>
    </dataValidation>
    <dataValidation type="decimal" allowBlank="1" showInputMessage="1" prompt="Dear Sir/ Madam - Score entered is greater than Max. Marks allotted." showErrorMessage="1" sqref="BH179">
      <formula1>0</formula1>
      <formula2>NaN</formula2>
    </dataValidation>
    <dataValidation type="decimal" allowBlank="1" showInputMessage="1" prompt="Dear Sir/ Madam - Score entered is greater than Max. Marks allotted." showErrorMessage="1" sqref="BH180">
      <formula1>0</formula1>
      <formula2>NaN</formula2>
    </dataValidation>
    <dataValidation type="decimal" allowBlank="1" showInputMessage="1" prompt="Dear Sir/ Madam - Score entered is greater than Max. Marks allotted." showErrorMessage="1" sqref="BH181">
      <formula1>0</formula1>
      <formula2>NaN</formula2>
    </dataValidation>
    <dataValidation type="decimal" allowBlank="1" showInputMessage="1" prompt="Dear Sir/ Madam - Score entered is greater than Max. Marks allotted." showErrorMessage="1" sqref="BH182">
      <formula1>0</formula1>
      <formula2>NaN</formula2>
    </dataValidation>
    <dataValidation type="decimal" allowBlank="1" showInputMessage="1" prompt="Dear Sir/ Madam - Score entered is greater than Max. Marks allotted." showErrorMessage="1" sqref="BH183">
      <formula1>0</formula1>
      <formula2>NaN</formula2>
    </dataValidation>
    <dataValidation type="decimal" allowBlank="1" showInputMessage="1" prompt="Dear Sir/ Madam - Score entered is greater than Max. Marks allotted." showErrorMessage="1" sqref="BH184">
      <formula1>0</formula1>
      <formula2>NaN</formula2>
    </dataValidation>
    <dataValidation type="decimal" allowBlank="1" showInputMessage="1" prompt="Dear Sir/ Madam - Score entered is greater than Max. Marks allotted." showErrorMessage="1" sqref="BH185">
      <formula1>0</formula1>
      <formula2>NaN</formula2>
    </dataValidation>
    <dataValidation type="decimal" allowBlank="1" showInputMessage="1" prompt="Dear Sir/ Madam - Score entered is greater than Max. Marks allotted." showErrorMessage="1" sqref="BH186">
      <formula1>0</formula1>
      <formula2>NaN</formula2>
    </dataValidation>
    <dataValidation type="decimal" allowBlank="1" showInputMessage="1" prompt="Dear Sir/ Madam - Score entered is greater than Max. Marks allotted." showErrorMessage="1" sqref="BH187">
      <formula1>0</formula1>
      <formula2>NaN</formula2>
    </dataValidation>
    <dataValidation type="decimal" allowBlank="1" showInputMessage="1" prompt="Dear Sir/ Madam - Score entered is greater than Max. Marks allotted." showErrorMessage="1" sqref="BH188">
      <formula1>0</formula1>
      <formula2>NaN</formula2>
    </dataValidation>
    <dataValidation type="decimal" allowBlank="1" showInputMessage="1" prompt="Dear Sir/ Madam - Score entered is greater than Max. Marks allotted." showErrorMessage="1" sqref="BH189">
      <formula1>0</formula1>
      <formula2>NaN</formula2>
    </dataValidation>
    <dataValidation type="decimal" allowBlank="1" showInputMessage="1" prompt="Dear Sir/ Madam - Score entered is greater than Max. Marks allotted." showErrorMessage="1" sqref="BH190">
      <formula1>0</formula1>
      <formula2>NaN</formula2>
    </dataValidation>
    <dataValidation type="decimal" allowBlank="1" showInputMessage="1" prompt="Dear Sir/ Madam - Score entered is greater than Max. Marks allotted." showErrorMessage="1" sqref="BH191">
      <formula1>0</formula1>
      <formula2>NaN</formula2>
    </dataValidation>
    <dataValidation type="decimal" allowBlank="1" showInputMessage="1" prompt="Dear Sir/ Madam - Score entered is greater than Max. Marks allotted." showErrorMessage="1" sqref="BH192">
      <formula1>0</formula1>
      <formula2>NaN</formula2>
    </dataValidation>
    <dataValidation type="decimal" allowBlank="1" showInputMessage="1" prompt="Dear Sir/ Madam - Score entered is greater than Max. Marks allotted." showErrorMessage="1" sqref="BH193">
      <formula1>0</formula1>
      <formula2>NaN</formula2>
    </dataValidation>
    <dataValidation type="decimal" allowBlank="1" showInputMessage="1" prompt="Dear Sir/ Madam - Score entered is greater than Max. Marks allotted." showErrorMessage="1" sqref="BH194">
      <formula1>0</formula1>
      <formula2>NaN</formula2>
    </dataValidation>
    <dataValidation type="decimal" allowBlank="1" showInputMessage="1" prompt="Dear Sir/ Madam - Score entered is greater than Max. Marks allotted." showErrorMessage="1" sqref="BH195">
      <formula1>0</formula1>
      <formula2>NaN</formula2>
    </dataValidation>
    <dataValidation type="decimal" allowBlank="1" showInputMessage="1" prompt="Dear Sir/ Madam - Score entered is greater than Max. Marks allotted." showErrorMessage="1" sqref="BH196">
      <formula1>0</formula1>
      <formula2>NaN</formula2>
    </dataValidation>
    <dataValidation type="decimal" allowBlank="1" showInputMessage="1" prompt="Dear Sir/ Madam - Score entered is greater than Max. Marks allotted." showErrorMessage="1" sqref="BH197">
      <formula1>0</formula1>
      <formula2>NaN</formula2>
    </dataValidation>
    <dataValidation type="decimal" allowBlank="1" showInputMessage="1" prompt="Dear Sir/ Madam - Score entered is greater than Max. Marks allotted." showErrorMessage="1" sqref="BH198">
      <formula1>0</formula1>
      <formula2>NaN</formula2>
    </dataValidation>
    <dataValidation type="decimal" allowBlank="1" showInputMessage="1" prompt="Dear Sir/ Madam - Score entered is greater than Max. Marks allotted." showErrorMessage="1" sqref="BH199">
      <formula1>0</formula1>
      <formula2>NaN</formula2>
    </dataValidation>
    <dataValidation type="decimal" allowBlank="1" showInputMessage="1" prompt="Dear Sir/ Madam - Score entered is greater than Max. Marks allotted." showErrorMessage="1" sqref="BH200">
      <formula1>0</formula1>
      <formula2>NaN</formula2>
    </dataValidation>
    <dataValidation type="decimal" operator="lessThanOrEqual" allowBlank="1" showInputMessage="1" showErrorMessage="1" sqref="D100">
      <formula1>NaN</formula1>
    </dataValidation>
    <dataValidation type="decimal" operator="lessThanOrEqual" allowBlank="1" showInputMessage="1" showErrorMessage="1" sqref="D101">
      <formula1>NaN</formula1>
    </dataValidation>
    <dataValidation type="decimal" operator="lessThanOrEqual" allowBlank="1" showInputMessage="1" showErrorMessage="1" sqref="D102">
      <formula1>NaN</formula1>
    </dataValidation>
    <dataValidation type="decimal" operator="lessThanOrEqual" allowBlank="1" showInputMessage="1" showErrorMessage="1" sqref="D103">
      <formula1>NaN</formula1>
    </dataValidation>
    <dataValidation type="decimal" operator="lessThanOrEqual" allowBlank="1" showInputMessage="1" showErrorMessage="1" sqref="D104">
      <formula1>NaN</formula1>
    </dataValidation>
    <dataValidation type="decimal" operator="lessThanOrEqual" allowBlank="1" showInputMessage="1" showErrorMessage="1" sqref="D105">
      <formula1>NaN</formula1>
    </dataValidation>
    <dataValidation type="decimal" operator="lessThanOrEqual" allowBlank="1" showInputMessage="1" showErrorMessage="1" sqref="D106">
      <formula1>NaN</formula1>
    </dataValidation>
    <dataValidation type="decimal" operator="lessThanOrEqual" allowBlank="1" showInputMessage="1" showErrorMessage="1" sqref="D107">
      <formula1>NaN</formula1>
    </dataValidation>
    <dataValidation type="decimal" operator="lessThanOrEqual" allowBlank="1" showInputMessage="1" showErrorMessage="1" sqref="D108">
      <formula1>NaN</formula1>
    </dataValidation>
    <dataValidation type="decimal" operator="lessThanOrEqual" allowBlank="1" showInputMessage="1" showErrorMessage="1" sqref="D109">
      <formula1>NaN</formula1>
    </dataValidation>
    <dataValidation type="decimal" operator="lessThanOrEqual" allowBlank="1" showInputMessage="1" showErrorMessage="1" sqref="D110">
      <formula1>NaN</formula1>
    </dataValidation>
    <dataValidation type="decimal" operator="lessThanOrEqual" allowBlank="1" showInputMessage="1" showErrorMessage="1" sqref="D111">
      <formula1>NaN</formula1>
    </dataValidation>
    <dataValidation type="decimal" operator="lessThanOrEqual" allowBlank="1" showInputMessage="1" showErrorMessage="1" sqref="D112">
      <formula1>NaN</formula1>
    </dataValidation>
    <dataValidation type="decimal" operator="lessThanOrEqual" allowBlank="1" showInputMessage="1" showErrorMessage="1" sqref="D113">
      <formula1>NaN</formula1>
    </dataValidation>
    <dataValidation type="decimal" operator="lessThanOrEqual" allowBlank="1" showInputMessage="1" showErrorMessage="1" sqref="D114">
      <formula1>NaN</formula1>
    </dataValidation>
    <dataValidation type="decimal" operator="lessThanOrEqual" allowBlank="1" showInputMessage="1" showErrorMessage="1" sqref="D115">
      <formula1>NaN</formula1>
    </dataValidation>
    <dataValidation type="decimal" operator="lessThanOrEqual" allowBlank="1" showInputMessage="1" showErrorMessage="1" sqref="D116">
      <formula1>NaN</formula1>
    </dataValidation>
    <dataValidation type="decimal" operator="lessThanOrEqual" allowBlank="1" showInputMessage="1" showErrorMessage="1" sqref="D117">
      <formula1>NaN</formula1>
    </dataValidation>
    <dataValidation type="decimal" operator="lessThanOrEqual" allowBlank="1" showInputMessage="1" showErrorMessage="1" sqref="D118">
      <formula1>NaN</formula1>
    </dataValidation>
    <dataValidation type="decimal" operator="lessThanOrEqual" allowBlank="1" showInputMessage="1" showErrorMessage="1" sqref="D119">
      <formula1>NaN</formula1>
    </dataValidation>
    <dataValidation type="decimal" operator="lessThanOrEqual" allowBlank="1" showInputMessage="1" showErrorMessage="1" sqref="D120">
      <formula1>NaN</formula1>
    </dataValidation>
    <dataValidation type="decimal" operator="lessThanOrEqual" allowBlank="1" showInputMessage="1" showErrorMessage="1" sqref="D121">
      <formula1>NaN</formula1>
    </dataValidation>
    <dataValidation type="decimal" operator="lessThanOrEqual" allowBlank="1" showInputMessage="1" showErrorMessage="1" sqref="D122">
      <formula1>NaN</formula1>
    </dataValidation>
    <dataValidation type="decimal" operator="lessThanOrEqual" allowBlank="1" showInputMessage="1" showErrorMessage="1" sqref="D123">
      <formula1>NaN</formula1>
    </dataValidation>
    <dataValidation type="decimal" operator="lessThanOrEqual" allowBlank="1" showInputMessage="1" showErrorMessage="1" sqref="D124">
      <formula1>NaN</formula1>
    </dataValidation>
    <dataValidation type="decimal" operator="lessThanOrEqual" allowBlank="1" showInputMessage="1" showErrorMessage="1" sqref="D125">
      <formula1>NaN</formula1>
    </dataValidation>
    <dataValidation type="decimal" operator="lessThanOrEqual" allowBlank="1" showInputMessage="1" showErrorMessage="1" sqref="D126">
      <formula1>NaN</formula1>
    </dataValidation>
    <dataValidation type="decimal" operator="lessThanOrEqual" allowBlank="1" showInputMessage="1" showErrorMessage="1" sqref="D127">
      <formula1>NaN</formula1>
    </dataValidation>
    <dataValidation type="decimal" operator="lessThanOrEqual" allowBlank="1" showInputMessage="1" showErrorMessage="1" sqref="D128">
      <formula1>NaN</formula1>
    </dataValidation>
    <dataValidation type="decimal" operator="lessThanOrEqual" allowBlank="1" showInputMessage="1" showErrorMessage="1" sqref="D129">
      <formula1>NaN</formula1>
    </dataValidation>
    <dataValidation type="decimal" operator="lessThanOrEqual" allowBlank="1" showInputMessage="1" showErrorMessage="1" sqref="D13">
      <formula1>NaN</formula1>
    </dataValidation>
    <dataValidation type="decimal" operator="lessThanOrEqual" allowBlank="1" showInputMessage="1" showErrorMessage="1" sqref="D130">
      <formula1>NaN</formula1>
    </dataValidation>
    <dataValidation type="decimal" operator="lessThanOrEqual" allowBlank="1" showInputMessage="1" showErrorMessage="1" sqref="D131">
      <formula1>NaN</formula1>
    </dataValidation>
    <dataValidation type="decimal" operator="lessThanOrEqual" allowBlank="1" showInputMessage="1" showErrorMessage="1" sqref="D132">
      <formula1>NaN</formula1>
    </dataValidation>
    <dataValidation type="decimal" operator="lessThanOrEqual" allowBlank="1" showInputMessage="1" showErrorMessage="1" sqref="D133">
      <formula1>NaN</formula1>
    </dataValidation>
    <dataValidation type="decimal" operator="lessThanOrEqual" allowBlank="1" showInputMessage="1" showErrorMessage="1" sqref="D134">
      <formula1>NaN</formula1>
    </dataValidation>
    <dataValidation type="decimal" operator="lessThanOrEqual" allowBlank="1" showInputMessage="1" showErrorMessage="1" sqref="D135">
      <formula1>NaN</formula1>
    </dataValidation>
    <dataValidation type="decimal" operator="lessThanOrEqual" allowBlank="1" showInputMessage="1" showErrorMessage="1" sqref="D14">
      <formula1>NaN</formula1>
    </dataValidation>
    <dataValidation type="decimal" operator="lessThanOrEqual" allowBlank="1" showInputMessage="1" showErrorMessage="1" sqref="D15">
      <formula1>NaN</formula1>
    </dataValidation>
    <dataValidation type="decimal" operator="lessThanOrEqual" allowBlank="1" showInputMessage="1" showErrorMessage="1" sqref="D16">
      <formula1>NaN</formula1>
    </dataValidation>
    <dataValidation type="decimal" operator="lessThanOrEqual" allowBlank="1" showInputMessage="1" showErrorMessage="1" sqref="D17">
      <formula1>NaN</formula1>
    </dataValidation>
    <dataValidation type="decimal" operator="lessThanOrEqual" allowBlank="1" showInputMessage="1" showErrorMessage="1" sqref="D18">
      <formula1>NaN</formula1>
    </dataValidation>
    <dataValidation type="decimal" operator="lessThanOrEqual" allowBlank="1" showInputMessage="1" showErrorMessage="1" sqref="D19">
      <formula1>NaN</formula1>
    </dataValidation>
    <dataValidation type="decimal" operator="lessThanOrEqual" allowBlank="1" showInputMessage="1" showErrorMessage="1" sqref="D20">
      <formula1>NaN</formula1>
    </dataValidation>
    <dataValidation type="decimal" operator="lessThanOrEqual" allowBlank="1" showInputMessage="1" showErrorMessage="1" sqref="D21">
      <formula1>NaN</formula1>
    </dataValidation>
    <dataValidation type="decimal" operator="lessThanOrEqual" allowBlank="1" showInputMessage="1" showErrorMessage="1" sqref="D22">
      <formula1>NaN</formula1>
    </dataValidation>
    <dataValidation type="decimal" operator="lessThanOrEqual" allowBlank="1" showInputMessage="1" showErrorMessage="1" sqref="D23">
      <formula1>NaN</formula1>
    </dataValidation>
    <dataValidation type="decimal" operator="lessThanOrEqual" allowBlank="1" showInputMessage="1" showErrorMessage="1" sqref="D24">
      <formula1>NaN</formula1>
    </dataValidation>
    <dataValidation type="decimal" operator="lessThanOrEqual" allowBlank="1" showInputMessage="1" showErrorMessage="1" sqref="D25">
      <formula1>NaN</formula1>
    </dataValidation>
    <dataValidation type="decimal" operator="lessThanOrEqual" allowBlank="1" showInputMessage="1" showErrorMessage="1" sqref="D26">
      <formula1>NaN</formula1>
    </dataValidation>
    <dataValidation type="decimal" operator="lessThanOrEqual" allowBlank="1" showInputMessage="1" showErrorMessage="1" sqref="D27">
      <formula1>NaN</formula1>
    </dataValidation>
    <dataValidation type="decimal" operator="lessThanOrEqual" allowBlank="1" showInputMessage="1" showErrorMessage="1" sqref="D28">
      <formula1>NaN</formula1>
    </dataValidation>
    <dataValidation type="decimal" operator="lessThanOrEqual" allowBlank="1" showInputMessage="1" showErrorMessage="1" sqref="D29">
      <formula1>NaN</formula1>
    </dataValidation>
    <dataValidation type="decimal" operator="lessThanOrEqual" allowBlank="1" showInputMessage="1" showErrorMessage="1" sqref="D30">
      <formula1>NaN</formula1>
    </dataValidation>
    <dataValidation type="decimal" operator="lessThanOrEqual" allowBlank="1" showInputMessage="1" showErrorMessage="1" sqref="D31">
      <formula1>NaN</formula1>
    </dataValidation>
    <dataValidation type="decimal" operator="lessThanOrEqual" allowBlank="1" showInputMessage="1" showErrorMessage="1" sqref="D32">
      <formula1>NaN</formula1>
    </dataValidation>
    <dataValidation type="decimal" operator="lessThanOrEqual" allowBlank="1" showInputMessage="1" showErrorMessage="1" sqref="D33">
      <formula1>NaN</formula1>
    </dataValidation>
    <dataValidation type="decimal" operator="lessThanOrEqual" allowBlank="1" showInputMessage="1" showErrorMessage="1" sqref="D34">
      <formula1>NaN</formula1>
    </dataValidation>
    <dataValidation type="decimal" operator="lessThanOrEqual" allowBlank="1" showInputMessage="1" showErrorMessage="1" sqref="D35">
      <formula1>NaN</formula1>
    </dataValidation>
    <dataValidation type="decimal" operator="lessThanOrEqual" allowBlank="1" showInputMessage="1" showErrorMessage="1" sqref="D36">
      <formula1>NaN</formula1>
    </dataValidation>
    <dataValidation type="decimal" operator="lessThanOrEqual" allowBlank="1" showInputMessage="1" showErrorMessage="1" sqref="D37">
      <formula1>NaN</formula1>
    </dataValidation>
    <dataValidation type="decimal" operator="lessThanOrEqual" allowBlank="1" showInputMessage="1" showErrorMessage="1" sqref="D38">
      <formula1>NaN</formula1>
    </dataValidation>
    <dataValidation type="decimal" operator="lessThanOrEqual" allowBlank="1" showInputMessage="1" showErrorMessage="1" sqref="D39">
      <formula1>NaN</formula1>
    </dataValidation>
    <dataValidation type="decimal" operator="lessThanOrEqual" allowBlank="1" showInputMessage="1" showErrorMessage="1" sqref="D40">
      <formula1>NaN</formula1>
    </dataValidation>
    <dataValidation type="decimal" operator="lessThanOrEqual" allowBlank="1" showInputMessage="1" showErrorMessage="1" sqref="D41">
      <formula1>NaN</formula1>
    </dataValidation>
    <dataValidation type="decimal" operator="lessThanOrEqual" allowBlank="1" showInputMessage="1" showErrorMessage="1" sqref="D42">
      <formula1>NaN</formula1>
    </dataValidation>
    <dataValidation type="decimal" operator="lessThanOrEqual" allowBlank="1" showInputMessage="1" showErrorMessage="1" sqref="D43">
      <formula1>NaN</formula1>
    </dataValidation>
    <dataValidation type="decimal" operator="lessThanOrEqual" allowBlank="1" showInputMessage="1" showErrorMessage="1" sqref="D44">
      <formula1>NaN</formula1>
    </dataValidation>
    <dataValidation type="decimal" operator="lessThanOrEqual" allowBlank="1" showInputMessage="1" showErrorMessage="1" sqref="D45">
      <formula1>NaN</formula1>
    </dataValidation>
    <dataValidation type="decimal" operator="lessThanOrEqual" allowBlank="1" showInputMessage="1" showErrorMessage="1" sqref="D46">
      <formula1>NaN</formula1>
    </dataValidation>
    <dataValidation type="decimal" operator="lessThanOrEqual" allowBlank="1" showInputMessage="1" showErrorMessage="1" sqref="D47">
      <formula1>NaN</formula1>
    </dataValidation>
    <dataValidation type="decimal" operator="lessThanOrEqual" allowBlank="1" showInputMessage="1" showErrorMessage="1" sqref="D48">
      <formula1>NaN</formula1>
    </dataValidation>
    <dataValidation type="decimal" operator="lessThanOrEqual" allowBlank="1" showInputMessage="1" showErrorMessage="1" sqref="D49">
      <formula1>NaN</formula1>
    </dataValidation>
    <dataValidation type="decimal" operator="lessThanOrEqual" allowBlank="1" showInputMessage="1" showErrorMessage="1" sqref="D50">
      <formula1>NaN</formula1>
    </dataValidation>
    <dataValidation type="decimal" operator="lessThanOrEqual" allowBlank="1" showInputMessage="1" showErrorMessage="1" sqref="D51">
      <formula1>NaN</formula1>
    </dataValidation>
    <dataValidation type="decimal" operator="lessThanOrEqual" allowBlank="1" showInputMessage="1" showErrorMessage="1" sqref="D52">
      <formula1>NaN</formula1>
    </dataValidation>
    <dataValidation type="decimal" operator="lessThanOrEqual" allowBlank="1" showInputMessage="1" showErrorMessage="1" sqref="D53">
      <formula1>NaN</formula1>
    </dataValidation>
    <dataValidation type="decimal" operator="lessThanOrEqual" allowBlank="1" showInputMessage="1" showErrorMessage="1" sqref="D54">
      <formula1>NaN</formula1>
    </dataValidation>
    <dataValidation type="decimal" operator="lessThanOrEqual" allowBlank="1" showInputMessage="1" showErrorMessage="1" sqref="D55">
      <formula1>NaN</formula1>
    </dataValidation>
    <dataValidation type="decimal" operator="lessThanOrEqual" allowBlank="1" showInputMessage="1" showErrorMessage="1" sqref="D56">
      <formula1>NaN</formula1>
    </dataValidation>
    <dataValidation type="decimal" operator="lessThanOrEqual" allowBlank="1" showInputMessage="1" showErrorMessage="1" sqref="D57">
      <formula1>NaN</formula1>
    </dataValidation>
    <dataValidation type="decimal" operator="lessThanOrEqual" allowBlank="1" showInputMessage="1" showErrorMessage="1" sqref="D58">
      <formula1>NaN</formula1>
    </dataValidation>
    <dataValidation type="decimal" operator="lessThanOrEqual" allowBlank="1" showInputMessage="1" showErrorMessage="1" sqref="D59">
      <formula1>NaN</formula1>
    </dataValidation>
    <dataValidation type="decimal" operator="lessThanOrEqual" allowBlank="1" showInputMessage="1" showErrorMessage="1" sqref="D60">
      <formula1>NaN</formula1>
    </dataValidation>
    <dataValidation type="decimal" operator="lessThanOrEqual" allowBlank="1" showInputMessage="1" showErrorMessage="1" sqref="D61">
      <formula1>NaN</formula1>
    </dataValidation>
    <dataValidation type="decimal" operator="lessThanOrEqual" allowBlank="1" showInputMessage="1" showErrorMessage="1" sqref="D62">
      <formula1>NaN</formula1>
    </dataValidation>
    <dataValidation type="decimal" operator="lessThanOrEqual" allowBlank="1" showInputMessage="1" showErrorMessage="1" sqref="D63">
      <formula1>NaN</formula1>
    </dataValidation>
    <dataValidation type="decimal" operator="lessThanOrEqual" allowBlank="1" showInputMessage="1" showErrorMessage="1" sqref="D64">
      <formula1>NaN</formula1>
    </dataValidation>
    <dataValidation type="decimal" operator="lessThanOrEqual" allowBlank="1" showInputMessage="1" showErrorMessage="1" sqref="D65">
      <formula1>NaN</formula1>
    </dataValidation>
    <dataValidation type="decimal" operator="lessThanOrEqual" allowBlank="1" showInputMessage="1" showErrorMessage="1" sqref="D66">
      <formula1>NaN</formula1>
    </dataValidation>
    <dataValidation type="decimal" operator="lessThanOrEqual" allowBlank="1" showInputMessage="1" showErrorMessage="1" sqref="D67">
      <formula1>NaN</formula1>
    </dataValidation>
    <dataValidation type="decimal" operator="lessThanOrEqual" allowBlank="1" showInputMessage="1" showErrorMessage="1" sqref="D68">
      <formula1>NaN</formula1>
    </dataValidation>
    <dataValidation type="decimal" operator="lessThanOrEqual" allowBlank="1" showInputMessage="1" showErrorMessage="1" sqref="D69">
      <formula1>NaN</formula1>
    </dataValidation>
    <dataValidation type="decimal" operator="lessThanOrEqual" allowBlank="1" showInputMessage="1" showErrorMessage="1" sqref="D70">
      <formula1>NaN</formula1>
    </dataValidation>
    <dataValidation type="decimal" operator="lessThanOrEqual" allowBlank="1" showInputMessage="1" showErrorMessage="1" sqref="D71">
      <formula1>NaN</formula1>
    </dataValidation>
    <dataValidation type="decimal" operator="lessThanOrEqual" allowBlank="1" showInputMessage="1" showErrorMessage="1" sqref="D72">
      <formula1>NaN</formula1>
    </dataValidation>
    <dataValidation type="decimal" operator="lessThanOrEqual" allowBlank="1" showInputMessage="1" showErrorMessage="1" sqref="D73">
      <formula1>NaN</formula1>
    </dataValidation>
    <dataValidation type="decimal" operator="lessThanOrEqual" allowBlank="1" showInputMessage="1" showErrorMessage="1" sqref="D74">
      <formula1>NaN</formula1>
    </dataValidation>
    <dataValidation type="decimal" operator="lessThanOrEqual" allowBlank="1" showInputMessage="1" showErrorMessage="1" sqref="D75">
      <formula1>NaN</formula1>
    </dataValidation>
    <dataValidation type="decimal" operator="lessThanOrEqual" allowBlank="1" showInputMessage="1" showErrorMessage="1" sqref="D76">
      <formula1>NaN</formula1>
    </dataValidation>
    <dataValidation type="decimal" operator="lessThanOrEqual" allowBlank="1" showInputMessage="1" showErrorMessage="1" sqref="D77">
      <formula1>NaN</formula1>
    </dataValidation>
    <dataValidation type="decimal" operator="lessThanOrEqual" allowBlank="1" showInputMessage="1" showErrorMessage="1" sqref="D78">
      <formula1>NaN</formula1>
    </dataValidation>
    <dataValidation type="decimal" operator="lessThanOrEqual" allowBlank="1" showInputMessage="1" showErrorMessage="1" sqref="D79">
      <formula1>NaN</formula1>
    </dataValidation>
    <dataValidation type="decimal" operator="lessThanOrEqual" allowBlank="1" showInputMessage="1" showErrorMessage="1" sqref="D80">
      <formula1>NaN</formula1>
    </dataValidation>
    <dataValidation type="decimal" operator="lessThanOrEqual" allowBlank="1" showInputMessage="1" showErrorMessage="1" sqref="D81">
      <formula1>NaN</formula1>
    </dataValidation>
    <dataValidation type="decimal" operator="lessThanOrEqual" allowBlank="1" showInputMessage="1" showErrorMessage="1" sqref="D82">
      <formula1>NaN</formula1>
    </dataValidation>
    <dataValidation type="decimal" operator="lessThanOrEqual" allowBlank="1" showInputMessage="1" showErrorMessage="1" sqref="D83">
      <formula1>NaN</formula1>
    </dataValidation>
    <dataValidation type="decimal" operator="lessThanOrEqual" allowBlank="1" showInputMessage="1" showErrorMessage="1" sqref="D84">
      <formula1>NaN</formula1>
    </dataValidation>
    <dataValidation type="decimal" operator="lessThanOrEqual" allowBlank="1" showInputMessage="1" showErrorMessage="1" sqref="D85">
      <formula1>NaN</formula1>
    </dataValidation>
    <dataValidation type="decimal" operator="lessThanOrEqual" allowBlank="1" showInputMessage="1" showErrorMessage="1" sqref="D86">
      <formula1>NaN</formula1>
    </dataValidation>
    <dataValidation type="decimal" operator="lessThanOrEqual" allowBlank="1" showInputMessage="1" showErrorMessage="1" sqref="D87">
      <formula1>NaN</formula1>
    </dataValidation>
    <dataValidation type="decimal" operator="lessThanOrEqual" allowBlank="1" showInputMessage="1" showErrorMessage="1" sqref="D88">
      <formula1>NaN</formula1>
    </dataValidation>
    <dataValidation type="decimal" operator="lessThanOrEqual" allowBlank="1" showInputMessage="1" showErrorMessage="1" sqref="D89">
      <formula1>NaN</formula1>
    </dataValidation>
    <dataValidation type="decimal" operator="lessThanOrEqual" allowBlank="1" showInputMessage="1" showErrorMessage="1" sqref="D90">
      <formula1>NaN</formula1>
    </dataValidation>
    <dataValidation type="decimal" operator="lessThanOrEqual" allowBlank="1" showInputMessage="1" showErrorMessage="1" sqref="D91">
      <formula1>NaN</formula1>
    </dataValidation>
    <dataValidation type="decimal" operator="lessThanOrEqual" allowBlank="1" showInputMessage="1" showErrorMessage="1" sqref="D92">
      <formula1>NaN</formula1>
    </dataValidation>
    <dataValidation type="decimal" operator="lessThanOrEqual" allowBlank="1" showInputMessage="1" showErrorMessage="1" sqref="D93">
      <formula1>NaN</formula1>
    </dataValidation>
    <dataValidation type="decimal" operator="lessThanOrEqual" allowBlank="1" showInputMessage="1" showErrorMessage="1" sqref="D94">
      <formula1>NaN</formula1>
    </dataValidation>
    <dataValidation type="decimal" operator="lessThanOrEqual" allowBlank="1" showInputMessage="1" showErrorMessage="1" sqref="D95">
      <formula1>NaN</formula1>
    </dataValidation>
    <dataValidation type="decimal" operator="lessThanOrEqual" allowBlank="1" showInputMessage="1" showErrorMessage="1" sqref="D96">
      <formula1>NaN</formula1>
    </dataValidation>
    <dataValidation type="decimal" operator="lessThanOrEqual" allowBlank="1" showInputMessage="1" showErrorMessage="1" sqref="D97">
      <formula1>NaN</formula1>
    </dataValidation>
    <dataValidation type="decimal" operator="lessThanOrEqual" allowBlank="1" showInputMessage="1" showErrorMessage="1" sqref="D98">
      <formula1>NaN</formula1>
    </dataValidation>
    <dataValidation type="decimal" operator="lessThanOrEqual" allowBlank="1" showInputMessage="1" showErrorMessage="1" sqref="D99">
      <formula1>NaN</formula1>
    </dataValidation>
    <dataValidation type="decimal" operator="lessThanOrEqual" allowBlank="1" showInputMessage="1" showErrorMessage="1" sqref="E100">
      <formula1>NaN</formula1>
    </dataValidation>
    <dataValidation type="decimal" operator="lessThanOrEqual" allowBlank="1" showInputMessage="1" showErrorMessage="1" sqref="E101">
      <formula1>NaN</formula1>
    </dataValidation>
    <dataValidation type="decimal" operator="lessThanOrEqual" allowBlank="1" showInputMessage="1" showErrorMessage="1" sqref="E102">
      <formula1>NaN</formula1>
    </dataValidation>
    <dataValidation type="decimal" operator="lessThanOrEqual" allowBlank="1" showInputMessage="1" showErrorMessage="1" sqref="E103">
      <formula1>NaN</formula1>
    </dataValidation>
    <dataValidation type="decimal" operator="lessThanOrEqual" allowBlank="1" showInputMessage="1" showErrorMessage="1" sqref="E104">
      <formula1>NaN</formula1>
    </dataValidation>
    <dataValidation type="decimal" operator="lessThanOrEqual" allowBlank="1" showInputMessage="1" showErrorMessage="1" sqref="E105">
      <formula1>NaN</formula1>
    </dataValidation>
    <dataValidation type="decimal" operator="lessThanOrEqual" allowBlank="1" showInputMessage="1" showErrorMessage="1" sqref="E106">
      <formula1>NaN</formula1>
    </dataValidation>
    <dataValidation type="decimal" operator="lessThanOrEqual" allowBlank="1" showInputMessage="1" showErrorMessage="1" sqref="E107">
      <formula1>NaN</formula1>
    </dataValidation>
    <dataValidation type="decimal" operator="lessThanOrEqual" allowBlank="1" showInputMessage="1" showErrorMessage="1" sqref="E108">
      <formula1>NaN</formula1>
    </dataValidation>
    <dataValidation type="decimal" operator="lessThanOrEqual" allowBlank="1" showInputMessage="1" showErrorMessage="1" sqref="E109">
      <formula1>NaN</formula1>
    </dataValidation>
    <dataValidation type="decimal" operator="lessThanOrEqual" allowBlank="1" showInputMessage="1" showErrorMessage="1" sqref="E110">
      <formula1>NaN</formula1>
    </dataValidation>
    <dataValidation type="decimal" operator="lessThanOrEqual" allowBlank="1" showInputMessage="1" showErrorMessage="1" sqref="E111">
      <formula1>NaN</formula1>
    </dataValidation>
    <dataValidation type="decimal" operator="lessThanOrEqual" allowBlank="1" showInputMessage="1" showErrorMessage="1" sqref="E112">
      <formula1>NaN</formula1>
    </dataValidation>
    <dataValidation type="decimal" operator="lessThanOrEqual" allowBlank="1" showInputMessage="1" showErrorMessage="1" sqref="E113">
      <formula1>NaN</formula1>
    </dataValidation>
    <dataValidation type="decimal" operator="lessThanOrEqual" allowBlank="1" showInputMessage="1" showErrorMessage="1" sqref="E114">
      <formula1>NaN</formula1>
    </dataValidation>
    <dataValidation type="decimal" operator="lessThanOrEqual" allowBlank="1" showInputMessage="1" showErrorMessage="1" sqref="E115">
      <formula1>NaN</formula1>
    </dataValidation>
    <dataValidation type="decimal" operator="lessThanOrEqual" allowBlank="1" showInputMessage="1" showErrorMessage="1" sqref="E116">
      <formula1>NaN</formula1>
    </dataValidation>
    <dataValidation type="decimal" operator="lessThanOrEqual" allowBlank="1" showInputMessage="1" showErrorMessage="1" sqref="E117">
      <formula1>NaN</formula1>
    </dataValidation>
    <dataValidation type="decimal" operator="lessThanOrEqual" allowBlank="1" showInputMessage="1" showErrorMessage="1" sqref="E118">
      <formula1>NaN</formula1>
    </dataValidation>
    <dataValidation type="decimal" operator="lessThanOrEqual" allowBlank="1" showInputMessage="1" showErrorMessage="1" sqref="E119">
      <formula1>NaN</formula1>
    </dataValidation>
    <dataValidation type="decimal" operator="lessThanOrEqual" allowBlank="1" showInputMessage="1" showErrorMessage="1" sqref="E120">
      <formula1>NaN</formula1>
    </dataValidation>
    <dataValidation type="decimal" operator="lessThanOrEqual" allowBlank="1" showInputMessage="1" showErrorMessage="1" sqref="E121">
      <formula1>NaN</formula1>
    </dataValidation>
    <dataValidation type="decimal" operator="lessThanOrEqual" allowBlank="1" showInputMessage="1" showErrorMessage="1" sqref="E122">
      <formula1>NaN</formula1>
    </dataValidation>
    <dataValidation type="decimal" operator="lessThanOrEqual" allowBlank="1" showInputMessage="1" showErrorMessage="1" sqref="E123">
      <formula1>NaN</formula1>
    </dataValidation>
    <dataValidation type="decimal" operator="lessThanOrEqual" allowBlank="1" showInputMessage="1" showErrorMessage="1" sqref="E124">
      <formula1>NaN</formula1>
    </dataValidation>
    <dataValidation type="decimal" operator="lessThanOrEqual" allowBlank="1" showInputMessage="1" showErrorMessage="1" sqref="E125">
      <formula1>NaN</formula1>
    </dataValidation>
    <dataValidation type="decimal" operator="lessThanOrEqual" allowBlank="1" showInputMessage="1" showErrorMessage="1" sqref="E126">
      <formula1>NaN</formula1>
    </dataValidation>
    <dataValidation type="decimal" operator="lessThanOrEqual" allowBlank="1" showInputMessage="1" showErrorMessage="1" sqref="E127">
      <formula1>NaN</formula1>
    </dataValidation>
    <dataValidation type="decimal" operator="lessThanOrEqual" allowBlank="1" showInputMessage="1" showErrorMessage="1" sqref="E128">
      <formula1>NaN</formula1>
    </dataValidation>
    <dataValidation type="decimal" operator="lessThanOrEqual" allowBlank="1" showInputMessage="1" showErrorMessage="1" sqref="E129">
      <formula1>NaN</formula1>
    </dataValidation>
    <dataValidation type="decimal" operator="lessThanOrEqual" allowBlank="1" showInputMessage="1" showErrorMessage="1" sqref="E13">
      <formula1>NaN</formula1>
    </dataValidation>
    <dataValidation type="decimal" operator="lessThanOrEqual" allowBlank="1" showInputMessage="1" showErrorMessage="1" sqref="E130">
      <formula1>NaN</formula1>
    </dataValidation>
    <dataValidation type="decimal" operator="lessThanOrEqual" allowBlank="1" showInputMessage="1" showErrorMessage="1" sqref="E131">
      <formula1>NaN</formula1>
    </dataValidation>
    <dataValidation type="decimal" operator="lessThanOrEqual" allowBlank="1" showInputMessage="1" showErrorMessage="1" sqref="E132">
      <formula1>NaN</formula1>
    </dataValidation>
    <dataValidation type="decimal" operator="lessThanOrEqual" allowBlank="1" showInputMessage="1" showErrorMessage="1" sqref="E133">
      <formula1>NaN</formula1>
    </dataValidation>
    <dataValidation type="decimal" operator="lessThanOrEqual" allowBlank="1" showInputMessage="1" showErrorMessage="1" sqref="E134">
      <formula1>NaN</formula1>
    </dataValidation>
    <dataValidation type="decimal" operator="lessThanOrEqual" allowBlank="1" showInputMessage="1" showErrorMessage="1" sqref="E135">
      <formula1>NaN</formula1>
    </dataValidation>
    <dataValidation type="decimal" operator="lessThanOrEqual" allowBlank="1" showInputMessage="1" showErrorMessage="1" sqref="E14">
      <formula1>NaN</formula1>
    </dataValidation>
    <dataValidation type="decimal" operator="lessThanOrEqual" allowBlank="1" showInputMessage="1" showErrorMessage="1" sqref="E15">
      <formula1>NaN</formula1>
    </dataValidation>
    <dataValidation type="decimal" operator="lessThanOrEqual" allowBlank="1" showInputMessage="1" showErrorMessage="1" sqref="E16">
      <formula1>NaN</formula1>
    </dataValidation>
    <dataValidation type="decimal" operator="lessThanOrEqual" allowBlank="1" showInputMessage="1" showErrorMessage="1" sqref="E17">
      <formula1>NaN</formula1>
    </dataValidation>
    <dataValidation type="decimal" operator="lessThanOrEqual" allowBlank="1" showInputMessage="1" showErrorMessage="1" sqref="E18">
      <formula1>NaN</formula1>
    </dataValidation>
    <dataValidation type="decimal" operator="lessThanOrEqual" allowBlank="1" showInputMessage="1" showErrorMessage="1" sqref="E19">
      <formula1>NaN</formula1>
    </dataValidation>
    <dataValidation type="decimal" operator="lessThanOrEqual" allowBlank="1" showInputMessage="1" showErrorMessage="1" sqref="E20">
      <formula1>NaN</formula1>
    </dataValidation>
    <dataValidation type="decimal" operator="lessThanOrEqual" allowBlank="1" showInputMessage="1" showErrorMessage="1" sqref="E21">
      <formula1>NaN</formula1>
    </dataValidation>
    <dataValidation type="decimal" operator="lessThanOrEqual" allowBlank="1" showInputMessage="1" showErrorMessage="1" sqref="E22">
      <formula1>NaN</formula1>
    </dataValidation>
    <dataValidation type="decimal" operator="lessThanOrEqual" allowBlank="1" showInputMessage="1" showErrorMessage="1" sqref="E23">
      <formula1>NaN</formula1>
    </dataValidation>
    <dataValidation type="decimal" operator="lessThanOrEqual" allowBlank="1" showInputMessage="1" showErrorMessage="1" sqref="E24">
      <formula1>NaN</formula1>
    </dataValidation>
    <dataValidation type="decimal" operator="lessThanOrEqual" allowBlank="1" showInputMessage="1" showErrorMessage="1" sqref="E25">
      <formula1>NaN</formula1>
    </dataValidation>
    <dataValidation type="decimal" operator="lessThanOrEqual" allowBlank="1" showInputMessage="1" showErrorMessage="1" sqref="E26">
      <formula1>NaN</formula1>
    </dataValidation>
    <dataValidation type="decimal" operator="lessThanOrEqual" allowBlank="1" showInputMessage="1" showErrorMessage="1" sqref="E27">
      <formula1>NaN</formula1>
    </dataValidation>
    <dataValidation type="decimal" operator="lessThanOrEqual" allowBlank="1" showInputMessage="1" showErrorMessage="1" sqref="E28">
      <formula1>NaN</formula1>
    </dataValidation>
    <dataValidation type="decimal" operator="lessThanOrEqual" allowBlank="1" showInputMessage="1" showErrorMessage="1" sqref="E29">
      <formula1>NaN</formula1>
    </dataValidation>
    <dataValidation type="decimal" operator="lessThanOrEqual" allowBlank="1" showInputMessage="1" showErrorMessage="1" sqref="E30">
      <formula1>NaN</formula1>
    </dataValidation>
    <dataValidation type="decimal" operator="lessThanOrEqual" allowBlank="1" showInputMessage="1" showErrorMessage="1" sqref="E31">
      <formula1>NaN</formula1>
    </dataValidation>
    <dataValidation type="decimal" operator="lessThanOrEqual" allowBlank="1" showInputMessage="1" showErrorMessage="1" sqref="E32">
      <formula1>NaN</formula1>
    </dataValidation>
    <dataValidation type="decimal" operator="lessThanOrEqual" allowBlank="1" showInputMessage="1" showErrorMessage="1" sqref="E33">
      <formula1>NaN</formula1>
    </dataValidation>
    <dataValidation type="decimal" operator="lessThanOrEqual" allowBlank="1" showInputMessage="1" showErrorMessage="1" sqref="E34">
      <formula1>NaN</formula1>
    </dataValidation>
    <dataValidation type="decimal" operator="lessThanOrEqual" allowBlank="1" showInputMessage="1" showErrorMessage="1" sqref="E35">
      <formula1>NaN</formula1>
    </dataValidation>
    <dataValidation type="decimal" operator="lessThanOrEqual" allowBlank="1" showInputMessage="1" showErrorMessage="1" sqref="E36">
      <formula1>NaN</formula1>
    </dataValidation>
    <dataValidation type="decimal" operator="lessThanOrEqual" allowBlank="1" showInputMessage="1" showErrorMessage="1" sqref="E37">
      <formula1>NaN</formula1>
    </dataValidation>
    <dataValidation type="decimal" operator="lessThanOrEqual" allowBlank="1" showInputMessage="1" showErrorMessage="1" sqref="E38">
      <formula1>NaN</formula1>
    </dataValidation>
    <dataValidation type="decimal" operator="lessThanOrEqual" allowBlank="1" showInputMessage="1" showErrorMessage="1" sqref="E39">
      <formula1>NaN</formula1>
    </dataValidation>
    <dataValidation type="decimal" operator="lessThanOrEqual" allowBlank="1" showInputMessage="1" showErrorMessage="1" sqref="E40">
      <formula1>NaN</formula1>
    </dataValidation>
    <dataValidation type="decimal" operator="lessThanOrEqual" allowBlank="1" showInputMessage="1" showErrorMessage="1" sqref="E41">
      <formula1>NaN</formula1>
    </dataValidation>
    <dataValidation type="decimal" operator="lessThanOrEqual" allowBlank="1" showInputMessage="1" showErrorMessage="1" sqref="E42">
      <formula1>NaN</formula1>
    </dataValidation>
    <dataValidation type="decimal" operator="lessThanOrEqual" allowBlank="1" showInputMessage="1" showErrorMessage="1" sqref="E43">
      <formula1>NaN</formula1>
    </dataValidation>
    <dataValidation type="decimal" operator="lessThanOrEqual" allowBlank="1" showInputMessage="1" showErrorMessage="1" sqref="E44">
      <formula1>NaN</formula1>
    </dataValidation>
    <dataValidation type="decimal" operator="lessThanOrEqual" allowBlank="1" showInputMessage="1" showErrorMessage="1" sqref="E45">
      <formula1>NaN</formula1>
    </dataValidation>
    <dataValidation type="decimal" operator="lessThanOrEqual" allowBlank="1" showInputMessage="1" showErrorMessage="1" sqref="E46">
      <formula1>NaN</formula1>
    </dataValidation>
    <dataValidation type="decimal" operator="lessThanOrEqual" allowBlank="1" showInputMessage="1" showErrorMessage="1" sqref="E47">
      <formula1>NaN</formula1>
    </dataValidation>
    <dataValidation type="decimal" operator="lessThanOrEqual" allowBlank="1" showInputMessage="1" showErrorMessage="1" sqref="E48">
      <formula1>NaN</formula1>
    </dataValidation>
    <dataValidation type="decimal" operator="lessThanOrEqual" allowBlank="1" showInputMessage="1" showErrorMessage="1" sqref="E49">
      <formula1>NaN</formula1>
    </dataValidation>
    <dataValidation type="decimal" operator="lessThanOrEqual" allowBlank="1" showInputMessage="1" showErrorMessage="1" sqref="E50">
      <formula1>NaN</formula1>
    </dataValidation>
    <dataValidation type="decimal" operator="lessThanOrEqual" allowBlank="1" showInputMessage="1" showErrorMessage="1" sqref="E51">
      <formula1>NaN</formula1>
    </dataValidation>
    <dataValidation type="decimal" operator="lessThanOrEqual" allowBlank="1" showInputMessage="1" showErrorMessage="1" sqref="E52">
      <formula1>NaN</formula1>
    </dataValidation>
    <dataValidation type="decimal" operator="lessThanOrEqual" allowBlank="1" showInputMessage="1" showErrorMessage="1" sqref="E53">
      <formula1>NaN</formula1>
    </dataValidation>
    <dataValidation type="decimal" operator="lessThanOrEqual" allowBlank="1" showInputMessage="1" showErrorMessage="1" sqref="E54">
      <formula1>NaN</formula1>
    </dataValidation>
    <dataValidation type="decimal" operator="lessThanOrEqual" allowBlank="1" showInputMessage="1" showErrorMessage="1" sqref="E55">
      <formula1>NaN</formula1>
    </dataValidation>
    <dataValidation type="decimal" operator="lessThanOrEqual" allowBlank="1" showInputMessage="1" showErrorMessage="1" sqref="E56">
      <formula1>NaN</formula1>
    </dataValidation>
    <dataValidation type="decimal" operator="lessThanOrEqual" allowBlank="1" showInputMessage="1" showErrorMessage="1" sqref="E57">
      <formula1>NaN</formula1>
    </dataValidation>
    <dataValidation type="decimal" operator="lessThanOrEqual" allowBlank="1" showInputMessage="1" showErrorMessage="1" sqref="E58">
      <formula1>NaN</formula1>
    </dataValidation>
    <dataValidation type="decimal" operator="lessThanOrEqual" allowBlank="1" showInputMessage="1" showErrorMessage="1" sqref="E59">
      <formula1>NaN</formula1>
    </dataValidation>
    <dataValidation type="decimal" operator="lessThanOrEqual" allowBlank="1" showInputMessage="1" showErrorMessage="1" sqref="E60">
      <formula1>NaN</formula1>
    </dataValidation>
    <dataValidation type="decimal" operator="lessThanOrEqual" allowBlank="1" showInputMessage="1" showErrorMessage="1" sqref="E61">
      <formula1>NaN</formula1>
    </dataValidation>
    <dataValidation type="decimal" operator="lessThanOrEqual" allowBlank="1" showInputMessage="1" showErrorMessage="1" sqref="E62">
      <formula1>NaN</formula1>
    </dataValidation>
    <dataValidation type="decimal" operator="lessThanOrEqual" allowBlank="1" showInputMessage="1" showErrorMessage="1" sqref="E63">
      <formula1>NaN</formula1>
    </dataValidation>
    <dataValidation type="decimal" operator="lessThanOrEqual" allowBlank="1" showInputMessage="1" showErrorMessage="1" sqref="E64">
      <formula1>NaN</formula1>
    </dataValidation>
    <dataValidation type="decimal" operator="lessThanOrEqual" allowBlank="1" showInputMessage="1" showErrorMessage="1" sqref="E65">
      <formula1>NaN</formula1>
    </dataValidation>
    <dataValidation type="decimal" operator="lessThanOrEqual" allowBlank="1" showInputMessage="1" showErrorMessage="1" sqref="E66">
      <formula1>NaN</formula1>
    </dataValidation>
    <dataValidation type="decimal" operator="lessThanOrEqual" allowBlank="1" showInputMessage="1" showErrorMessage="1" sqref="E67">
      <formula1>NaN</formula1>
    </dataValidation>
    <dataValidation type="decimal" operator="lessThanOrEqual" allowBlank="1" showInputMessage="1" showErrorMessage="1" sqref="E68">
      <formula1>NaN</formula1>
    </dataValidation>
    <dataValidation type="decimal" operator="lessThanOrEqual" allowBlank="1" showInputMessage="1" showErrorMessage="1" sqref="E69">
      <formula1>NaN</formula1>
    </dataValidation>
    <dataValidation type="decimal" operator="lessThanOrEqual" allowBlank="1" showInputMessage="1" showErrorMessage="1" sqref="E70">
      <formula1>NaN</formula1>
    </dataValidation>
    <dataValidation type="decimal" operator="lessThanOrEqual" allowBlank="1" showInputMessage="1" showErrorMessage="1" sqref="E71">
      <formula1>NaN</formula1>
    </dataValidation>
    <dataValidation type="decimal" operator="lessThanOrEqual" allowBlank="1" showInputMessage="1" showErrorMessage="1" sqref="E72">
      <formula1>NaN</formula1>
    </dataValidation>
    <dataValidation type="decimal" operator="lessThanOrEqual" allowBlank="1" showInputMessage="1" showErrorMessage="1" sqref="E73">
      <formula1>NaN</formula1>
    </dataValidation>
    <dataValidation type="decimal" operator="lessThanOrEqual" allowBlank="1" showInputMessage="1" showErrorMessage="1" sqref="E74">
      <formula1>NaN</formula1>
    </dataValidation>
    <dataValidation type="decimal" operator="lessThanOrEqual" allowBlank="1" showInputMessage="1" showErrorMessage="1" sqref="E75">
      <formula1>NaN</formula1>
    </dataValidation>
    <dataValidation type="decimal" operator="lessThanOrEqual" allowBlank="1" showInputMessage="1" showErrorMessage="1" sqref="E76">
      <formula1>NaN</formula1>
    </dataValidation>
    <dataValidation type="decimal" operator="lessThanOrEqual" allowBlank="1" showInputMessage="1" showErrorMessage="1" sqref="E77">
      <formula1>NaN</formula1>
    </dataValidation>
    <dataValidation type="decimal" operator="lessThanOrEqual" allowBlank="1" showInputMessage="1" showErrorMessage="1" sqref="E78">
      <formula1>NaN</formula1>
    </dataValidation>
    <dataValidation type="decimal" operator="lessThanOrEqual" allowBlank="1" showInputMessage="1" showErrorMessage="1" sqref="E79">
      <formula1>NaN</formula1>
    </dataValidation>
    <dataValidation type="decimal" operator="lessThanOrEqual" allowBlank="1" showInputMessage="1" showErrorMessage="1" sqref="E80">
      <formula1>NaN</formula1>
    </dataValidation>
    <dataValidation type="decimal" operator="lessThanOrEqual" allowBlank="1" showInputMessage="1" showErrorMessage="1" sqref="E81">
      <formula1>NaN</formula1>
    </dataValidation>
    <dataValidation type="decimal" operator="lessThanOrEqual" allowBlank="1" showInputMessage="1" showErrorMessage="1" sqref="E82">
      <formula1>NaN</formula1>
    </dataValidation>
    <dataValidation type="decimal" operator="lessThanOrEqual" allowBlank="1" showInputMessage="1" showErrorMessage="1" sqref="E83">
      <formula1>NaN</formula1>
    </dataValidation>
    <dataValidation type="decimal" operator="lessThanOrEqual" allowBlank="1" showInputMessage="1" showErrorMessage="1" sqref="E84">
      <formula1>NaN</formula1>
    </dataValidation>
    <dataValidation type="decimal" operator="lessThanOrEqual" allowBlank="1" showInputMessage="1" showErrorMessage="1" sqref="E85">
      <formula1>NaN</formula1>
    </dataValidation>
    <dataValidation type="decimal" operator="lessThanOrEqual" allowBlank="1" showInputMessage="1" showErrorMessage="1" sqref="E86">
      <formula1>NaN</formula1>
    </dataValidation>
    <dataValidation type="decimal" operator="lessThanOrEqual" allowBlank="1" showInputMessage="1" showErrorMessage="1" sqref="E87">
      <formula1>NaN</formula1>
    </dataValidation>
    <dataValidation type="decimal" operator="lessThanOrEqual" allowBlank="1" showInputMessage="1" showErrorMessage="1" sqref="E88">
      <formula1>NaN</formula1>
    </dataValidation>
    <dataValidation type="decimal" operator="lessThanOrEqual" allowBlank="1" showInputMessage="1" showErrorMessage="1" sqref="E89">
      <formula1>NaN</formula1>
    </dataValidation>
    <dataValidation type="decimal" operator="lessThanOrEqual" allowBlank="1" showInputMessage="1" showErrorMessage="1" sqref="E90">
      <formula1>NaN</formula1>
    </dataValidation>
    <dataValidation type="decimal" operator="lessThanOrEqual" allowBlank="1" showInputMessage="1" showErrorMessage="1" sqref="E91">
      <formula1>NaN</formula1>
    </dataValidation>
    <dataValidation type="decimal" operator="lessThanOrEqual" allowBlank="1" showInputMessage="1" showErrorMessage="1" sqref="E92">
      <formula1>NaN</formula1>
    </dataValidation>
    <dataValidation type="decimal" operator="lessThanOrEqual" allowBlank="1" showInputMessage="1" showErrorMessage="1" sqref="E93">
      <formula1>NaN</formula1>
    </dataValidation>
    <dataValidation type="decimal" operator="lessThanOrEqual" allowBlank="1" showInputMessage="1" showErrorMessage="1" sqref="E94">
      <formula1>NaN</formula1>
    </dataValidation>
    <dataValidation type="decimal" operator="lessThanOrEqual" allowBlank="1" showInputMessage="1" showErrorMessage="1" sqref="E95">
      <formula1>NaN</formula1>
    </dataValidation>
    <dataValidation type="decimal" operator="lessThanOrEqual" allowBlank="1" showInputMessage="1" showErrorMessage="1" sqref="E96">
      <formula1>NaN</formula1>
    </dataValidation>
    <dataValidation type="decimal" operator="lessThanOrEqual" allowBlank="1" showInputMessage="1" showErrorMessage="1" sqref="E97">
      <formula1>NaN</formula1>
    </dataValidation>
    <dataValidation type="decimal" operator="lessThanOrEqual" allowBlank="1" showInputMessage="1" showErrorMessage="1" sqref="E98">
      <formula1>NaN</formula1>
    </dataValidation>
    <dataValidation type="decimal" operator="lessThanOrEqual" allowBlank="1" showInputMessage="1" showErrorMessage="1" sqref="E99">
      <formula1>NaN</formula1>
    </dataValidation>
    <dataValidation type="decimal" operator="lessThanOrEqual" allowBlank="1" showInputMessage="1" showErrorMessage="1" sqref="F100">
      <formula1>NaN</formula1>
    </dataValidation>
    <dataValidation type="decimal" operator="lessThanOrEqual" allowBlank="1" showInputMessage="1" showErrorMessage="1" sqref="F101">
      <formula1>NaN</formula1>
    </dataValidation>
    <dataValidation type="decimal" operator="lessThanOrEqual" allowBlank="1" showInputMessage="1" showErrorMessage="1" sqref="F102">
      <formula1>NaN</formula1>
    </dataValidation>
    <dataValidation type="decimal" operator="lessThanOrEqual" allowBlank="1" showInputMessage="1" showErrorMessage="1" sqref="F103">
      <formula1>NaN</formula1>
    </dataValidation>
    <dataValidation type="decimal" operator="lessThanOrEqual" allowBlank="1" showInputMessage="1" showErrorMessage="1" sqref="F104">
      <formula1>NaN</formula1>
    </dataValidation>
    <dataValidation type="decimal" operator="lessThanOrEqual" allowBlank="1" showInputMessage="1" showErrorMessage="1" sqref="F105">
      <formula1>NaN</formula1>
    </dataValidation>
    <dataValidation type="decimal" operator="lessThanOrEqual" allowBlank="1" showInputMessage="1" showErrorMessage="1" sqref="F106">
      <formula1>NaN</formula1>
    </dataValidation>
    <dataValidation type="decimal" operator="lessThanOrEqual" allowBlank="1" showInputMessage="1" showErrorMessage="1" sqref="F107">
      <formula1>NaN</formula1>
    </dataValidation>
    <dataValidation type="decimal" operator="lessThanOrEqual" allowBlank="1" showInputMessage="1" showErrorMessage="1" sqref="F108">
      <formula1>NaN</formula1>
    </dataValidation>
    <dataValidation type="decimal" operator="lessThanOrEqual" allowBlank="1" showInputMessage="1" showErrorMessage="1" sqref="F109">
      <formula1>NaN</formula1>
    </dataValidation>
    <dataValidation type="decimal" operator="lessThanOrEqual" allowBlank="1" showInputMessage="1" showErrorMessage="1" sqref="F110">
      <formula1>NaN</formula1>
    </dataValidation>
    <dataValidation type="decimal" operator="lessThanOrEqual" allowBlank="1" showInputMessage="1" showErrorMessage="1" sqref="F111">
      <formula1>NaN</formula1>
    </dataValidation>
    <dataValidation type="decimal" operator="lessThanOrEqual" allowBlank="1" showInputMessage="1" showErrorMessage="1" sqref="F112">
      <formula1>NaN</formula1>
    </dataValidation>
    <dataValidation type="decimal" operator="lessThanOrEqual" allowBlank="1" showInputMessage="1" showErrorMessage="1" sqref="F113">
      <formula1>NaN</formula1>
    </dataValidation>
    <dataValidation type="decimal" operator="lessThanOrEqual" allowBlank="1" showInputMessage="1" showErrorMessage="1" sqref="F114">
      <formula1>NaN</formula1>
    </dataValidation>
    <dataValidation type="decimal" operator="lessThanOrEqual" allowBlank="1" showInputMessage="1" showErrorMessage="1" sqref="F115">
      <formula1>NaN</formula1>
    </dataValidation>
    <dataValidation type="decimal" operator="lessThanOrEqual" allowBlank="1" showInputMessage="1" showErrorMessage="1" sqref="F116">
      <formula1>NaN</formula1>
    </dataValidation>
    <dataValidation type="decimal" operator="lessThanOrEqual" allowBlank="1" showInputMessage="1" showErrorMessage="1" sqref="F117">
      <formula1>NaN</formula1>
    </dataValidation>
    <dataValidation type="decimal" operator="lessThanOrEqual" allowBlank="1" showInputMessage="1" showErrorMessage="1" sqref="F118">
      <formula1>NaN</formula1>
    </dataValidation>
    <dataValidation type="decimal" operator="lessThanOrEqual" allowBlank="1" showInputMessage="1" showErrorMessage="1" sqref="F119">
      <formula1>NaN</formula1>
    </dataValidation>
    <dataValidation type="decimal" operator="lessThanOrEqual" allowBlank="1" showInputMessage="1" showErrorMessage="1" sqref="F120">
      <formula1>NaN</formula1>
    </dataValidation>
    <dataValidation type="decimal" operator="lessThanOrEqual" allowBlank="1" showInputMessage="1" showErrorMessage="1" sqref="F121">
      <formula1>NaN</formula1>
    </dataValidation>
    <dataValidation type="decimal" operator="lessThanOrEqual" allowBlank="1" showInputMessage="1" showErrorMessage="1" sqref="F122">
      <formula1>NaN</formula1>
    </dataValidation>
    <dataValidation type="decimal" operator="lessThanOrEqual" allowBlank="1" showInputMessage="1" showErrorMessage="1" sqref="F123">
      <formula1>NaN</formula1>
    </dataValidation>
    <dataValidation type="decimal" operator="lessThanOrEqual" allowBlank="1" showInputMessage="1" showErrorMessage="1" sqref="F124">
      <formula1>NaN</formula1>
    </dataValidation>
    <dataValidation type="decimal" operator="lessThanOrEqual" allowBlank="1" showInputMessage="1" showErrorMessage="1" sqref="F125">
      <formula1>NaN</formula1>
    </dataValidation>
    <dataValidation type="decimal" operator="lessThanOrEqual" allowBlank="1" showInputMessage="1" showErrorMessage="1" sqref="F126">
      <formula1>NaN</formula1>
    </dataValidation>
    <dataValidation type="decimal" operator="lessThanOrEqual" allowBlank="1" showInputMessage="1" showErrorMessage="1" sqref="F127">
      <formula1>NaN</formula1>
    </dataValidation>
    <dataValidation type="decimal" operator="lessThanOrEqual" allowBlank="1" showInputMessage="1" showErrorMessage="1" sqref="F128">
      <formula1>NaN</formula1>
    </dataValidation>
    <dataValidation type="decimal" operator="lessThanOrEqual" allowBlank="1" showInputMessage="1" showErrorMessage="1" sqref="F129">
      <formula1>NaN</formula1>
    </dataValidation>
    <dataValidation type="decimal" operator="lessThanOrEqual" allowBlank="1" showInputMessage="1" showErrorMessage="1" sqref="F13">
      <formula1>NaN</formula1>
    </dataValidation>
    <dataValidation type="decimal" operator="lessThanOrEqual" allowBlank="1" showInputMessage="1" showErrorMessage="1" sqref="F130">
      <formula1>NaN</formula1>
    </dataValidation>
    <dataValidation type="decimal" operator="lessThanOrEqual" allowBlank="1" showInputMessage="1" showErrorMessage="1" sqref="F131">
      <formula1>NaN</formula1>
    </dataValidation>
    <dataValidation type="decimal" operator="lessThanOrEqual" allowBlank="1" showInputMessage="1" showErrorMessage="1" sqref="F132">
      <formula1>NaN</formula1>
    </dataValidation>
    <dataValidation type="decimal" operator="lessThanOrEqual" allowBlank="1" showInputMessage="1" showErrorMessage="1" sqref="F133">
      <formula1>NaN</formula1>
    </dataValidation>
    <dataValidation type="decimal" operator="lessThanOrEqual" allowBlank="1" showInputMessage="1" showErrorMessage="1" sqref="F134">
      <formula1>NaN</formula1>
    </dataValidation>
    <dataValidation type="decimal" operator="lessThanOrEqual" allowBlank="1" showInputMessage="1" showErrorMessage="1" sqref="F135">
      <formula1>NaN</formula1>
    </dataValidation>
    <dataValidation type="decimal" operator="lessThanOrEqual" allowBlank="1" showInputMessage="1" showErrorMessage="1" sqref="F14">
      <formula1>NaN</formula1>
    </dataValidation>
    <dataValidation type="decimal" operator="lessThanOrEqual" allowBlank="1" showInputMessage="1" showErrorMessage="1" sqref="F15">
      <formula1>NaN</formula1>
    </dataValidation>
    <dataValidation type="decimal" operator="lessThanOrEqual" allowBlank="1" showInputMessage="1" showErrorMessage="1" sqref="F16">
      <formula1>NaN</formula1>
    </dataValidation>
    <dataValidation type="decimal" operator="lessThanOrEqual" allowBlank="1" showInputMessage="1" showErrorMessage="1" sqref="F17">
      <formula1>NaN</formula1>
    </dataValidation>
    <dataValidation type="decimal" operator="lessThanOrEqual" allowBlank="1" showInputMessage="1" showErrorMessage="1" sqref="F18">
      <formula1>NaN</formula1>
    </dataValidation>
    <dataValidation type="decimal" operator="lessThanOrEqual" allowBlank="1" showInputMessage="1" showErrorMessage="1" sqref="F19">
      <formula1>NaN</formula1>
    </dataValidation>
    <dataValidation type="decimal" operator="lessThanOrEqual" allowBlank="1" showInputMessage="1" showErrorMessage="1" sqref="F20">
      <formula1>NaN</formula1>
    </dataValidation>
    <dataValidation type="decimal" operator="lessThanOrEqual" allowBlank="1" showInputMessage="1" showErrorMessage="1" sqref="F21">
      <formula1>NaN</formula1>
    </dataValidation>
    <dataValidation type="decimal" operator="lessThanOrEqual" allowBlank="1" showInputMessage="1" showErrorMessage="1" sqref="F22">
      <formula1>NaN</formula1>
    </dataValidation>
    <dataValidation type="decimal" operator="lessThanOrEqual" allowBlank="1" showInputMessage="1" showErrorMessage="1" sqref="F23">
      <formula1>NaN</formula1>
    </dataValidation>
    <dataValidation type="decimal" operator="lessThanOrEqual" allowBlank="1" showInputMessage="1" showErrorMessage="1" sqref="F24">
      <formula1>NaN</formula1>
    </dataValidation>
    <dataValidation type="decimal" operator="lessThanOrEqual" allowBlank="1" showInputMessage="1" showErrorMessage="1" sqref="F25">
      <formula1>NaN</formula1>
    </dataValidation>
    <dataValidation type="decimal" operator="lessThanOrEqual" allowBlank="1" showInputMessage="1" showErrorMessage="1" sqref="F26">
      <formula1>NaN</formula1>
    </dataValidation>
    <dataValidation type="decimal" operator="lessThanOrEqual" allowBlank="1" showInputMessage="1" showErrorMessage="1" sqref="F27">
      <formula1>NaN</formula1>
    </dataValidation>
    <dataValidation type="decimal" operator="lessThanOrEqual" allowBlank="1" showInputMessage="1" showErrorMessage="1" sqref="F28">
      <formula1>NaN</formula1>
    </dataValidation>
    <dataValidation type="decimal" operator="lessThanOrEqual" allowBlank="1" showInputMessage="1" showErrorMessage="1" sqref="F29">
      <formula1>NaN</formula1>
    </dataValidation>
    <dataValidation type="decimal" operator="lessThanOrEqual" allowBlank="1" showInputMessage="1" showErrorMessage="1" sqref="F30">
      <formula1>NaN</formula1>
    </dataValidation>
    <dataValidation type="decimal" operator="lessThanOrEqual" allowBlank="1" showInputMessage="1" showErrorMessage="1" sqref="F31">
      <formula1>NaN</formula1>
    </dataValidation>
    <dataValidation type="decimal" operator="lessThanOrEqual" allowBlank="1" showInputMessage="1" showErrorMessage="1" sqref="F32">
      <formula1>NaN</formula1>
    </dataValidation>
    <dataValidation type="decimal" operator="lessThanOrEqual" allowBlank="1" showInputMessage="1" showErrorMessage="1" sqref="F33">
      <formula1>NaN</formula1>
    </dataValidation>
    <dataValidation type="decimal" operator="lessThanOrEqual" allowBlank="1" showInputMessage="1" showErrorMessage="1" sqref="F34">
      <formula1>NaN</formula1>
    </dataValidation>
    <dataValidation type="decimal" operator="lessThanOrEqual" allowBlank="1" showInputMessage="1" showErrorMessage="1" sqref="F35">
      <formula1>NaN</formula1>
    </dataValidation>
    <dataValidation type="decimal" operator="lessThanOrEqual" allowBlank="1" showInputMessage="1" showErrorMessage="1" sqref="F36">
      <formula1>NaN</formula1>
    </dataValidation>
    <dataValidation type="decimal" operator="lessThanOrEqual" allowBlank="1" showInputMessage="1" showErrorMessage="1" sqref="F37">
      <formula1>NaN</formula1>
    </dataValidation>
    <dataValidation type="decimal" operator="lessThanOrEqual" allowBlank="1" showInputMessage="1" showErrorMessage="1" sqref="F38">
      <formula1>NaN</formula1>
    </dataValidation>
    <dataValidation type="decimal" operator="lessThanOrEqual" allowBlank="1" showInputMessage="1" showErrorMessage="1" sqref="F39">
      <formula1>NaN</formula1>
    </dataValidation>
    <dataValidation type="decimal" operator="lessThanOrEqual" allowBlank="1" showInputMessage="1" showErrorMessage="1" sqref="F40">
      <formula1>NaN</formula1>
    </dataValidation>
    <dataValidation type="decimal" operator="lessThanOrEqual" allowBlank="1" showInputMessage="1" showErrorMessage="1" sqref="F41">
      <formula1>NaN</formula1>
    </dataValidation>
    <dataValidation type="decimal" operator="lessThanOrEqual" allowBlank="1" showInputMessage="1" showErrorMessage="1" sqref="F42">
      <formula1>NaN</formula1>
    </dataValidation>
    <dataValidation type="decimal" operator="lessThanOrEqual" allowBlank="1" showInputMessage="1" showErrorMessage="1" sqref="F43">
      <formula1>NaN</formula1>
    </dataValidation>
    <dataValidation type="decimal" operator="lessThanOrEqual" allowBlank="1" showInputMessage="1" showErrorMessage="1" sqref="F44">
      <formula1>NaN</formula1>
    </dataValidation>
    <dataValidation type="decimal" operator="lessThanOrEqual" allowBlank="1" showInputMessage="1" showErrorMessage="1" sqref="F45">
      <formula1>NaN</formula1>
    </dataValidation>
    <dataValidation type="decimal" operator="lessThanOrEqual" allowBlank="1" showInputMessage="1" showErrorMessage="1" sqref="F46">
      <formula1>NaN</formula1>
    </dataValidation>
    <dataValidation type="decimal" operator="lessThanOrEqual" allowBlank="1" showInputMessage="1" showErrorMessage="1" sqref="F47">
      <formula1>NaN</formula1>
    </dataValidation>
    <dataValidation type="decimal" operator="lessThanOrEqual" allowBlank="1" showInputMessage="1" showErrorMessage="1" sqref="F48">
      <formula1>NaN</formula1>
    </dataValidation>
    <dataValidation type="decimal" operator="lessThanOrEqual" allowBlank="1" showInputMessage="1" showErrorMessage="1" sqref="F49">
      <formula1>NaN</formula1>
    </dataValidation>
    <dataValidation type="decimal" operator="lessThanOrEqual" allowBlank="1" showInputMessage="1" showErrorMessage="1" sqref="F50">
      <formula1>NaN</formula1>
    </dataValidation>
    <dataValidation type="decimal" operator="lessThanOrEqual" allowBlank="1" showInputMessage="1" showErrorMessage="1" sqref="F51">
      <formula1>NaN</formula1>
    </dataValidation>
    <dataValidation type="decimal" operator="lessThanOrEqual" allowBlank="1" showInputMessage="1" showErrorMessage="1" sqref="F52">
      <formula1>NaN</formula1>
    </dataValidation>
    <dataValidation type="decimal" operator="lessThanOrEqual" allowBlank="1" showInputMessage="1" showErrorMessage="1" sqref="F53">
      <formula1>NaN</formula1>
    </dataValidation>
    <dataValidation type="decimal" operator="lessThanOrEqual" allowBlank="1" showInputMessage="1" showErrorMessage="1" sqref="F54">
      <formula1>NaN</formula1>
    </dataValidation>
    <dataValidation type="decimal" operator="lessThanOrEqual" allowBlank="1" showInputMessage="1" showErrorMessage="1" sqref="F55">
      <formula1>NaN</formula1>
    </dataValidation>
    <dataValidation type="decimal" operator="lessThanOrEqual" allowBlank="1" showInputMessage="1" showErrorMessage="1" sqref="F56">
      <formula1>NaN</formula1>
    </dataValidation>
    <dataValidation type="decimal" operator="lessThanOrEqual" allowBlank="1" showInputMessage="1" showErrorMessage="1" sqref="F57">
      <formula1>NaN</formula1>
    </dataValidation>
    <dataValidation type="decimal" operator="lessThanOrEqual" allowBlank="1" showInputMessage="1" showErrorMessage="1" sqref="F58">
      <formula1>NaN</formula1>
    </dataValidation>
    <dataValidation type="decimal" operator="lessThanOrEqual" allowBlank="1" showInputMessage="1" showErrorMessage="1" sqref="F59">
      <formula1>NaN</formula1>
    </dataValidation>
    <dataValidation type="decimal" operator="lessThanOrEqual" allowBlank="1" showInputMessage="1" showErrorMessage="1" sqref="F60">
      <formula1>NaN</formula1>
    </dataValidation>
    <dataValidation type="decimal" operator="lessThanOrEqual" allowBlank="1" showInputMessage="1" showErrorMessage="1" sqref="F61">
      <formula1>NaN</formula1>
    </dataValidation>
    <dataValidation type="decimal" operator="lessThanOrEqual" allowBlank="1" showInputMessage="1" showErrorMessage="1" sqref="F62">
      <formula1>NaN</formula1>
    </dataValidation>
    <dataValidation type="decimal" operator="lessThanOrEqual" allowBlank="1" showInputMessage="1" showErrorMessage="1" sqref="F63">
      <formula1>NaN</formula1>
    </dataValidation>
    <dataValidation type="decimal" operator="lessThanOrEqual" allowBlank="1" showInputMessage="1" showErrorMessage="1" sqref="F64">
      <formula1>NaN</formula1>
    </dataValidation>
    <dataValidation type="decimal" operator="lessThanOrEqual" allowBlank="1" showInputMessage="1" showErrorMessage="1" sqref="F65">
      <formula1>NaN</formula1>
    </dataValidation>
    <dataValidation type="decimal" operator="lessThanOrEqual" allowBlank="1" showInputMessage="1" showErrorMessage="1" sqref="F66">
      <formula1>NaN</formula1>
    </dataValidation>
    <dataValidation type="decimal" operator="lessThanOrEqual" allowBlank="1" showInputMessage="1" showErrorMessage="1" sqref="F67">
      <formula1>NaN</formula1>
    </dataValidation>
    <dataValidation type="decimal" operator="lessThanOrEqual" allowBlank="1" showInputMessage="1" showErrorMessage="1" sqref="F68">
      <formula1>NaN</formula1>
    </dataValidation>
    <dataValidation type="decimal" operator="lessThanOrEqual" allowBlank="1" showInputMessage="1" showErrorMessage="1" sqref="F69">
      <formula1>NaN</formula1>
    </dataValidation>
    <dataValidation type="decimal" operator="lessThanOrEqual" allowBlank="1" showInputMessage="1" showErrorMessage="1" sqref="F70">
      <formula1>NaN</formula1>
    </dataValidation>
    <dataValidation type="decimal" operator="lessThanOrEqual" allowBlank="1" showInputMessage="1" showErrorMessage="1" sqref="F71">
      <formula1>NaN</formula1>
    </dataValidation>
    <dataValidation type="decimal" operator="lessThanOrEqual" allowBlank="1" showInputMessage="1" showErrorMessage="1" sqref="F72">
      <formula1>NaN</formula1>
    </dataValidation>
    <dataValidation type="decimal" operator="lessThanOrEqual" allowBlank="1" showInputMessage="1" showErrorMessage="1" sqref="F73">
      <formula1>NaN</formula1>
    </dataValidation>
    <dataValidation type="decimal" operator="lessThanOrEqual" allowBlank="1" showInputMessage="1" showErrorMessage="1" sqref="F74">
      <formula1>NaN</formula1>
    </dataValidation>
    <dataValidation type="decimal" operator="lessThanOrEqual" allowBlank="1" showInputMessage="1" showErrorMessage="1" sqref="F75">
      <formula1>NaN</formula1>
    </dataValidation>
    <dataValidation type="decimal" operator="lessThanOrEqual" allowBlank="1" showInputMessage="1" showErrorMessage="1" sqref="F76">
      <formula1>NaN</formula1>
    </dataValidation>
    <dataValidation type="decimal" operator="lessThanOrEqual" allowBlank="1" showInputMessage="1" showErrorMessage="1" sqref="F77">
      <formula1>NaN</formula1>
    </dataValidation>
    <dataValidation type="decimal" operator="lessThanOrEqual" allowBlank="1" showInputMessage="1" showErrorMessage="1" sqref="F78">
      <formula1>NaN</formula1>
    </dataValidation>
    <dataValidation type="decimal" operator="lessThanOrEqual" allowBlank="1" showInputMessage="1" showErrorMessage="1" sqref="F79">
      <formula1>NaN</formula1>
    </dataValidation>
    <dataValidation type="decimal" operator="lessThanOrEqual" allowBlank="1" showInputMessage="1" showErrorMessage="1" sqref="F80">
      <formula1>NaN</formula1>
    </dataValidation>
    <dataValidation type="decimal" operator="lessThanOrEqual" allowBlank="1" showInputMessage="1" showErrorMessage="1" sqref="F81">
      <formula1>NaN</formula1>
    </dataValidation>
    <dataValidation type="decimal" operator="lessThanOrEqual" allowBlank="1" showInputMessage="1" showErrorMessage="1" sqref="F82">
      <formula1>NaN</formula1>
    </dataValidation>
    <dataValidation type="decimal" operator="lessThanOrEqual" allowBlank="1" showInputMessage="1" showErrorMessage="1" sqref="F83">
      <formula1>NaN</formula1>
    </dataValidation>
    <dataValidation type="decimal" operator="lessThanOrEqual" allowBlank="1" showInputMessage="1" showErrorMessage="1" sqref="F84">
      <formula1>NaN</formula1>
    </dataValidation>
    <dataValidation type="decimal" operator="lessThanOrEqual" allowBlank="1" showInputMessage="1" showErrorMessage="1" sqref="F85">
      <formula1>NaN</formula1>
    </dataValidation>
    <dataValidation type="decimal" operator="lessThanOrEqual" allowBlank="1" showInputMessage="1" showErrorMessage="1" sqref="F86">
      <formula1>NaN</formula1>
    </dataValidation>
    <dataValidation type="decimal" operator="lessThanOrEqual" allowBlank="1" showInputMessage="1" showErrorMessage="1" sqref="F87">
      <formula1>NaN</formula1>
    </dataValidation>
    <dataValidation type="decimal" operator="lessThanOrEqual" allowBlank="1" showInputMessage="1" showErrorMessage="1" sqref="F88">
      <formula1>NaN</formula1>
    </dataValidation>
    <dataValidation type="decimal" operator="lessThanOrEqual" allowBlank="1" showInputMessage="1" showErrorMessage="1" sqref="F89">
      <formula1>NaN</formula1>
    </dataValidation>
    <dataValidation type="decimal" operator="lessThanOrEqual" allowBlank="1" showInputMessage="1" showErrorMessage="1" sqref="F90">
      <formula1>NaN</formula1>
    </dataValidation>
    <dataValidation type="decimal" operator="lessThanOrEqual" allowBlank="1" showInputMessage="1" showErrorMessage="1" sqref="F91">
      <formula1>NaN</formula1>
    </dataValidation>
    <dataValidation type="decimal" operator="lessThanOrEqual" allowBlank="1" showInputMessage="1" showErrorMessage="1" sqref="F92">
      <formula1>NaN</formula1>
    </dataValidation>
    <dataValidation type="decimal" operator="lessThanOrEqual" allowBlank="1" showInputMessage="1" showErrorMessage="1" sqref="F93">
      <formula1>NaN</formula1>
    </dataValidation>
    <dataValidation type="decimal" operator="lessThanOrEqual" allowBlank="1" showInputMessage="1" showErrorMessage="1" sqref="F94">
      <formula1>NaN</formula1>
    </dataValidation>
    <dataValidation type="decimal" operator="lessThanOrEqual" allowBlank="1" showInputMessage="1" showErrorMessage="1" sqref="F95">
      <formula1>NaN</formula1>
    </dataValidation>
    <dataValidation type="decimal" operator="lessThanOrEqual" allowBlank="1" showInputMessage="1" showErrorMessage="1" sqref="F96">
      <formula1>NaN</formula1>
    </dataValidation>
    <dataValidation type="decimal" operator="lessThanOrEqual" allowBlank="1" showInputMessage="1" showErrorMessage="1" sqref="F97">
      <formula1>NaN</formula1>
    </dataValidation>
    <dataValidation type="decimal" operator="lessThanOrEqual" allowBlank="1" showInputMessage="1" showErrorMessage="1" sqref="F98">
      <formula1>NaN</formula1>
    </dataValidation>
    <dataValidation type="decimal" operator="lessThanOrEqual" allowBlank="1" showInputMessage="1" showErrorMessage="1" sqref="F99">
      <formula1>NaN</formula1>
    </dataValidation>
    <dataValidation type="decimal" operator="lessThanOrEqual" allowBlank="1" showInputMessage="1" showErrorMessage="1" sqref="G100">
      <formula1>NaN</formula1>
    </dataValidation>
    <dataValidation type="decimal" operator="lessThanOrEqual" allowBlank="1" showInputMessage="1" showErrorMessage="1" sqref="G101">
      <formula1>NaN</formula1>
    </dataValidation>
    <dataValidation type="decimal" operator="lessThanOrEqual" allowBlank="1" showInputMessage="1" showErrorMessage="1" sqref="G102">
      <formula1>NaN</formula1>
    </dataValidation>
    <dataValidation type="decimal" operator="lessThanOrEqual" allowBlank="1" showInputMessage="1" showErrorMessage="1" sqref="G103">
      <formula1>NaN</formula1>
    </dataValidation>
    <dataValidation type="decimal" operator="lessThanOrEqual" allowBlank="1" showInputMessage="1" showErrorMessage="1" sqref="G104">
      <formula1>NaN</formula1>
    </dataValidation>
    <dataValidation type="decimal" operator="lessThanOrEqual" allowBlank="1" showInputMessage="1" showErrorMessage="1" sqref="G105">
      <formula1>NaN</formula1>
    </dataValidation>
    <dataValidation type="decimal" operator="lessThanOrEqual" allowBlank="1" showInputMessage="1" showErrorMessage="1" sqref="G106">
      <formula1>NaN</formula1>
    </dataValidation>
    <dataValidation type="decimal" operator="lessThanOrEqual" allowBlank="1" showInputMessage="1" showErrorMessage="1" sqref="G107">
      <formula1>NaN</formula1>
    </dataValidation>
    <dataValidation type="decimal" operator="lessThanOrEqual" allowBlank="1" showInputMessage="1" showErrorMessage="1" sqref="G108">
      <formula1>NaN</formula1>
    </dataValidation>
    <dataValidation type="decimal" operator="lessThanOrEqual" allowBlank="1" showInputMessage="1" showErrorMessage="1" sqref="G109">
      <formula1>NaN</formula1>
    </dataValidation>
    <dataValidation type="decimal" operator="lessThanOrEqual" allowBlank="1" showInputMessage="1" showErrorMessage="1" sqref="G110">
      <formula1>NaN</formula1>
    </dataValidation>
    <dataValidation type="decimal" operator="lessThanOrEqual" allowBlank="1" showInputMessage="1" showErrorMessage="1" sqref="G111">
      <formula1>NaN</formula1>
    </dataValidation>
    <dataValidation type="decimal" operator="lessThanOrEqual" allowBlank="1" showInputMessage="1" showErrorMessage="1" sqref="G112">
      <formula1>NaN</formula1>
    </dataValidation>
    <dataValidation type="decimal" operator="lessThanOrEqual" allowBlank="1" showInputMessage="1" showErrorMessage="1" sqref="G113">
      <formula1>NaN</formula1>
    </dataValidation>
    <dataValidation type="decimal" operator="lessThanOrEqual" allowBlank="1" showInputMessage="1" showErrorMessage="1" sqref="G114">
      <formula1>NaN</formula1>
    </dataValidation>
    <dataValidation type="decimal" operator="lessThanOrEqual" allowBlank="1" showInputMessage="1" showErrorMessage="1" sqref="G115">
      <formula1>NaN</formula1>
    </dataValidation>
    <dataValidation type="decimal" operator="lessThanOrEqual" allowBlank="1" showInputMessage="1" showErrorMessage="1" sqref="G116">
      <formula1>NaN</formula1>
    </dataValidation>
    <dataValidation type="decimal" operator="lessThanOrEqual" allowBlank="1" showInputMessage="1" showErrorMessage="1" sqref="G117">
      <formula1>NaN</formula1>
    </dataValidation>
    <dataValidation type="decimal" operator="lessThanOrEqual" allowBlank="1" showInputMessage="1" showErrorMessage="1" sqref="G118">
      <formula1>NaN</formula1>
    </dataValidation>
    <dataValidation type="decimal" operator="lessThanOrEqual" allowBlank="1" showInputMessage="1" showErrorMessage="1" sqref="G119">
      <formula1>NaN</formula1>
    </dataValidation>
    <dataValidation type="decimal" operator="lessThanOrEqual" allowBlank="1" showInputMessage="1" showErrorMessage="1" sqref="G120">
      <formula1>NaN</formula1>
    </dataValidation>
    <dataValidation type="decimal" operator="lessThanOrEqual" allowBlank="1" showInputMessage="1" showErrorMessage="1" sqref="G121">
      <formula1>NaN</formula1>
    </dataValidation>
    <dataValidation type="decimal" operator="lessThanOrEqual" allowBlank="1" showInputMessage="1" showErrorMessage="1" sqref="G122">
      <formula1>NaN</formula1>
    </dataValidation>
    <dataValidation type="decimal" operator="lessThanOrEqual" allowBlank="1" showInputMessage="1" showErrorMessage="1" sqref="G123">
      <formula1>NaN</formula1>
    </dataValidation>
    <dataValidation type="decimal" operator="lessThanOrEqual" allowBlank="1" showInputMessage="1" showErrorMessage="1" sqref="G124">
      <formula1>NaN</formula1>
    </dataValidation>
    <dataValidation type="decimal" operator="lessThanOrEqual" allowBlank="1" showInputMessage="1" showErrorMessage="1" sqref="G125">
      <formula1>NaN</formula1>
    </dataValidation>
    <dataValidation type="decimal" operator="lessThanOrEqual" allowBlank="1" showInputMessage="1" showErrorMessage="1" sqref="G126">
      <formula1>NaN</formula1>
    </dataValidation>
    <dataValidation type="decimal" operator="lessThanOrEqual" allowBlank="1" showInputMessage="1" showErrorMessage="1" sqref="G127">
      <formula1>NaN</formula1>
    </dataValidation>
    <dataValidation type="decimal" operator="lessThanOrEqual" allowBlank="1" showInputMessage="1" showErrorMessage="1" sqref="G128">
      <formula1>NaN</formula1>
    </dataValidation>
    <dataValidation type="decimal" operator="lessThanOrEqual" allowBlank="1" showInputMessage="1" showErrorMessage="1" sqref="G129">
      <formula1>NaN</formula1>
    </dataValidation>
    <dataValidation type="decimal" operator="lessThanOrEqual" allowBlank="1" showInputMessage="1" showErrorMessage="1" sqref="G13">
      <formula1>NaN</formula1>
    </dataValidation>
    <dataValidation type="decimal" operator="lessThanOrEqual" allowBlank="1" showInputMessage="1" showErrorMessage="1" sqref="G130">
      <formula1>NaN</formula1>
    </dataValidation>
    <dataValidation type="decimal" operator="lessThanOrEqual" allowBlank="1" showInputMessage="1" showErrorMessage="1" sqref="G131">
      <formula1>NaN</formula1>
    </dataValidation>
    <dataValidation type="decimal" operator="lessThanOrEqual" allowBlank="1" showInputMessage="1" showErrorMessage="1" sqref="G132">
      <formula1>NaN</formula1>
    </dataValidation>
    <dataValidation type="decimal" operator="lessThanOrEqual" allowBlank="1" showInputMessage="1" showErrorMessage="1" sqref="G133">
      <formula1>NaN</formula1>
    </dataValidation>
    <dataValidation type="decimal" operator="lessThanOrEqual" allowBlank="1" showInputMessage="1" showErrorMessage="1" sqref="G134">
      <formula1>NaN</formula1>
    </dataValidation>
    <dataValidation type="decimal" operator="lessThanOrEqual" allowBlank="1" showInputMessage="1" showErrorMessage="1" sqref="G135">
      <formula1>NaN</formula1>
    </dataValidation>
    <dataValidation type="decimal" operator="lessThanOrEqual" allowBlank="1" showInputMessage="1" showErrorMessage="1" sqref="G14">
      <formula1>NaN</formula1>
    </dataValidation>
    <dataValidation type="decimal" operator="lessThanOrEqual" allowBlank="1" showInputMessage="1" showErrorMessage="1" sqref="G15">
      <formula1>NaN</formula1>
    </dataValidation>
    <dataValidation type="decimal" operator="lessThanOrEqual" allowBlank="1" showInputMessage="1" showErrorMessage="1" sqref="G16">
      <formula1>NaN</formula1>
    </dataValidation>
    <dataValidation type="decimal" operator="lessThanOrEqual" allowBlank="1" showInputMessage="1" showErrorMessage="1" sqref="G17">
      <formula1>NaN</formula1>
    </dataValidation>
    <dataValidation type="decimal" operator="lessThanOrEqual" allowBlank="1" showInputMessage="1" showErrorMessage="1" sqref="G18">
      <formula1>NaN</formula1>
    </dataValidation>
    <dataValidation type="decimal" operator="lessThanOrEqual" allowBlank="1" showInputMessage="1" showErrorMessage="1" sqref="G19">
      <formula1>NaN</formula1>
    </dataValidation>
    <dataValidation type="decimal" operator="lessThanOrEqual" allowBlank="1" showInputMessage="1" showErrorMessage="1" sqref="G20">
      <formula1>NaN</formula1>
    </dataValidation>
    <dataValidation type="decimal" operator="lessThanOrEqual" allowBlank="1" showInputMessage="1" showErrorMessage="1" sqref="G21">
      <formula1>NaN</formula1>
    </dataValidation>
    <dataValidation type="decimal" operator="lessThanOrEqual" allowBlank="1" showInputMessage="1" showErrorMessage="1" sqref="G22">
      <formula1>NaN</formula1>
    </dataValidation>
    <dataValidation type="decimal" operator="lessThanOrEqual" allowBlank="1" showInputMessage="1" showErrorMessage="1" sqref="G23">
      <formula1>NaN</formula1>
    </dataValidation>
    <dataValidation type="decimal" operator="lessThanOrEqual" allowBlank="1" showInputMessage="1" showErrorMessage="1" sqref="G24">
      <formula1>NaN</formula1>
    </dataValidation>
    <dataValidation type="decimal" operator="lessThanOrEqual" allowBlank="1" showInputMessage="1" showErrorMessage="1" sqref="G25">
      <formula1>NaN</formula1>
    </dataValidation>
    <dataValidation type="decimal" operator="lessThanOrEqual" allowBlank="1" showInputMessage="1" showErrorMessage="1" sqref="G26">
      <formula1>NaN</formula1>
    </dataValidation>
    <dataValidation type="decimal" operator="lessThanOrEqual" allowBlank="1" showInputMessage="1" showErrorMessage="1" sqref="G27">
      <formula1>NaN</formula1>
    </dataValidation>
    <dataValidation type="decimal" operator="lessThanOrEqual" allowBlank="1" showInputMessage="1" showErrorMessage="1" sqref="G28">
      <formula1>NaN</formula1>
    </dataValidation>
    <dataValidation type="decimal" operator="lessThanOrEqual" allowBlank="1" showInputMessage="1" showErrorMessage="1" sqref="G29">
      <formula1>NaN</formula1>
    </dataValidation>
    <dataValidation type="decimal" operator="lessThanOrEqual" allowBlank="1" showInputMessage="1" showErrorMessage="1" sqref="G30">
      <formula1>NaN</formula1>
    </dataValidation>
    <dataValidation type="decimal" operator="lessThanOrEqual" allowBlank="1" showInputMessage="1" showErrorMessage="1" sqref="G31">
      <formula1>NaN</formula1>
    </dataValidation>
    <dataValidation type="decimal" operator="lessThanOrEqual" allowBlank="1" showInputMessage="1" showErrorMessage="1" sqref="G32">
      <formula1>NaN</formula1>
    </dataValidation>
    <dataValidation type="decimal" operator="lessThanOrEqual" allowBlank="1" showInputMessage="1" showErrorMessage="1" sqref="G33">
      <formula1>NaN</formula1>
    </dataValidation>
    <dataValidation type="decimal" operator="lessThanOrEqual" allowBlank="1" showInputMessage="1" showErrorMessage="1" sqref="G34">
      <formula1>NaN</formula1>
    </dataValidation>
    <dataValidation type="decimal" operator="lessThanOrEqual" allowBlank="1" showInputMessage="1" showErrorMessage="1" sqref="G35">
      <formula1>NaN</formula1>
    </dataValidation>
    <dataValidation type="decimal" operator="lessThanOrEqual" allowBlank="1" showInputMessage="1" showErrorMessage="1" sqref="G36">
      <formula1>NaN</formula1>
    </dataValidation>
    <dataValidation type="decimal" operator="lessThanOrEqual" allowBlank="1" showInputMessage="1" showErrorMessage="1" sqref="G37">
      <formula1>NaN</formula1>
    </dataValidation>
    <dataValidation type="decimal" operator="lessThanOrEqual" allowBlank="1" showInputMessage="1" showErrorMessage="1" sqref="G38">
      <formula1>NaN</formula1>
    </dataValidation>
    <dataValidation type="decimal" operator="lessThanOrEqual" allowBlank="1" showInputMessage="1" showErrorMessage="1" sqref="G39">
      <formula1>NaN</formula1>
    </dataValidation>
    <dataValidation type="decimal" operator="lessThanOrEqual" allowBlank="1" showInputMessage="1" showErrorMessage="1" sqref="G40">
      <formula1>NaN</formula1>
    </dataValidation>
    <dataValidation type="decimal" operator="lessThanOrEqual" allowBlank="1" showInputMessage="1" showErrorMessage="1" sqref="G41">
      <formula1>NaN</formula1>
    </dataValidation>
    <dataValidation type="decimal" operator="lessThanOrEqual" allowBlank="1" showInputMessage="1" showErrorMessage="1" sqref="G42">
      <formula1>NaN</formula1>
    </dataValidation>
    <dataValidation type="decimal" operator="lessThanOrEqual" allowBlank="1" showInputMessage="1" showErrorMessage="1" sqref="G43">
      <formula1>NaN</formula1>
    </dataValidation>
    <dataValidation type="decimal" operator="lessThanOrEqual" allowBlank="1" showInputMessage="1" showErrorMessage="1" sqref="G44">
      <formula1>NaN</formula1>
    </dataValidation>
    <dataValidation type="decimal" operator="lessThanOrEqual" allowBlank="1" showInputMessage="1" showErrorMessage="1" sqref="G45">
      <formula1>NaN</formula1>
    </dataValidation>
    <dataValidation type="decimal" operator="lessThanOrEqual" allowBlank="1" showInputMessage="1" showErrorMessage="1" sqref="G46">
      <formula1>NaN</formula1>
    </dataValidation>
    <dataValidation type="decimal" operator="lessThanOrEqual" allowBlank="1" showInputMessage="1" showErrorMessage="1" sqref="G47">
      <formula1>NaN</formula1>
    </dataValidation>
    <dataValidation type="decimal" operator="lessThanOrEqual" allowBlank="1" showInputMessage="1" showErrorMessage="1" sqref="G48">
      <formula1>NaN</formula1>
    </dataValidation>
    <dataValidation type="decimal" operator="lessThanOrEqual" allowBlank="1" showInputMessage="1" showErrorMessage="1" sqref="G49">
      <formula1>NaN</formula1>
    </dataValidation>
    <dataValidation type="decimal" operator="lessThanOrEqual" allowBlank="1" showInputMessage="1" showErrorMessage="1" sqref="G50">
      <formula1>NaN</formula1>
    </dataValidation>
    <dataValidation type="decimal" operator="lessThanOrEqual" allowBlank="1" showInputMessage="1" showErrorMessage="1" sqref="G51">
      <formula1>NaN</formula1>
    </dataValidation>
    <dataValidation type="decimal" operator="lessThanOrEqual" allowBlank="1" showInputMessage="1" showErrorMessage="1" sqref="G52">
      <formula1>NaN</formula1>
    </dataValidation>
    <dataValidation type="decimal" operator="lessThanOrEqual" allowBlank="1" showInputMessage="1" showErrorMessage="1" sqref="G53">
      <formula1>NaN</formula1>
    </dataValidation>
    <dataValidation type="decimal" operator="lessThanOrEqual" allowBlank="1" showInputMessage="1" showErrorMessage="1" sqref="G54">
      <formula1>NaN</formula1>
    </dataValidation>
    <dataValidation type="decimal" operator="lessThanOrEqual" allowBlank="1" showInputMessage="1" showErrorMessage="1" sqref="G55">
      <formula1>NaN</formula1>
    </dataValidation>
    <dataValidation type="decimal" operator="lessThanOrEqual" allowBlank="1" showInputMessage="1" showErrorMessage="1" sqref="G56">
      <formula1>NaN</formula1>
    </dataValidation>
    <dataValidation type="decimal" operator="lessThanOrEqual" allowBlank="1" showInputMessage="1" showErrorMessage="1" sqref="G57">
      <formula1>NaN</formula1>
    </dataValidation>
    <dataValidation type="decimal" operator="lessThanOrEqual" allowBlank="1" showInputMessage="1" showErrorMessage="1" sqref="G58">
      <formula1>NaN</formula1>
    </dataValidation>
    <dataValidation type="decimal" operator="lessThanOrEqual" allowBlank="1" showInputMessage="1" showErrorMessage="1" sqref="G59">
      <formula1>NaN</formula1>
    </dataValidation>
    <dataValidation type="decimal" operator="lessThanOrEqual" allowBlank="1" showInputMessage="1" showErrorMessage="1" sqref="G60">
      <formula1>NaN</formula1>
    </dataValidation>
    <dataValidation type="decimal" operator="lessThanOrEqual" allowBlank="1" showInputMessage="1" showErrorMessage="1" sqref="G61">
      <formula1>NaN</formula1>
    </dataValidation>
    <dataValidation type="decimal" operator="lessThanOrEqual" allowBlank="1" showInputMessage="1" showErrorMessage="1" sqref="G62">
      <formula1>NaN</formula1>
    </dataValidation>
    <dataValidation type="decimal" operator="lessThanOrEqual" allowBlank="1" showInputMessage="1" showErrorMessage="1" sqref="G63">
      <formula1>NaN</formula1>
    </dataValidation>
    <dataValidation type="decimal" operator="lessThanOrEqual" allowBlank="1" showInputMessage="1" showErrorMessage="1" sqref="G64">
      <formula1>NaN</formula1>
    </dataValidation>
    <dataValidation type="decimal" operator="lessThanOrEqual" allowBlank="1" showInputMessage="1" showErrorMessage="1" sqref="G65">
      <formula1>NaN</formula1>
    </dataValidation>
    <dataValidation type="decimal" operator="lessThanOrEqual" allowBlank="1" showInputMessage="1" showErrorMessage="1" sqref="G66">
      <formula1>NaN</formula1>
    </dataValidation>
    <dataValidation type="decimal" operator="lessThanOrEqual" allowBlank="1" showInputMessage="1" showErrorMessage="1" sqref="G67">
      <formula1>NaN</formula1>
    </dataValidation>
    <dataValidation type="decimal" operator="lessThanOrEqual" allowBlank="1" showInputMessage="1" showErrorMessage="1" sqref="G68">
      <formula1>NaN</formula1>
    </dataValidation>
    <dataValidation type="decimal" operator="lessThanOrEqual" allowBlank="1" showInputMessage="1" showErrorMessage="1" sqref="G69">
      <formula1>NaN</formula1>
    </dataValidation>
    <dataValidation type="decimal" operator="lessThanOrEqual" allowBlank="1" showInputMessage="1" showErrorMessage="1" sqref="G70">
      <formula1>NaN</formula1>
    </dataValidation>
    <dataValidation type="decimal" operator="lessThanOrEqual" allowBlank="1" showInputMessage="1" showErrorMessage="1" sqref="G71">
      <formula1>NaN</formula1>
    </dataValidation>
    <dataValidation type="decimal" operator="lessThanOrEqual" allowBlank="1" showInputMessage="1" showErrorMessage="1" sqref="G72">
      <formula1>NaN</formula1>
    </dataValidation>
    <dataValidation type="decimal" operator="lessThanOrEqual" allowBlank="1" showInputMessage="1" showErrorMessage="1" sqref="G73">
      <formula1>NaN</formula1>
    </dataValidation>
    <dataValidation type="decimal" operator="lessThanOrEqual" allowBlank="1" showInputMessage="1" showErrorMessage="1" sqref="G74">
      <formula1>NaN</formula1>
    </dataValidation>
    <dataValidation type="decimal" operator="lessThanOrEqual" allowBlank="1" showInputMessage="1" showErrorMessage="1" sqref="G75">
      <formula1>NaN</formula1>
    </dataValidation>
    <dataValidation type="decimal" operator="lessThanOrEqual" allowBlank="1" showInputMessage="1" showErrorMessage="1" sqref="G76">
      <formula1>NaN</formula1>
    </dataValidation>
    <dataValidation type="decimal" operator="lessThanOrEqual" allowBlank="1" showInputMessage="1" showErrorMessage="1" sqref="G77">
      <formula1>NaN</formula1>
    </dataValidation>
    <dataValidation type="decimal" operator="lessThanOrEqual" allowBlank="1" showInputMessage="1" showErrorMessage="1" sqref="G78">
      <formula1>NaN</formula1>
    </dataValidation>
    <dataValidation type="decimal" operator="lessThanOrEqual" allowBlank="1" showInputMessage="1" showErrorMessage="1" sqref="G79">
      <formula1>NaN</formula1>
    </dataValidation>
    <dataValidation type="decimal" operator="lessThanOrEqual" allowBlank="1" showInputMessage="1" showErrorMessage="1" sqref="G80">
      <formula1>NaN</formula1>
    </dataValidation>
    <dataValidation type="decimal" operator="lessThanOrEqual" allowBlank="1" showInputMessage="1" showErrorMessage="1" sqref="G81">
      <formula1>NaN</formula1>
    </dataValidation>
    <dataValidation type="decimal" operator="lessThanOrEqual" allowBlank="1" showInputMessage="1" showErrorMessage="1" sqref="G82">
      <formula1>NaN</formula1>
    </dataValidation>
    <dataValidation type="decimal" operator="lessThanOrEqual" allowBlank="1" showInputMessage="1" showErrorMessage="1" sqref="G83">
      <formula1>NaN</formula1>
    </dataValidation>
    <dataValidation type="decimal" operator="lessThanOrEqual" allowBlank="1" showInputMessage="1" showErrorMessage="1" sqref="G84">
      <formula1>NaN</formula1>
    </dataValidation>
    <dataValidation type="decimal" operator="lessThanOrEqual" allowBlank="1" showInputMessage="1" showErrorMessage="1" sqref="G85">
      <formula1>NaN</formula1>
    </dataValidation>
    <dataValidation type="decimal" operator="lessThanOrEqual" allowBlank="1" showInputMessage="1" showErrorMessage="1" sqref="G86">
      <formula1>NaN</formula1>
    </dataValidation>
    <dataValidation type="decimal" operator="lessThanOrEqual" allowBlank="1" showInputMessage="1" showErrorMessage="1" sqref="G87">
      <formula1>NaN</formula1>
    </dataValidation>
    <dataValidation type="decimal" operator="lessThanOrEqual" allowBlank="1" showInputMessage="1" showErrorMessage="1" sqref="G88">
      <formula1>NaN</formula1>
    </dataValidation>
    <dataValidation type="decimal" operator="lessThanOrEqual" allowBlank="1" showInputMessage="1" showErrorMessage="1" sqref="G89">
      <formula1>NaN</formula1>
    </dataValidation>
    <dataValidation type="decimal" operator="lessThanOrEqual" allowBlank="1" showInputMessage="1" showErrorMessage="1" sqref="G90">
      <formula1>NaN</formula1>
    </dataValidation>
    <dataValidation type="decimal" operator="lessThanOrEqual" allowBlank="1" showInputMessage="1" showErrorMessage="1" sqref="G91">
      <formula1>NaN</formula1>
    </dataValidation>
    <dataValidation type="decimal" operator="lessThanOrEqual" allowBlank="1" showInputMessage="1" showErrorMessage="1" sqref="G92">
      <formula1>NaN</formula1>
    </dataValidation>
    <dataValidation type="decimal" operator="lessThanOrEqual" allowBlank="1" showInputMessage="1" showErrorMessage="1" sqref="G93">
      <formula1>NaN</formula1>
    </dataValidation>
    <dataValidation type="decimal" operator="lessThanOrEqual" allowBlank="1" showInputMessage="1" showErrorMessage="1" sqref="G94">
      <formula1>NaN</formula1>
    </dataValidation>
    <dataValidation type="decimal" operator="lessThanOrEqual" allowBlank="1" showInputMessage="1" showErrorMessage="1" sqref="G95">
      <formula1>NaN</formula1>
    </dataValidation>
    <dataValidation type="decimal" operator="lessThanOrEqual" allowBlank="1" showInputMessage="1" showErrorMessage="1" sqref="G96">
      <formula1>NaN</formula1>
    </dataValidation>
    <dataValidation type="decimal" operator="lessThanOrEqual" allowBlank="1" showInputMessage="1" showErrorMessage="1" sqref="G97">
      <formula1>NaN</formula1>
    </dataValidation>
    <dataValidation type="decimal" operator="lessThanOrEqual" allowBlank="1" showInputMessage="1" showErrorMessage="1" sqref="G98">
      <formula1>NaN</formula1>
    </dataValidation>
    <dataValidation type="decimal" operator="lessThanOrEqual" allowBlank="1" showInputMessage="1" showErrorMessage="1" sqref="G99">
      <formula1>NaN</formula1>
    </dataValidation>
    <dataValidation type="decimal" operator="lessThanOrEqual" allowBlank="1" showInputMessage="1" showErrorMessage="1" sqref="H100">
      <formula1>NaN</formula1>
    </dataValidation>
    <dataValidation type="decimal" operator="lessThanOrEqual" allowBlank="1" showInputMessage="1" showErrorMessage="1" sqref="H101">
      <formula1>NaN</formula1>
    </dataValidation>
    <dataValidation type="decimal" operator="lessThanOrEqual" allowBlank="1" showInputMessage="1" showErrorMessage="1" sqref="H102">
      <formula1>NaN</formula1>
    </dataValidation>
    <dataValidation type="decimal" operator="lessThanOrEqual" allowBlank="1" showInputMessage="1" showErrorMessage="1" sqref="H103">
      <formula1>NaN</formula1>
    </dataValidation>
    <dataValidation type="decimal" operator="lessThanOrEqual" allowBlank="1" showInputMessage="1" showErrorMessage="1" sqref="H104">
      <formula1>NaN</formula1>
    </dataValidation>
    <dataValidation type="decimal" operator="lessThanOrEqual" allowBlank="1" showInputMessage="1" showErrorMessage="1" sqref="H105">
      <formula1>NaN</formula1>
    </dataValidation>
    <dataValidation type="decimal" operator="lessThanOrEqual" allowBlank="1" showInputMessage="1" showErrorMessage="1" sqref="H106">
      <formula1>NaN</formula1>
    </dataValidation>
    <dataValidation type="decimal" operator="lessThanOrEqual" allowBlank="1" showInputMessage="1" showErrorMessage="1" sqref="H107">
      <formula1>NaN</formula1>
    </dataValidation>
    <dataValidation type="decimal" operator="lessThanOrEqual" allowBlank="1" showInputMessage="1" showErrorMessage="1" sqref="H108">
      <formula1>NaN</formula1>
    </dataValidation>
    <dataValidation type="decimal" operator="lessThanOrEqual" allowBlank="1" showInputMessage="1" showErrorMessage="1" sqref="H109">
      <formula1>NaN</formula1>
    </dataValidation>
    <dataValidation type="decimal" operator="lessThanOrEqual" allowBlank="1" showInputMessage="1" showErrorMessage="1" sqref="H110">
      <formula1>NaN</formula1>
    </dataValidation>
    <dataValidation type="decimal" operator="lessThanOrEqual" allowBlank="1" showInputMessage="1" showErrorMessage="1" sqref="H111">
      <formula1>NaN</formula1>
    </dataValidation>
    <dataValidation type="decimal" operator="lessThanOrEqual" allowBlank="1" showInputMessage="1" showErrorMessage="1" sqref="H112">
      <formula1>NaN</formula1>
    </dataValidation>
    <dataValidation type="decimal" operator="lessThanOrEqual" allowBlank="1" showInputMessage="1" showErrorMessage="1" sqref="H113">
      <formula1>NaN</formula1>
    </dataValidation>
    <dataValidation type="decimal" operator="lessThanOrEqual" allowBlank="1" showInputMessage="1" showErrorMessage="1" sqref="H114">
      <formula1>NaN</formula1>
    </dataValidation>
    <dataValidation type="decimal" operator="lessThanOrEqual" allowBlank="1" showInputMessage="1" showErrorMessage="1" sqref="H115">
      <formula1>NaN</formula1>
    </dataValidation>
    <dataValidation type="decimal" operator="lessThanOrEqual" allowBlank="1" showInputMessage="1" showErrorMessage="1" sqref="H116">
      <formula1>NaN</formula1>
    </dataValidation>
    <dataValidation type="decimal" operator="lessThanOrEqual" allowBlank="1" showInputMessage="1" showErrorMessage="1" sqref="H117">
      <formula1>NaN</formula1>
    </dataValidation>
    <dataValidation type="decimal" operator="lessThanOrEqual" allowBlank="1" showInputMessage="1" showErrorMessage="1" sqref="H118">
      <formula1>NaN</formula1>
    </dataValidation>
    <dataValidation type="decimal" operator="lessThanOrEqual" allowBlank="1" showInputMessage="1" showErrorMessage="1" sqref="H119">
      <formula1>NaN</formula1>
    </dataValidation>
    <dataValidation type="decimal" operator="lessThanOrEqual" allowBlank="1" showInputMessage="1" showErrorMessage="1" sqref="H120">
      <formula1>NaN</formula1>
    </dataValidation>
    <dataValidation type="decimal" operator="lessThanOrEqual" allowBlank="1" showInputMessage="1" showErrorMessage="1" sqref="H121">
      <formula1>NaN</formula1>
    </dataValidation>
    <dataValidation type="decimal" operator="lessThanOrEqual" allowBlank="1" showInputMessage="1" showErrorMessage="1" sqref="H122">
      <formula1>NaN</formula1>
    </dataValidation>
    <dataValidation type="decimal" operator="lessThanOrEqual" allowBlank="1" showInputMessage="1" showErrorMessage="1" sqref="H123">
      <formula1>NaN</formula1>
    </dataValidation>
    <dataValidation type="decimal" operator="lessThanOrEqual" allowBlank="1" showInputMessage="1" showErrorMessage="1" sqref="H124">
      <formula1>NaN</formula1>
    </dataValidation>
    <dataValidation type="decimal" operator="lessThanOrEqual" allowBlank="1" showInputMessage="1" showErrorMessage="1" sqref="H125">
      <formula1>NaN</formula1>
    </dataValidation>
    <dataValidation type="decimal" operator="lessThanOrEqual" allowBlank="1" showInputMessage="1" showErrorMessage="1" sqref="H126">
      <formula1>NaN</formula1>
    </dataValidation>
    <dataValidation type="decimal" operator="lessThanOrEqual" allowBlank="1" showInputMessage="1" showErrorMessage="1" sqref="H127">
      <formula1>NaN</formula1>
    </dataValidation>
    <dataValidation type="decimal" operator="lessThanOrEqual" allowBlank="1" showInputMessage="1" showErrorMessage="1" sqref="H128">
      <formula1>NaN</formula1>
    </dataValidation>
    <dataValidation type="decimal" operator="lessThanOrEqual" allowBlank="1" showInputMessage="1" showErrorMessage="1" sqref="H129">
      <formula1>NaN</formula1>
    </dataValidation>
    <dataValidation type="decimal" operator="lessThanOrEqual" allowBlank="1" showInputMessage="1" showErrorMessage="1" sqref="H13">
      <formula1>NaN</formula1>
    </dataValidation>
    <dataValidation type="decimal" operator="lessThanOrEqual" allowBlank="1" showInputMessage="1" showErrorMessage="1" sqref="H130">
      <formula1>NaN</formula1>
    </dataValidation>
    <dataValidation type="decimal" operator="lessThanOrEqual" allowBlank="1" showInputMessage="1" showErrorMessage="1" sqref="H131">
      <formula1>NaN</formula1>
    </dataValidation>
    <dataValidation type="decimal" operator="lessThanOrEqual" allowBlank="1" showInputMessage="1" showErrorMessage="1" sqref="H132">
      <formula1>NaN</formula1>
    </dataValidation>
    <dataValidation type="decimal" operator="lessThanOrEqual" allowBlank="1" showInputMessage="1" showErrorMessage="1" sqref="H133">
      <formula1>NaN</formula1>
    </dataValidation>
    <dataValidation type="decimal" operator="lessThanOrEqual" allowBlank="1" showInputMessage="1" showErrorMessage="1" sqref="H134">
      <formula1>NaN</formula1>
    </dataValidation>
    <dataValidation type="decimal" operator="lessThanOrEqual" allowBlank="1" showInputMessage="1" showErrorMessage="1" sqref="H135">
      <formula1>NaN</formula1>
    </dataValidation>
    <dataValidation type="decimal" operator="lessThanOrEqual" allowBlank="1" showInputMessage="1" showErrorMessage="1" sqref="H14">
      <formula1>NaN</formula1>
    </dataValidation>
    <dataValidation type="decimal" operator="lessThanOrEqual" allowBlank="1" showInputMessage="1" showErrorMessage="1" sqref="H15">
      <formula1>NaN</formula1>
    </dataValidation>
    <dataValidation type="decimal" operator="lessThanOrEqual" allowBlank="1" showInputMessage="1" showErrorMessage="1" sqref="H16">
      <formula1>NaN</formula1>
    </dataValidation>
    <dataValidation type="decimal" operator="lessThanOrEqual" allowBlank="1" showInputMessage="1" showErrorMessage="1" sqref="H17">
      <formula1>NaN</formula1>
    </dataValidation>
    <dataValidation type="decimal" operator="lessThanOrEqual" allowBlank="1" showInputMessage="1" showErrorMessage="1" sqref="H18">
      <formula1>NaN</formula1>
    </dataValidation>
    <dataValidation type="decimal" operator="lessThanOrEqual" allowBlank="1" showInputMessage="1" showErrorMessage="1" sqref="H19">
      <formula1>NaN</formula1>
    </dataValidation>
    <dataValidation type="decimal" operator="lessThanOrEqual" allowBlank="1" showInputMessage="1" showErrorMessage="1" sqref="H20">
      <formula1>NaN</formula1>
    </dataValidation>
    <dataValidation type="decimal" operator="lessThanOrEqual" allowBlank="1" showInputMessage="1" showErrorMessage="1" sqref="H21">
      <formula1>NaN</formula1>
    </dataValidation>
    <dataValidation type="decimal" operator="lessThanOrEqual" allowBlank="1" showInputMessage="1" showErrorMessage="1" sqref="H22">
      <formula1>NaN</formula1>
    </dataValidation>
    <dataValidation type="decimal" operator="lessThanOrEqual" allowBlank="1" showInputMessage="1" showErrorMessage="1" sqref="H23">
      <formula1>NaN</formula1>
    </dataValidation>
    <dataValidation type="decimal" operator="lessThanOrEqual" allowBlank="1" showInputMessage="1" showErrorMessage="1" sqref="H24">
      <formula1>NaN</formula1>
    </dataValidation>
    <dataValidation type="decimal" operator="lessThanOrEqual" allowBlank="1" showInputMessage="1" showErrorMessage="1" sqref="H25">
      <formula1>NaN</formula1>
    </dataValidation>
    <dataValidation type="decimal" operator="lessThanOrEqual" allowBlank="1" showInputMessage="1" showErrorMessage="1" sqref="H26">
      <formula1>NaN</formula1>
    </dataValidation>
    <dataValidation type="decimal" operator="lessThanOrEqual" allowBlank="1" showInputMessage="1" showErrorMessage="1" sqref="H27">
      <formula1>NaN</formula1>
    </dataValidation>
    <dataValidation type="decimal" operator="lessThanOrEqual" allowBlank="1" showInputMessage="1" showErrorMessage="1" sqref="H28">
      <formula1>NaN</formula1>
    </dataValidation>
    <dataValidation type="decimal" operator="lessThanOrEqual" allowBlank="1" showInputMessage="1" showErrorMessage="1" sqref="H29">
      <formula1>NaN</formula1>
    </dataValidation>
    <dataValidation type="decimal" operator="lessThanOrEqual" allowBlank="1" showInputMessage="1" showErrorMessage="1" sqref="H30">
      <formula1>NaN</formula1>
    </dataValidation>
    <dataValidation type="decimal" operator="lessThanOrEqual" allowBlank="1" showInputMessage="1" showErrorMessage="1" sqref="H31">
      <formula1>NaN</formula1>
    </dataValidation>
    <dataValidation type="decimal" operator="lessThanOrEqual" allowBlank="1" showInputMessage="1" showErrorMessage="1" sqref="H32">
      <formula1>NaN</formula1>
    </dataValidation>
    <dataValidation type="decimal" operator="lessThanOrEqual" allowBlank="1" showInputMessage="1" showErrorMessage="1" sqref="H33">
      <formula1>NaN</formula1>
    </dataValidation>
    <dataValidation type="decimal" operator="lessThanOrEqual" allowBlank="1" showInputMessage="1" showErrorMessage="1" sqref="H34">
      <formula1>NaN</formula1>
    </dataValidation>
    <dataValidation type="decimal" operator="lessThanOrEqual" allowBlank="1" showInputMessage="1" showErrorMessage="1" sqref="H35">
      <formula1>NaN</formula1>
    </dataValidation>
    <dataValidation type="decimal" operator="lessThanOrEqual" allowBlank="1" showInputMessage="1" showErrorMessage="1" sqref="H36">
      <formula1>NaN</formula1>
    </dataValidation>
    <dataValidation type="decimal" operator="lessThanOrEqual" allowBlank="1" showInputMessage="1" showErrorMessage="1" sqref="H37">
      <formula1>NaN</formula1>
    </dataValidation>
    <dataValidation type="decimal" operator="lessThanOrEqual" allowBlank="1" showInputMessage="1" showErrorMessage="1" sqref="H38">
      <formula1>NaN</formula1>
    </dataValidation>
    <dataValidation type="decimal" operator="lessThanOrEqual" allowBlank="1" showInputMessage="1" showErrorMessage="1" sqref="H39">
      <formula1>NaN</formula1>
    </dataValidation>
    <dataValidation type="decimal" operator="lessThanOrEqual" allowBlank="1" showInputMessage="1" showErrorMessage="1" sqref="H40">
      <formula1>NaN</formula1>
    </dataValidation>
    <dataValidation type="decimal" operator="lessThanOrEqual" allowBlank="1" showInputMessage="1" showErrorMessage="1" sqref="H41">
      <formula1>NaN</formula1>
    </dataValidation>
    <dataValidation type="decimal" operator="lessThanOrEqual" allowBlank="1" showInputMessage="1" showErrorMessage="1" sqref="H42">
      <formula1>NaN</formula1>
    </dataValidation>
    <dataValidation type="decimal" operator="lessThanOrEqual" allowBlank="1" showInputMessage="1" showErrorMessage="1" sqref="H43">
      <formula1>NaN</formula1>
    </dataValidation>
    <dataValidation type="decimal" operator="lessThanOrEqual" allowBlank="1" showInputMessage="1" showErrorMessage="1" sqref="H44">
      <formula1>NaN</formula1>
    </dataValidation>
    <dataValidation type="decimal" operator="lessThanOrEqual" allowBlank="1" showInputMessage="1" showErrorMessage="1" sqref="H45">
      <formula1>NaN</formula1>
    </dataValidation>
    <dataValidation type="decimal" operator="lessThanOrEqual" allowBlank="1" showInputMessage="1" showErrorMessage="1" sqref="H46">
      <formula1>NaN</formula1>
    </dataValidation>
    <dataValidation type="decimal" operator="lessThanOrEqual" allowBlank="1" showInputMessage="1" showErrorMessage="1" sqref="H47">
      <formula1>NaN</formula1>
    </dataValidation>
    <dataValidation type="decimal" operator="lessThanOrEqual" allowBlank="1" showInputMessage="1" showErrorMessage="1" sqref="H48">
      <formula1>NaN</formula1>
    </dataValidation>
    <dataValidation type="decimal" operator="lessThanOrEqual" allowBlank="1" showInputMessage="1" showErrorMessage="1" sqref="H49">
      <formula1>NaN</formula1>
    </dataValidation>
    <dataValidation type="decimal" operator="lessThanOrEqual" allowBlank="1" showInputMessage="1" showErrorMessage="1" sqref="H50">
      <formula1>NaN</formula1>
    </dataValidation>
    <dataValidation type="decimal" operator="lessThanOrEqual" allowBlank="1" showInputMessage="1" showErrorMessage="1" sqref="H51">
      <formula1>NaN</formula1>
    </dataValidation>
    <dataValidation type="decimal" operator="lessThanOrEqual" allowBlank="1" showInputMessage="1" showErrorMessage="1" sqref="H52">
      <formula1>NaN</formula1>
    </dataValidation>
    <dataValidation type="decimal" operator="lessThanOrEqual" allowBlank="1" showInputMessage="1" showErrorMessage="1" sqref="H53">
      <formula1>NaN</formula1>
    </dataValidation>
    <dataValidation type="decimal" operator="lessThanOrEqual" allowBlank="1" showInputMessage="1" showErrorMessage="1" sqref="H54">
      <formula1>NaN</formula1>
    </dataValidation>
    <dataValidation type="decimal" operator="lessThanOrEqual" allowBlank="1" showInputMessage="1" showErrorMessage="1" sqref="H55">
      <formula1>NaN</formula1>
    </dataValidation>
    <dataValidation type="decimal" operator="lessThanOrEqual" allowBlank="1" showInputMessage="1" showErrorMessage="1" sqref="H56">
      <formula1>NaN</formula1>
    </dataValidation>
    <dataValidation type="decimal" operator="lessThanOrEqual" allowBlank="1" showInputMessage="1" showErrorMessage="1" sqref="H57">
      <formula1>NaN</formula1>
    </dataValidation>
    <dataValidation type="decimal" operator="lessThanOrEqual" allowBlank="1" showInputMessage="1" showErrorMessage="1" sqref="H58">
      <formula1>NaN</formula1>
    </dataValidation>
    <dataValidation type="decimal" operator="lessThanOrEqual" allowBlank="1" showInputMessage="1" showErrorMessage="1" sqref="H59">
      <formula1>NaN</formula1>
    </dataValidation>
    <dataValidation type="decimal" operator="lessThanOrEqual" allowBlank="1" showInputMessage="1" showErrorMessage="1" sqref="H60">
      <formula1>NaN</formula1>
    </dataValidation>
    <dataValidation type="decimal" operator="lessThanOrEqual" allowBlank="1" showInputMessage="1" showErrorMessage="1" sqref="H61">
      <formula1>NaN</formula1>
    </dataValidation>
    <dataValidation type="decimal" operator="lessThanOrEqual" allowBlank="1" showInputMessage="1" showErrorMessage="1" sqref="H62">
      <formula1>NaN</formula1>
    </dataValidation>
    <dataValidation type="decimal" operator="lessThanOrEqual" allowBlank="1" showInputMessage="1" showErrorMessage="1" sqref="H63">
      <formula1>NaN</formula1>
    </dataValidation>
    <dataValidation type="decimal" operator="lessThanOrEqual" allowBlank="1" showInputMessage="1" showErrorMessage="1" sqref="H64">
      <formula1>NaN</formula1>
    </dataValidation>
    <dataValidation type="decimal" operator="lessThanOrEqual" allowBlank="1" showInputMessage="1" showErrorMessage="1" sqref="H65">
      <formula1>NaN</formula1>
    </dataValidation>
    <dataValidation type="decimal" operator="lessThanOrEqual" allowBlank="1" showInputMessage="1" showErrorMessage="1" sqref="H66">
      <formula1>NaN</formula1>
    </dataValidation>
    <dataValidation type="decimal" operator="lessThanOrEqual" allowBlank="1" showInputMessage="1" showErrorMessage="1" sqref="H67">
      <formula1>NaN</formula1>
    </dataValidation>
    <dataValidation type="decimal" operator="lessThanOrEqual" allowBlank="1" showInputMessage="1" showErrorMessage="1" sqref="H68">
      <formula1>NaN</formula1>
    </dataValidation>
    <dataValidation type="decimal" operator="lessThanOrEqual" allowBlank="1" showInputMessage="1" showErrorMessage="1" sqref="H69">
      <formula1>NaN</formula1>
    </dataValidation>
    <dataValidation type="decimal" operator="lessThanOrEqual" allowBlank="1" showInputMessage="1" showErrorMessage="1" sqref="H70">
      <formula1>NaN</formula1>
    </dataValidation>
    <dataValidation type="decimal" operator="lessThanOrEqual" allowBlank="1" showInputMessage="1" showErrorMessage="1" sqref="H71">
      <formula1>NaN</formula1>
    </dataValidation>
    <dataValidation type="decimal" operator="lessThanOrEqual" allowBlank="1" showInputMessage="1" showErrorMessage="1" sqref="H72">
      <formula1>NaN</formula1>
    </dataValidation>
    <dataValidation type="decimal" operator="lessThanOrEqual" allowBlank="1" showInputMessage="1" showErrorMessage="1" sqref="H73">
      <formula1>NaN</formula1>
    </dataValidation>
    <dataValidation type="decimal" operator="lessThanOrEqual" allowBlank="1" showInputMessage="1" showErrorMessage="1" sqref="H74">
      <formula1>NaN</formula1>
    </dataValidation>
    <dataValidation type="decimal" operator="lessThanOrEqual" allowBlank="1" showInputMessage="1" showErrorMessage="1" sqref="H75">
      <formula1>NaN</formula1>
    </dataValidation>
    <dataValidation type="decimal" operator="lessThanOrEqual" allowBlank="1" showInputMessage="1" showErrorMessage="1" sqref="H76">
      <formula1>NaN</formula1>
    </dataValidation>
    <dataValidation type="decimal" operator="lessThanOrEqual" allowBlank="1" showInputMessage="1" showErrorMessage="1" sqref="H77">
      <formula1>NaN</formula1>
    </dataValidation>
    <dataValidation type="decimal" operator="lessThanOrEqual" allowBlank="1" showInputMessage="1" showErrorMessage="1" sqref="H78">
      <formula1>NaN</formula1>
    </dataValidation>
    <dataValidation type="decimal" operator="lessThanOrEqual" allowBlank="1" showInputMessage="1" showErrorMessage="1" sqref="H79">
      <formula1>NaN</formula1>
    </dataValidation>
    <dataValidation type="decimal" operator="lessThanOrEqual" allowBlank="1" showInputMessage="1" showErrorMessage="1" sqref="H80">
      <formula1>NaN</formula1>
    </dataValidation>
    <dataValidation type="decimal" operator="lessThanOrEqual" allowBlank="1" showInputMessage="1" showErrorMessage="1" sqref="H81">
      <formula1>NaN</formula1>
    </dataValidation>
    <dataValidation type="decimal" operator="lessThanOrEqual" allowBlank="1" showInputMessage="1" showErrorMessage="1" sqref="H82">
      <formula1>NaN</formula1>
    </dataValidation>
    <dataValidation type="decimal" operator="lessThanOrEqual" allowBlank="1" showInputMessage="1" showErrorMessage="1" sqref="H83">
      <formula1>NaN</formula1>
    </dataValidation>
    <dataValidation type="decimal" operator="lessThanOrEqual" allowBlank="1" showInputMessage="1" showErrorMessage="1" sqref="H84">
      <formula1>NaN</formula1>
    </dataValidation>
    <dataValidation type="decimal" operator="lessThanOrEqual" allowBlank="1" showInputMessage="1" showErrorMessage="1" sqref="H85">
      <formula1>NaN</formula1>
    </dataValidation>
    <dataValidation type="decimal" operator="lessThanOrEqual" allowBlank="1" showInputMessage="1" showErrorMessage="1" sqref="H86">
      <formula1>NaN</formula1>
    </dataValidation>
    <dataValidation type="decimal" operator="lessThanOrEqual" allowBlank="1" showInputMessage="1" showErrorMessage="1" sqref="H87">
      <formula1>NaN</formula1>
    </dataValidation>
    <dataValidation type="decimal" operator="lessThanOrEqual" allowBlank="1" showInputMessage="1" showErrorMessage="1" sqref="H88">
      <formula1>NaN</formula1>
    </dataValidation>
    <dataValidation type="decimal" operator="lessThanOrEqual" allowBlank="1" showInputMessage="1" showErrorMessage="1" sqref="H89">
      <formula1>NaN</formula1>
    </dataValidation>
    <dataValidation type="decimal" operator="lessThanOrEqual" allowBlank="1" showInputMessage="1" showErrorMessage="1" sqref="H90">
      <formula1>NaN</formula1>
    </dataValidation>
    <dataValidation type="decimal" operator="lessThanOrEqual" allowBlank="1" showInputMessage="1" showErrorMessage="1" sqref="H91">
      <formula1>NaN</formula1>
    </dataValidation>
    <dataValidation type="decimal" operator="lessThanOrEqual" allowBlank="1" showInputMessage="1" showErrorMessage="1" sqref="H92">
      <formula1>NaN</formula1>
    </dataValidation>
    <dataValidation type="decimal" operator="lessThanOrEqual" allowBlank="1" showInputMessage="1" showErrorMessage="1" sqref="H93">
      <formula1>NaN</formula1>
    </dataValidation>
    <dataValidation type="decimal" operator="lessThanOrEqual" allowBlank="1" showInputMessage="1" showErrorMessage="1" sqref="H94">
      <formula1>NaN</formula1>
    </dataValidation>
    <dataValidation type="decimal" operator="lessThanOrEqual" allowBlank="1" showInputMessage="1" showErrorMessage="1" sqref="H95">
      <formula1>NaN</formula1>
    </dataValidation>
    <dataValidation type="decimal" operator="lessThanOrEqual" allowBlank="1" showInputMessage="1" showErrorMessage="1" sqref="H96">
      <formula1>NaN</formula1>
    </dataValidation>
    <dataValidation type="decimal" operator="lessThanOrEqual" allowBlank="1" showInputMessage="1" showErrorMessage="1" sqref="H97">
      <formula1>NaN</formula1>
    </dataValidation>
    <dataValidation type="decimal" operator="lessThanOrEqual" allowBlank="1" showInputMessage="1" showErrorMessage="1" sqref="H98">
      <formula1>NaN</formula1>
    </dataValidation>
    <dataValidation type="decimal" operator="lessThanOrEqual" allowBlank="1" showInputMessage="1" showErrorMessage="1" sqref="H99">
      <formula1>NaN</formula1>
    </dataValidation>
    <dataValidation type="decimal" operator="lessThanOrEqual" allowBlank="1" showInputMessage="1" showErrorMessage="1" sqref="I100">
      <formula1>NaN</formula1>
    </dataValidation>
    <dataValidation type="decimal" operator="lessThanOrEqual" allowBlank="1" showInputMessage="1" showErrorMessage="1" sqref="I101">
      <formula1>NaN</formula1>
    </dataValidation>
    <dataValidation type="decimal" operator="lessThanOrEqual" allowBlank="1" showInputMessage="1" showErrorMessage="1" sqref="I102">
      <formula1>NaN</formula1>
    </dataValidation>
    <dataValidation type="decimal" operator="lessThanOrEqual" allowBlank="1" showInputMessage="1" showErrorMessage="1" sqref="I103">
      <formula1>NaN</formula1>
    </dataValidation>
    <dataValidation type="decimal" operator="lessThanOrEqual" allowBlank="1" showInputMessage="1" showErrorMessage="1" sqref="I104">
      <formula1>NaN</formula1>
    </dataValidation>
    <dataValidation type="decimal" operator="lessThanOrEqual" allowBlank="1" showInputMessage="1" showErrorMessage="1" sqref="I105">
      <formula1>NaN</formula1>
    </dataValidation>
    <dataValidation type="decimal" operator="lessThanOrEqual" allowBlank="1" showInputMessage="1" showErrorMessage="1" sqref="I106">
      <formula1>NaN</formula1>
    </dataValidation>
    <dataValidation type="decimal" operator="lessThanOrEqual" allowBlank="1" showInputMessage="1" showErrorMessage="1" sqref="I107">
      <formula1>NaN</formula1>
    </dataValidation>
    <dataValidation type="decimal" operator="lessThanOrEqual" allowBlank="1" showInputMessage="1" showErrorMessage="1" sqref="I108">
      <formula1>NaN</formula1>
    </dataValidation>
    <dataValidation type="decimal" operator="lessThanOrEqual" allowBlank="1" showInputMessage="1" showErrorMessage="1" sqref="I109">
      <formula1>NaN</formula1>
    </dataValidation>
    <dataValidation type="decimal" operator="lessThanOrEqual" allowBlank="1" showInputMessage="1" showErrorMessage="1" sqref="I110">
      <formula1>NaN</formula1>
    </dataValidation>
    <dataValidation type="decimal" operator="lessThanOrEqual" allowBlank="1" showInputMessage="1" showErrorMessage="1" sqref="I111">
      <formula1>NaN</formula1>
    </dataValidation>
    <dataValidation type="decimal" operator="lessThanOrEqual" allowBlank="1" showInputMessage="1" showErrorMessage="1" sqref="I112">
      <formula1>NaN</formula1>
    </dataValidation>
    <dataValidation type="decimal" operator="lessThanOrEqual" allowBlank="1" showInputMessage="1" showErrorMessage="1" sqref="I113">
      <formula1>NaN</formula1>
    </dataValidation>
    <dataValidation type="decimal" operator="lessThanOrEqual" allowBlank="1" showInputMessage="1" showErrorMessage="1" sqref="I114">
      <formula1>NaN</formula1>
    </dataValidation>
    <dataValidation type="decimal" operator="lessThanOrEqual" allowBlank="1" showInputMessage="1" showErrorMessage="1" sqref="I115">
      <formula1>NaN</formula1>
    </dataValidation>
    <dataValidation type="decimal" operator="lessThanOrEqual" allowBlank="1" showInputMessage="1" showErrorMessage="1" sqref="I116">
      <formula1>NaN</formula1>
    </dataValidation>
    <dataValidation type="decimal" operator="lessThanOrEqual" allowBlank="1" showInputMessage="1" showErrorMessage="1" sqref="I117">
      <formula1>NaN</formula1>
    </dataValidation>
    <dataValidation type="decimal" operator="lessThanOrEqual" allowBlank="1" showInputMessage="1" showErrorMessage="1" sqref="I118">
      <formula1>NaN</formula1>
    </dataValidation>
    <dataValidation type="decimal" operator="lessThanOrEqual" allowBlank="1" showInputMessage="1" showErrorMessage="1" sqref="I119">
      <formula1>NaN</formula1>
    </dataValidation>
    <dataValidation type="decimal" operator="lessThanOrEqual" allowBlank="1" showInputMessage="1" showErrorMessage="1" sqref="I120">
      <formula1>NaN</formula1>
    </dataValidation>
    <dataValidation type="decimal" operator="lessThanOrEqual" allowBlank="1" showInputMessage="1" showErrorMessage="1" sqref="I121">
      <formula1>NaN</formula1>
    </dataValidation>
    <dataValidation type="decimal" operator="lessThanOrEqual" allowBlank="1" showInputMessage="1" showErrorMessage="1" sqref="I122">
      <formula1>NaN</formula1>
    </dataValidation>
    <dataValidation type="decimal" operator="lessThanOrEqual" allowBlank="1" showInputMessage="1" showErrorMessage="1" sqref="I123">
      <formula1>NaN</formula1>
    </dataValidation>
    <dataValidation type="decimal" operator="lessThanOrEqual" allowBlank="1" showInputMessage="1" showErrorMessage="1" sqref="I124">
      <formula1>NaN</formula1>
    </dataValidation>
    <dataValidation type="decimal" operator="lessThanOrEqual" allowBlank="1" showInputMessage="1" showErrorMessage="1" sqref="I125">
      <formula1>NaN</formula1>
    </dataValidation>
    <dataValidation type="decimal" operator="lessThanOrEqual" allowBlank="1" showInputMessage="1" showErrorMessage="1" sqref="I126">
      <formula1>NaN</formula1>
    </dataValidation>
    <dataValidation type="decimal" operator="lessThanOrEqual" allowBlank="1" showInputMessage="1" showErrorMessage="1" sqref="I127">
      <formula1>NaN</formula1>
    </dataValidation>
    <dataValidation type="decimal" operator="lessThanOrEqual" allowBlank="1" showInputMessage="1" showErrorMessage="1" sqref="I128">
      <formula1>NaN</formula1>
    </dataValidation>
    <dataValidation type="decimal" operator="lessThanOrEqual" allowBlank="1" showInputMessage="1" showErrorMessage="1" sqref="I129">
      <formula1>NaN</formula1>
    </dataValidation>
    <dataValidation type="decimal" operator="lessThanOrEqual" allowBlank="1" showInputMessage="1" showErrorMessage="1" sqref="I13">
      <formula1>NaN</formula1>
    </dataValidation>
    <dataValidation type="decimal" operator="lessThanOrEqual" allowBlank="1" showInputMessage="1" showErrorMessage="1" sqref="I130">
      <formula1>NaN</formula1>
    </dataValidation>
    <dataValidation type="decimal" operator="lessThanOrEqual" allowBlank="1" showInputMessage="1" showErrorMessage="1" sqref="I131">
      <formula1>NaN</formula1>
    </dataValidation>
    <dataValidation type="decimal" operator="lessThanOrEqual" allowBlank="1" showInputMessage="1" showErrorMessage="1" sqref="I132">
      <formula1>NaN</formula1>
    </dataValidation>
    <dataValidation type="decimal" operator="lessThanOrEqual" allowBlank="1" showInputMessage="1" showErrorMessage="1" sqref="I133">
      <formula1>NaN</formula1>
    </dataValidation>
    <dataValidation type="decimal" operator="lessThanOrEqual" allowBlank="1" showInputMessage="1" showErrorMessage="1" sqref="I134">
      <formula1>NaN</formula1>
    </dataValidation>
    <dataValidation type="decimal" operator="lessThanOrEqual" allowBlank="1" showInputMessage="1" showErrorMessage="1" sqref="I135">
      <formula1>NaN</formula1>
    </dataValidation>
    <dataValidation type="decimal" operator="lessThanOrEqual" allowBlank="1" showInputMessage="1" showErrorMessage="1" sqref="I14">
      <formula1>NaN</formula1>
    </dataValidation>
    <dataValidation type="decimal" operator="lessThanOrEqual" allowBlank="1" showInputMessage="1" showErrorMessage="1" sqref="I15">
      <formula1>NaN</formula1>
    </dataValidation>
    <dataValidation type="decimal" operator="lessThanOrEqual" allowBlank="1" showInputMessage="1" showErrorMessage="1" sqref="I16">
      <formula1>NaN</formula1>
    </dataValidation>
    <dataValidation type="decimal" operator="lessThanOrEqual" allowBlank="1" showInputMessage="1" showErrorMessage="1" sqref="I17">
      <formula1>NaN</formula1>
    </dataValidation>
    <dataValidation type="decimal" operator="lessThanOrEqual" allowBlank="1" showInputMessage="1" showErrorMessage="1" sqref="I18">
      <formula1>NaN</formula1>
    </dataValidation>
    <dataValidation type="decimal" operator="lessThanOrEqual" allowBlank="1" showInputMessage="1" showErrorMessage="1" sqref="I19">
      <formula1>NaN</formula1>
    </dataValidation>
    <dataValidation type="decimal" operator="lessThanOrEqual" allowBlank="1" showInputMessage="1" showErrorMessage="1" sqref="I20">
      <formula1>NaN</formula1>
    </dataValidation>
    <dataValidation type="decimal" operator="lessThanOrEqual" allowBlank="1" showInputMessage="1" showErrorMessage="1" sqref="I21">
      <formula1>NaN</formula1>
    </dataValidation>
    <dataValidation type="decimal" operator="lessThanOrEqual" allowBlank="1" showInputMessage="1" showErrorMessage="1" sqref="I22">
      <formula1>NaN</formula1>
    </dataValidation>
    <dataValidation type="decimal" operator="lessThanOrEqual" allowBlank="1" showInputMessage="1" showErrorMessage="1" sqref="I23">
      <formula1>NaN</formula1>
    </dataValidation>
    <dataValidation type="decimal" operator="lessThanOrEqual" allowBlank="1" showInputMessage="1" showErrorMessage="1" sqref="I24">
      <formula1>NaN</formula1>
    </dataValidation>
    <dataValidation type="decimal" operator="lessThanOrEqual" allowBlank="1" showInputMessage="1" showErrorMessage="1" sqref="I25">
      <formula1>NaN</formula1>
    </dataValidation>
    <dataValidation type="decimal" operator="lessThanOrEqual" allowBlank="1" showInputMessage="1" showErrorMessage="1" sqref="I26">
      <formula1>NaN</formula1>
    </dataValidation>
    <dataValidation type="decimal" operator="lessThanOrEqual" allowBlank="1" showInputMessage="1" showErrorMessage="1" sqref="I27">
      <formula1>NaN</formula1>
    </dataValidation>
    <dataValidation type="decimal" operator="lessThanOrEqual" allowBlank="1" showInputMessage="1" showErrorMessage="1" sqref="I28">
      <formula1>NaN</formula1>
    </dataValidation>
    <dataValidation type="decimal" operator="lessThanOrEqual" allowBlank="1" showInputMessage="1" showErrorMessage="1" sqref="I29">
      <formula1>NaN</formula1>
    </dataValidation>
    <dataValidation type="decimal" operator="lessThanOrEqual" allowBlank="1" showInputMessage="1" showErrorMessage="1" sqref="I30">
      <formula1>NaN</formula1>
    </dataValidation>
    <dataValidation type="decimal" operator="lessThanOrEqual" allowBlank="1" showInputMessage="1" showErrorMessage="1" sqref="I31">
      <formula1>NaN</formula1>
    </dataValidation>
    <dataValidation type="decimal" operator="lessThanOrEqual" allowBlank="1" showInputMessage="1" showErrorMessage="1" sqref="I32">
      <formula1>NaN</formula1>
    </dataValidation>
    <dataValidation type="decimal" operator="lessThanOrEqual" allowBlank="1" showInputMessage="1" showErrorMessage="1" sqref="I33">
      <formula1>NaN</formula1>
    </dataValidation>
    <dataValidation type="decimal" operator="lessThanOrEqual" allowBlank="1" showInputMessage="1" showErrorMessage="1" sqref="I34">
      <formula1>NaN</formula1>
    </dataValidation>
    <dataValidation type="decimal" operator="lessThanOrEqual" allowBlank="1" showInputMessage="1" showErrorMessage="1" sqref="I35">
      <formula1>NaN</formula1>
    </dataValidation>
    <dataValidation type="decimal" operator="lessThanOrEqual" allowBlank="1" showInputMessage="1" showErrorMessage="1" sqref="I36">
      <formula1>NaN</formula1>
    </dataValidation>
    <dataValidation type="decimal" operator="lessThanOrEqual" allowBlank="1" showInputMessage="1" showErrorMessage="1" sqref="I37">
      <formula1>NaN</formula1>
    </dataValidation>
    <dataValidation type="decimal" operator="lessThanOrEqual" allowBlank="1" showInputMessage="1" showErrorMessage="1" sqref="I38">
      <formula1>NaN</formula1>
    </dataValidation>
    <dataValidation type="decimal" operator="lessThanOrEqual" allowBlank="1" showInputMessage="1" showErrorMessage="1" sqref="I39">
      <formula1>NaN</formula1>
    </dataValidation>
    <dataValidation type="decimal" operator="lessThanOrEqual" allowBlank="1" showInputMessage="1" showErrorMessage="1" sqref="I40">
      <formula1>NaN</formula1>
    </dataValidation>
    <dataValidation type="decimal" operator="lessThanOrEqual" allowBlank="1" showInputMessage="1" showErrorMessage="1" sqref="I41">
      <formula1>NaN</formula1>
    </dataValidation>
    <dataValidation type="decimal" operator="lessThanOrEqual" allowBlank="1" showInputMessage="1" showErrorMessage="1" sqref="I42">
      <formula1>NaN</formula1>
    </dataValidation>
    <dataValidation type="decimal" operator="lessThanOrEqual" allowBlank="1" showInputMessage="1" showErrorMessage="1" sqref="I43">
      <formula1>NaN</formula1>
    </dataValidation>
    <dataValidation type="decimal" operator="lessThanOrEqual" allowBlank="1" showInputMessage="1" showErrorMessage="1" sqref="I44">
      <formula1>NaN</formula1>
    </dataValidation>
    <dataValidation type="decimal" operator="lessThanOrEqual" allowBlank="1" showInputMessage="1" showErrorMessage="1" sqref="I45">
      <formula1>NaN</formula1>
    </dataValidation>
    <dataValidation type="decimal" operator="lessThanOrEqual" allowBlank="1" showInputMessage="1" showErrorMessage="1" sqref="I46">
      <formula1>NaN</formula1>
    </dataValidation>
    <dataValidation type="decimal" operator="lessThanOrEqual" allowBlank="1" showInputMessage="1" showErrorMessage="1" sqref="I47">
      <formula1>NaN</formula1>
    </dataValidation>
    <dataValidation type="decimal" operator="lessThanOrEqual" allowBlank="1" showInputMessage="1" showErrorMessage="1" sqref="I48">
      <formula1>NaN</formula1>
    </dataValidation>
    <dataValidation type="decimal" operator="lessThanOrEqual" allowBlank="1" showInputMessage="1" showErrorMessage="1" sqref="I49">
      <formula1>NaN</formula1>
    </dataValidation>
    <dataValidation type="decimal" operator="lessThanOrEqual" allowBlank="1" showInputMessage="1" showErrorMessage="1" sqref="I50">
      <formula1>NaN</formula1>
    </dataValidation>
    <dataValidation type="decimal" operator="lessThanOrEqual" allowBlank="1" showInputMessage="1" showErrorMessage="1" sqref="I51">
      <formula1>NaN</formula1>
    </dataValidation>
    <dataValidation type="decimal" operator="lessThanOrEqual" allowBlank="1" showInputMessage="1" showErrorMessage="1" sqref="I52">
      <formula1>NaN</formula1>
    </dataValidation>
    <dataValidation type="decimal" operator="lessThanOrEqual" allowBlank="1" showInputMessage="1" showErrorMessage="1" sqref="I53">
      <formula1>NaN</formula1>
    </dataValidation>
    <dataValidation type="decimal" operator="lessThanOrEqual" allowBlank="1" showInputMessage="1" showErrorMessage="1" sqref="I54">
      <formula1>NaN</formula1>
    </dataValidation>
    <dataValidation type="decimal" operator="lessThanOrEqual" allowBlank="1" showInputMessage="1" showErrorMessage="1" sqref="I55">
      <formula1>NaN</formula1>
    </dataValidation>
    <dataValidation type="decimal" operator="lessThanOrEqual" allowBlank="1" showInputMessage="1" showErrorMessage="1" sqref="I56">
      <formula1>NaN</formula1>
    </dataValidation>
    <dataValidation type="decimal" operator="lessThanOrEqual" allowBlank="1" showInputMessage="1" showErrorMessage="1" sqref="I57">
      <formula1>NaN</formula1>
    </dataValidation>
    <dataValidation type="decimal" operator="lessThanOrEqual" allowBlank="1" showInputMessage="1" showErrorMessage="1" sqref="I58">
      <formula1>NaN</formula1>
    </dataValidation>
    <dataValidation type="decimal" operator="lessThanOrEqual" allowBlank="1" showInputMessage="1" showErrorMessage="1" sqref="I59">
      <formula1>NaN</formula1>
    </dataValidation>
    <dataValidation type="decimal" operator="lessThanOrEqual" allowBlank="1" showInputMessage="1" showErrorMessage="1" sqref="I60">
      <formula1>NaN</formula1>
    </dataValidation>
    <dataValidation type="decimal" operator="lessThanOrEqual" allowBlank="1" showInputMessage="1" showErrorMessage="1" sqref="I61">
      <formula1>NaN</formula1>
    </dataValidation>
    <dataValidation type="decimal" operator="lessThanOrEqual" allowBlank="1" showInputMessage="1" showErrorMessage="1" sqref="I62">
      <formula1>NaN</formula1>
    </dataValidation>
    <dataValidation type="decimal" operator="lessThanOrEqual" allowBlank="1" showInputMessage="1" showErrorMessage="1" sqref="I63">
      <formula1>NaN</formula1>
    </dataValidation>
    <dataValidation type="decimal" operator="lessThanOrEqual" allowBlank="1" showInputMessage="1" showErrorMessage="1" sqref="I64">
      <formula1>NaN</formula1>
    </dataValidation>
    <dataValidation type="decimal" operator="lessThanOrEqual" allowBlank="1" showInputMessage="1" showErrorMessage="1" sqref="I65">
      <formula1>NaN</formula1>
    </dataValidation>
    <dataValidation type="decimal" operator="lessThanOrEqual" allowBlank="1" showInputMessage="1" showErrorMessage="1" sqref="I66">
      <formula1>NaN</formula1>
    </dataValidation>
    <dataValidation type="decimal" operator="lessThanOrEqual" allowBlank="1" showInputMessage="1" showErrorMessage="1" sqref="I67">
      <formula1>NaN</formula1>
    </dataValidation>
    <dataValidation type="decimal" operator="lessThanOrEqual" allowBlank="1" showInputMessage="1" showErrorMessage="1" sqref="I68">
      <formula1>NaN</formula1>
    </dataValidation>
    <dataValidation type="decimal" operator="lessThanOrEqual" allowBlank="1" showInputMessage="1" showErrorMessage="1" sqref="I69">
      <formula1>NaN</formula1>
    </dataValidation>
    <dataValidation type="decimal" operator="lessThanOrEqual" allowBlank="1" showInputMessage="1" showErrorMessage="1" sqref="I70">
      <formula1>NaN</formula1>
    </dataValidation>
    <dataValidation type="decimal" operator="lessThanOrEqual" allowBlank="1" showInputMessage="1" showErrorMessage="1" sqref="I71">
      <formula1>NaN</formula1>
    </dataValidation>
    <dataValidation type="decimal" operator="lessThanOrEqual" allowBlank="1" showInputMessage="1" showErrorMessage="1" sqref="I72">
      <formula1>NaN</formula1>
    </dataValidation>
    <dataValidation type="decimal" operator="lessThanOrEqual" allowBlank="1" showInputMessage="1" showErrorMessage="1" sqref="I73">
      <formula1>NaN</formula1>
    </dataValidation>
    <dataValidation type="decimal" operator="lessThanOrEqual" allowBlank="1" showInputMessage="1" showErrorMessage="1" sqref="I74">
      <formula1>NaN</formula1>
    </dataValidation>
    <dataValidation type="decimal" operator="lessThanOrEqual" allowBlank="1" showInputMessage="1" showErrorMessage="1" sqref="I75">
      <formula1>NaN</formula1>
    </dataValidation>
    <dataValidation type="decimal" operator="lessThanOrEqual" allowBlank="1" showInputMessage="1" showErrorMessage="1" sqref="I76">
      <formula1>NaN</formula1>
    </dataValidation>
    <dataValidation type="decimal" operator="lessThanOrEqual" allowBlank="1" showInputMessage="1" showErrorMessage="1" sqref="I77">
      <formula1>NaN</formula1>
    </dataValidation>
    <dataValidation type="decimal" operator="lessThanOrEqual" allowBlank="1" showInputMessage="1" showErrorMessage="1" sqref="I78">
      <formula1>NaN</formula1>
    </dataValidation>
    <dataValidation type="decimal" operator="lessThanOrEqual" allowBlank="1" showInputMessage="1" showErrorMessage="1" sqref="I79">
      <formula1>NaN</formula1>
    </dataValidation>
    <dataValidation type="decimal" operator="lessThanOrEqual" allowBlank="1" showInputMessage="1" showErrorMessage="1" sqref="I80">
      <formula1>NaN</formula1>
    </dataValidation>
    <dataValidation type="decimal" operator="lessThanOrEqual" allowBlank="1" showInputMessage="1" showErrorMessage="1" sqref="I81">
      <formula1>NaN</formula1>
    </dataValidation>
    <dataValidation type="decimal" operator="lessThanOrEqual" allowBlank="1" showInputMessage="1" showErrorMessage="1" sqref="I82">
      <formula1>NaN</formula1>
    </dataValidation>
    <dataValidation type="decimal" operator="lessThanOrEqual" allowBlank="1" showInputMessage="1" showErrorMessage="1" sqref="I83">
      <formula1>NaN</formula1>
    </dataValidation>
    <dataValidation type="decimal" operator="lessThanOrEqual" allowBlank="1" showInputMessage="1" showErrorMessage="1" sqref="I84">
      <formula1>NaN</formula1>
    </dataValidation>
    <dataValidation type="decimal" operator="lessThanOrEqual" allowBlank="1" showInputMessage="1" showErrorMessage="1" sqref="I85">
      <formula1>NaN</formula1>
    </dataValidation>
    <dataValidation type="decimal" operator="lessThanOrEqual" allowBlank="1" showInputMessage="1" showErrorMessage="1" sqref="I86">
      <formula1>NaN</formula1>
    </dataValidation>
    <dataValidation type="decimal" operator="lessThanOrEqual" allowBlank="1" showInputMessage="1" showErrorMessage="1" sqref="I87">
      <formula1>NaN</formula1>
    </dataValidation>
    <dataValidation type="decimal" operator="lessThanOrEqual" allowBlank="1" showInputMessage="1" showErrorMessage="1" sqref="I88">
      <formula1>NaN</formula1>
    </dataValidation>
    <dataValidation type="decimal" operator="lessThanOrEqual" allowBlank="1" showInputMessage="1" showErrorMessage="1" sqref="I89">
      <formula1>NaN</formula1>
    </dataValidation>
    <dataValidation type="decimal" operator="lessThanOrEqual" allowBlank="1" showInputMessage="1" showErrorMessage="1" sqref="I90">
      <formula1>NaN</formula1>
    </dataValidation>
    <dataValidation type="decimal" operator="lessThanOrEqual" allowBlank="1" showInputMessage="1" showErrorMessage="1" sqref="I91">
      <formula1>NaN</formula1>
    </dataValidation>
    <dataValidation type="decimal" operator="lessThanOrEqual" allowBlank="1" showInputMessage="1" showErrorMessage="1" sqref="I92">
      <formula1>NaN</formula1>
    </dataValidation>
    <dataValidation type="decimal" operator="lessThanOrEqual" allowBlank="1" showInputMessage="1" showErrorMessage="1" sqref="I93">
      <formula1>NaN</formula1>
    </dataValidation>
    <dataValidation type="decimal" operator="lessThanOrEqual" allowBlank="1" showInputMessage="1" showErrorMessage="1" sqref="I94">
      <formula1>NaN</formula1>
    </dataValidation>
    <dataValidation type="decimal" operator="lessThanOrEqual" allowBlank="1" showInputMessage="1" showErrorMessage="1" sqref="I95">
      <formula1>NaN</formula1>
    </dataValidation>
    <dataValidation type="decimal" operator="lessThanOrEqual" allowBlank="1" showInputMessage="1" showErrorMessage="1" sqref="I96">
      <formula1>NaN</formula1>
    </dataValidation>
    <dataValidation type="decimal" operator="lessThanOrEqual" allowBlank="1" showInputMessage="1" showErrorMessage="1" sqref="I97">
      <formula1>NaN</formula1>
    </dataValidation>
    <dataValidation type="decimal" operator="lessThanOrEqual" allowBlank="1" showInputMessage="1" showErrorMessage="1" sqref="I98">
      <formula1>NaN</formula1>
    </dataValidation>
    <dataValidation type="decimal" operator="lessThanOrEqual" allowBlank="1" showInputMessage="1" showErrorMessage="1" sqref="I99">
      <formula1>NaN</formula1>
    </dataValidation>
    <dataValidation type="decimal" operator="lessThanOrEqual" allowBlank="1" showInputMessage="1" showErrorMessage="1" sqref="J100">
      <formula1>NaN</formula1>
    </dataValidation>
    <dataValidation type="decimal" operator="lessThanOrEqual" allowBlank="1" showInputMessage="1" showErrorMessage="1" sqref="J101">
      <formula1>NaN</formula1>
    </dataValidation>
    <dataValidation type="decimal" operator="lessThanOrEqual" allowBlank="1" showInputMessage="1" showErrorMessage="1" sqref="J102">
      <formula1>NaN</formula1>
    </dataValidation>
    <dataValidation type="decimal" operator="lessThanOrEqual" allowBlank="1" showInputMessage="1" showErrorMessage="1" sqref="J103">
      <formula1>NaN</formula1>
    </dataValidation>
    <dataValidation type="decimal" operator="lessThanOrEqual" allowBlank="1" showInputMessage="1" showErrorMessage="1" sqref="J104">
      <formula1>NaN</formula1>
    </dataValidation>
    <dataValidation type="decimal" operator="lessThanOrEqual" allowBlank="1" showInputMessage="1" showErrorMessage="1" sqref="J105">
      <formula1>NaN</formula1>
    </dataValidation>
    <dataValidation type="decimal" operator="lessThanOrEqual" allowBlank="1" showInputMessage="1" showErrorMessage="1" sqref="J106">
      <formula1>NaN</formula1>
    </dataValidation>
    <dataValidation type="decimal" operator="lessThanOrEqual" allowBlank="1" showInputMessage="1" showErrorMessage="1" sqref="J107">
      <formula1>NaN</formula1>
    </dataValidation>
    <dataValidation type="decimal" operator="lessThanOrEqual" allowBlank="1" showInputMessage="1" showErrorMessage="1" sqref="J108">
      <formula1>NaN</formula1>
    </dataValidation>
    <dataValidation type="decimal" operator="lessThanOrEqual" allowBlank="1" showInputMessage="1" showErrorMessage="1" sqref="J109">
      <formula1>NaN</formula1>
    </dataValidation>
    <dataValidation type="decimal" operator="lessThanOrEqual" allowBlank="1" showInputMessage="1" showErrorMessage="1" sqref="J110">
      <formula1>NaN</formula1>
    </dataValidation>
    <dataValidation type="decimal" operator="lessThanOrEqual" allowBlank="1" showInputMessage="1" showErrorMessage="1" sqref="J111">
      <formula1>NaN</formula1>
    </dataValidation>
    <dataValidation type="decimal" operator="lessThanOrEqual" allowBlank="1" showInputMessage="1" showErrorMessage="1" sqref="J112">
      <formula1>NaN</formula1>
    </dataValidation>
    <dataValidation type="decimal" operator="lessThanOrEqual" allowBlank="1" showInputMessage="1" showErrorMessage="1" sqref="J113">
      <formula1>NaN</formula1>
    </dataValidation>
    <dataValidation type="decimal" operator="lessThanOrEqual" allowBlank="1" showInputMessage="1" showErrorMessage="1" sqref="J114">
      <formula1>NaN</formula1>
    </dataValidation>
    <dataValidation type="decimal" operator="lessThanOrEqual" allowBlank="1" showInputMessage="1" showErrorMessage="1" sqref="J115">
      <formula1>NaN</formula1>
    </dataValidation>
    <dataValidation type="decimal" operator="lessThanOrEqual" allowBlank="1" showInputMessage="1" showErrorMessage="1" sqref="J116">
      <formula1>NaN</formula1>
    </dataValidation>
    <dataValidation type="decimal" operator="lessThanOrEqual" allowBlank="1" showInputMessage="1" showErrorMessage="1" sqref="J117">
      <formula1>NaN</formula1>
    </dataValidation>
    <dataValidation type="decimal" operator="lessThanOrEqual" allowBlank="1" showInputMessage="1" showErrorMessage="1" sqref="J118">
      <formula1>NaN</formula1>
    </dataValidation>
    <dataValidation type="decimal" operator="lessThanOrEqual" allowBlank="1" showInputMessage="1" showErrorMessage="1" sqref="J119">
      <formula1>NaN</formula1>
    </dataValidation>
    <dataValidation type="decimal" operator="lessThanOrEqual" allowBlank="1" showInputMessage="1" showErrorMessage="1" sqref="J120">
      <formula1>NaN</formula1>
    </dataValidation>
    <dataValidation type="decimal" operator="lessThanOrEqual" allowBlank="1" showInputMessage="1" showErrorMessage="1" sqref="J121">
      <formula1>NaN</formula1>
    </dataValidation>
    <dataValidation type="decimal" operator="lessThanOrEqual" allowBlank="1" showInputMessage="1" showErrorMessage="1" sqref="J122">
      <formula1>NaN</formula1>
    </dataValidation>
    <dataValidation type="decimal" operator="lessThanOrEqual" allowBlank="1" showInputMessage="1" showErrorMessage="1" sqref="J123">
      <formula1>NaN</formula1>
    </dataValidation>
    <dataValidation type="decimal" operator="lessThanOrEqual" allowBlank="1" showInputMessage="1" showErrorMessage="1" sqref="J124">
      <formula1>NaN</formula1>
    </dataValidation>
    <dataValidation type="decimal" operator="lessThanOrEqual" allowBlank="1" showInputMessage="1" showErrorMessage="1" sqref="J125">
      <formula1>NaN</formula1>
    </dataValidation>
    <dataValidation type="decimal" operator="lessThanOrEqual" allowBlank="1" showInputMessage="1" showErrorMessage="1" sqref="J126">
      <formula1>NaN</formula1>
    </dataValidation>
    <dataValidation type="decimal" operator="lessThanOrEqual" allowBlank="1" showInputMessage="1" showErrorMessage="1" sqref="J127">
      <formula1>NaN</formula1>
    </dataValidation>
    <dataValidation type="decimal" operator="lessThanOrEqual" allowBlank="1" showInputMessage="1" showErrorMessage="1" sqref="J128">
      <formula1>NaN</formula1>
    </dataValidation>
    <dataValidation type="decimal" operator="lessThanOrEqual" allowBlank="1" showInputMessage="1" showErrorMessage="1" sqref="J129">
      <formula1>NaN</formula1>
    </dataValidation>
    <dataValidation type="decimal" operator="lessThanOrEqual" allowBlank="1" showInputMessage="1" showErrorMessage="1" sqref="J13">
      <formula1>NaN</formula1>
    </dataValidation>
    <dataValidation type="decimal" operator="lessThanOrEqual" allowBlank="1" showInputMessage="1" showErrorMessage="1" sqref="J130">
      <formula1>NaN</formula1>
    </dataValidation>
    <dataValidation type="decimal" operator="lessThanOrEqual" allowBlank="1" showInputMessage="1" showErrorMessage="1" sqref="J131">
      <formula1>NaN</formula1>
    </dataValidation>
    <dataValidation type="decimal" operator="lessThanOrEqual" allowBlank="1" showInputMessage="1" showErrorMessage="1" sqref="J132">
      <formula1>NaN</formula1>
    </dataValidation>
    <dataValidation type="decimal" operator="lessThanOrEqual" allowBlank="1" showInputMessage="1" showErrorMessage="1" sqref="J133">
      <formula1>NaN</formula1>
    </dataValidation>
    <dataValidation type="decimal" operator="lessThanOrEqual" allowBlank="1" showInputMessage="1" showErrorMessage="1" sqref="J134">
      <formula1>NaN</formula1>
    </dataValidation>
    <dataValidation type="decimal" operator="lessThanOrEqual" allowBlank="1" showInputMessage="1" showErrorMessage="1" sqref="J135">
      <formula1>NaN</formula1>
    </dataValidation>
    <dataValidation type="decimal" operator="lessThanOrEqual" allowBlank="1" showInputMessage="1" showErrorMessage="1" sqref="J14">
      <formula1>NaN</formula1>
    </dataValidation>
    <dataValidation type="decimal" operator="lessThanOrEqual" allowBlank="1" showInputMessage="1" showErrorMessage="1" sqref="J15">
      <formula1>NaN</formula1>
    </dataValidation>
    <dataValidation type="decimal" operator="lessThanOrEqual" allowBlank="1" showInputMessage="1" showErrorMessage="1" sqref="J16">
      <formula1>NaN</formula1>
    </dataValidation>
    <dataValidation type="decimal" operator="lessThanOrEqual" allowBlank="1" showInputMessage="1" showErrorMessage="1" sqref="J17">
      <formula1>NaN</formula1>
    </dataValidation>
    <dataValidation type="decimal" operator="lessThanOrEqual" allowBlank="1" showInputMessage="1" showErrorMessage="1" sqref="J18">
      <formula1>NaN</formula1>
    </dataValidation>
    <dataValidation type="decimal" operator="lessThanOrEqual" allowBlank="1" showInputMessage="1" showErrorMessage="1" sqref="J19">
      <formula1>NaN</formula1>
    </dataValidation>
    <dataValidation type="decimal" operator="lessThanOrEqual" allowBlank="1" showInputMessage="1" showErrorMessage="1" sqref="J20">
      <formula1>NaN</formula1>
    </dataValidation>
    <dataValidation type="decimal" operator="lessThanOrEqual" allowBlank="1" showInputMessage="1" showErrorMessage="1" sqref="J21">
      <formula1>NaN</formula1>
    </dataValidation>
    <dataValidation type="decimal" operator="lessThanOrEqual" allowBlank="1" showInputMessage="1" showErrorMessage="1" sqref="J22">
      <formula1>NaN</formula1>
    </dataValidation>
    <dataValidation type="decimal" operator="lessThanOrEqual" allowBlank="1" showInputMessage="1" showErrorMessage="1" sqref="J23">
      <formula1>NaN</formula1>
    </dataValidation>
    <dataValidation type="decimal" operator="lessThanOrEqual" allowBlank="1" showInputMessage="1" showErrorMessage="1" sqref="J24">
      <formula1>NaN</formula1>
    </dataValidation>
    <dataValidation type="decimal" operator="lessThanOrEqual" allowBlank="1" showInputMessage="1" showErrorMessage="1" sqref="J25">
      <formula1>NaN</formula1>
    </dataValidation>
    <dataValidation type="decimal" operator="lessThanOrEqual" allowBlank="1" showInputMessage="1" showErrorMessage="1" sqref="J26">
      <formula1>NaN</formula1>
    </dataValidation>
    <dataValidation type="decimal" operator="lessThanOrEqual" allowBlank="1" showInputMessage="1" showErrorMessage="1" sqref="J27">
      <formula1>NaN</formula1>
    </dataValidation>
    <dataValidation type="decimal" operator="lessThanOrEqual" allowBlank="1" showInputMessage="1" showErrorMessage="1" sqref="J28">
      <formula1>NaN</formula1>
    </dataValidation>
    <dataValidation type="decimal" operator="lessThanOrEqual" allowBlank="1" showInputMessage="1" showErrorMessage="1" sqref="J29">
      <formula1>NaN</formula1>
    </dataValidation>
    <dataValidation type="decimal" operator="lessThanOrEqual" allowBlank="1" showInputMessage="1" showErrorMessage="1" sqref="J30">
      <formula1>NaN</formula1>
    </dataValidation>
    <dataValidation type="decimal" operator="lessThanOrEqual" allowBlank="1" showInputMessage="1" showErrorMessage="1" sqref="J31">
      <formula1>NaN</formula1>
    </dataValidation>
    <dataValidation type="decimal" operator="lessThanOrEqual" allowBlank="1" showInputMessage="1" showErrorMessage="1" sqref="J32">
      <formula1>NaN</formula1>
    </dataValidation>
    <dataValidation type="decimal" operator="lessThanOrEqual" allowBlank="1" showInputMessage="1" showErrorMessage="1" sqref="J33">
      <formula1>NaN</formula1>
    </dataValidation>
    <dataValidation type="decimal" operator="lessThanOrEqual" allowBlank="1" showInputMessage="1" showErrorMessage="1" sqref="J34">
      <formula1>NaN</formula1>
    </dataValidation>
    <dataValidation type="decimal" operator="lessThanOrEqual" allowBlank="1" showInputMessage="1" showErrorMessage="1" sqref="J35">
      <formula1>NaN</formula1>
    </dataValidation>
    <dataValidation type="decimal" operator="lessThanOrEqual" allowBlank="1" showInputMessage="1" showErrorMessage="1" sqref="J36">
      <formula1>NaN</formula1>
    </dataValidation>
    <dataValidation type="decimal" operator="lessThanOrEqual" allowBlank="1" showInputMessage="1" showErrorMessage="1" sqref="J37">
      <formula1>NaN</formula1>
    </dataValidation>
    <dataValidation type="decimal" operator="lessThanOrEqual" allowBlank="1" showInputMessage="1" showErrorMessage="1" sqref="J38">
      <formula1>NaN</formula1>
    </dataValidation>
    <dataValidation type="decimal" operator="lessThanOrEqual" allowBlank="1" showInputMessage="1" showErrorMessage="1" sqref="J39">
      <formula1>NaN</formula1>
    </dataValidation>
    <dataValidation type="decimal" operator="lessThanOrEqual" allowBlank="1" showInputMessage="1" showErrorMessage="1" sqref="J40">
      <formula1>NaN</formula1>
    </dataValidation>
    <dataValidation type="decimal" operator="lessThanOrEqual" allowBlank="1" showInputMessage="1" showErrorMessage="1" sqref="J41">
      <formula1>NaN</formula1>
    </dataValidation>
    <dataValidation type="decimal" operator="lessThanOrEqual" allowBlank="1" showInputMessage="1" showErrorMessage="1" sqref="J42">
      <formula1>NaN</formula1>
    </dataValidation>
    <dataValidation type="decimal" operator="lessThanOrEqual" allowBlank="1" showInputMessage="1" showErrorMessage="1" sqref="J43">
      <formula1>NaN</formula1>
    </dataValidation>
    <dataValidation type="decimal" operator="lessThanOrEqual" allowBlank="1" showInputMessage="1" showErrorMessage="1" sqref="J44">
      <formula1>NaN</formula1>
    </dataValidation>
    <dataValidation type="decimal" operator="lessThanOrEqual" allowBlank="1" showInputMessage="1" showErrorMessage="1" sqref="J45">
      <formula1>NaN</formula1>
    </dataValidation>
    <dataValidation type="decimal" operator="lessThanOrEqual" allowBlank="1" showInputMessage="1" showErrorMessage="1" sqref="J46">
      <formula1>NaN</formula1>
    </dataValidation>
    <dataValidation type="decimal" operator="lessThanOrEqual" allowBlank="1" showInputMessage="1" showErrorMessage="1" sqref="J47">
      <formula1>NaN</formula1>
    </dataValidation>
    <dataValidation type="decimal" operator="lessThanOrEqual" allowBlank="1" showInputMessage="1" showErrorMessage="1" sqref="J48">
      <formula1>NaN</formula1>
    </dataValidation>
    <dataValidation type="decimal" operator="lessThanOrEqual" allowBlank="1" showInputMessage="1" showErrorMessage="1" sqref="J49">
      <formula1>NaN</formula1>
    </dataValidation>
    <dataValidation type="decimal" operator="lessThanOrEqual" allowBlank="1" showInputMessage="1" showErrorMessage="1" sqref="J50">
      <formula1>NaN</formula1>
    </dataValidation>
    <dataValidation type="decimal" operator="lessThanOrEqual" allowBlank="1" showInputMessage="1" showErrorMessage="1" sqref="J51">
      <formula1>NaN</formula1>
    </dataValidation>
    <dataValidation type="decimal" operator="lessThanOrEqual" allowBlank="1" showInputMessage="1" showErrorMessage="1" sqref="J52">
      <formula1>NaN</formula1>
    </dataValidation>
    <dataValidation type="decimal" operator="lessThanOrEqual" allowBlank="1" showInputMessage="1" showErrorMessage="1" sqref="J53">
      <formula1>NaN</formula1>
    </dataValidation>
    <dataValidation type="decimal" operator="lessThanOrEqual" allowBlank="1" showInputMessage="1" showErrorMessage="1" sqref="J54">
      <formula1>NaN</formula1>
    </dataValidation>
    <dataValidation type="decimal" operator="lessThanOrEqual" allowBlank="1" showInputMessage="1" showErrorMessage="1" sqref="J55">
      <formula1>NaN</formula1>
    </dataValidation>
    <dataValidation type="decimal" operator="lessThanOrEqual" allowBlank="1" showInputMessage="1" showErrorMessage="1" sqref="J56">
      <formula1>NaN</formula1>
    </dataValidation>
    <dataValidation type="decimal" operator="lessThanOrEqual" allowBlank="1" showInputMessage="1" showErrorMessage="1" sqref="J57">
      <formula1>NaN</formula1>
    </dataValidation>
    <dataValidation type="decimal" operator="lessThanOrEqual" allowBlank="1" showInputMessage="1" showErrorMessage="1" sqref="J58">
      <formula1>NaN</formula1>
    </dataValidation>
    <dataValidation type="decimal" operator="lessThanOrEqual" allowBlank="1" showInputMessage="1" showErrorMessage="1" sqref="J59">
      <formula1>NaN</formula1>
    </dataValidation>
    <dataValidation type="decimal" operator="lessThanOrEqual" allowBlank="1" showInputMessage="1" showErrorMessage="1" sqref="J60">
      <formula1>NaN</formula1>
    </dataValidation>
    <dataValidation type="decimal" operator="lessThanOrEqual" allowBlank="1" showInputMessage="1" showErrorMessage="1" sqref="J61">
      <formula1>NaN</formula1>
    </dataValidation>
    <dataValidation type="decimal" operator="lessThanOrEqual" allowBlank="1" showInputMessage="1" showErrorMessage="1" sqref="J62">
      <formula1>NaN</formula1>
    </dataValidation>
    <dataValidation type="decimal" operator="lessThanOrEqual" allowBlank="1" showInputMessage="1" showErrorMessage="1" sqref="J63">
      <formula1>NaN</formula1>
    </dataValidation>
    <dataValidation type="decimal" operator="lessThanOrEqual" allowBlank="1" showInputMessage="1" showErrorMessage="1" sqref="J64">
      <formula1>NaN</formula1>
    </dataValidation>
    <dataValidation type="decimal" operator="lessThanOrEqual" allowBlank="1" showInputMessage="1" showErrorMessage="1" sqref="J65">
      <formula1>NaN</formula1>
    </dataValidation>
    <dataValidation type="decimal" operator="lessThanOrEqual" allowBlank="1" showInputMessage="1" showErrorMessage="1" sqref="J66">
      <formula1>NaN</formula1>
    </dataValidation>
    <dataValidation type="decimal" operator="lessThanOrEqual" allowBlank="1" showInputMessage="1" showErrorMessage="1" sqref="J67">
      <formula1>NaN</formula1>
    </dataValidation>
    <dataValidation type="decimal" operator="lessThanOrEqual" allowBlank="1" showInputMessage="1" showErrorMessage="1" sqref="J68">
      <formula1>NaN</formula1>
    </dataValidation>
    <dataValidation type="decimal" operator="lessThanOrEqual" allowBlank="1" showInputMessage="1" showErrorMessage="1" sqref="J69">
      <formula1>NaN</formula1>
    </dataValidation>
    <dataValidation type="decimal" operator="lessThanOrEqual" allowBlank="1" showInputMessage="1" showErrorMessage="1" sqref="J70">
      <formula1>NaN</formula1>
    </dataValidation>
    <dataValidation type="decimal" operator="lessThanOrEqual" allowBlank="1" showInputMessage="1" showErrorMessage="1" sqref="J71">
      <formula1>NaN</formula1>
    </dataValidation>
    <dataValidation type="decimal" operator="lessThanOrEqual" allowBlank="1" showInputMessage="1" showErrorMessage="1" sqref="J72">
      <formula1>NaN</formula1>
    </dataValidation>
    <dataValidation type="decimal" operator="lessThanOrEqual" allowBlank="1" showInputMessage="1" showErrorMessage="1" sqref="J73">
      <formula1>NaN</formula1>
    </dataValidation>
    <dataValidation type="decimal" operator="lessThanOrEqual" allowBlank="1" showInputMessage="1" showErrorMessage="1" sqref="J74">
      <formula1>NaN</formula1>
    </dataValidation>
    <dataValidation type="decimal" operator="lessThanOrEqual" allowBlank="1" showInputMessage="1" showErrorMessage="1" sqref="J75">
      <formula1>NaN</formula1>
    </dataValidation>
    <dataValidation type="decimal" operator="lessThanOrEqual" allowBlank="1" showInputMessage="1" showErrorMessage="1" sqref="J76">
      <formula1>NaN</formula1>
    </dataValidation>
    <dataValidation type="decimal" operator="lessThanOrEqual" allowBlank="1" showInputMessage="1" showErrorMessage="1" sqref="J77">
      <formula1>NaN</formula1>
    </dataValidation>
    <dataValidation type="decimal" operator="lessThanOrEqual" allowBlank="1" showInputMessage="1" showErrorMessage="1" sqref="J78">
      <formula1>NaN</formula1>
    </dataValidation>
    <dataValidation type="decimal" operator="lessThanOrEqual" allowBlank="1" showInputMessage="1" showErrorMessage="1" sqref="J79">
      <formula1>NaN</formula1>
    </dataValidation>
    <dataValidation type="decimal" operator="lessThanOrEqual" allowBlank="1" showInputMessage="1" showErrorMessage="1" sqref="J80">
      <formula1>NaN</formula1>
    </dataValidation>
    <dataValidation type="decimal" operator="lessThanOrEqual" allowBlank="1" showInputMessage="1" showErrorMessage="1" sqref="J81">
      <formula1>NaN</formula1>
    </dataValidation>
    <dataValidation type="decimal" operator="lessThanOrEqual" allowBlank="1" showInputMessage="1" showErrorMessage="1" sqref="J82">
      <formula1>NaN</formula1>
    </dataValidation>
    <dataValidation type="decimal" operator="lessThanOrEqual" allowBlank="1" showInputMessage="1" showErrorMessage="1" sqref="J83">
      <formula1>NaN</formula1>
    </dataValidation>
    <dataValidation type="decimal" operator="lessThanOrEqual" allowBlank="1" showInputMessage="1" showErrorMessage="1" sqref="J84">
      <formula1>NaN</formula1>
    </dataValidation>
    <dataValidation type="decimal" operator="lessThanOrEqual" allowBlank="1" showInputMessage="1" showErrorMessage="1" sqref="J85">
      <formula1>NaN</formula1>
    </dataValidation>
    <dataValidation type="decimal" operator="lessThanOrEqual" allowBlank="1" showInputMessage="1" showErrorMessage="1" sqref="J86">
      <formula1>NaN</formula1>
    </dataValidation>
    <dataValidation type="decimal" operator="lessThanOrEqual" allowBlank="1" showInputMessage="1" showErrorMessage="1" sqref="J87">
      <formula1>NaN</formula1>
    </dataValidation>
    <dataValidation type="decimal" operator="lessThanOrEqual" allowBlank="1" showInputMessage="1" showErrorMessage="1" sqref="J88">
      <formula1>NaN</formula1>
    </dataValidation>
    <dataValidation type="decimal" operator="lessThanOrEqual" allowBlank="1" showInputMessage="1" showErrorMessage="1" sqref="J89">
      <formula1>NaN</formula1>
    </dataValidation>
    <dataValidation type="decimal" operator="lessThanOrEqual" allowBlank="1" showInputMessage="1" showErrorMessage="1" sqref="J90">
      <formula1>NaN</formula1>
    </dataValidation>
    <dataValidation type="decimal" operator="lessThanOrEqual" allowBlank="1" showInputMessage="1" showErrorMessage="1" sqref="J91">
      <formula1>NaN</formula1>
    </dataValidation>
    <dataValidation type="decimal" operator="lessThanOrEqual" allowBlank="1" showInputMessage="1" showErrorMessage="1" sqref="J92">
      <formula1>NaN</formula1>
    </dataValidation>
    <dataValidation type="decimal" operator="lessThanOrEqual" allowBlank="1" showInputMessage="1" showErrorMessage="1" sqref="J93">
      <formula1>NaN</formula1>
    </dataValidation>
    <dataValidation type="decimal" operator="lessThanOrEqual" allowBlank="1" showInputMessage="1" showErrorMessage="1" sqref="J94">
      <formula1>NaN</formula1>
    </dataValidation>
    <dataValidation type="decimal" operator="lessThanOrEqual" allowBlank="1" showInputMessage="1" showErrorMessage="1" sqref="J95">
      <formula1>NaN</formula1>
    </dataValidation>
    <dataValidation type="decimal" operator="lessThanOrEqual" allowBlank="1" showInputMessage="1" showErrorMessage="1" sqref="J96">
      <formula1>NaN</formula1>
    </dataValidation>
    <dataValidation type="decimal" operator="lessThanOrEqual" allowBlank="1" showInputMessage="1" showErrorMessage="1" sqref="J97">
      <formula1>NaN</formula1>
    </dataValidation>
    <dataValidation type="decimal" operator="lessThanOrEqual" allowBlank="1" showInputMessage="1" showErrorMessage="1" sqref="J98">
      <formula1>NaN</formula1>
    </dataValidation>
    <dataValidation type="decimal" operator="lessThanOrEqual" allowBlank="1" showInputMessage="1" showErrorMessage="1" sqref="J99">
      <formula1>NaN</formula1>
    </dataValidation>
    <dataValidation type="decimal" allowBlank="1" showInputMessage="1" prompt="Dear Sir/ Madam - Score entered is greater than Max. Marks allotted." showErrorMessage="1" sqref="K108">
      <formula1>0</formula1>
      <formula2>NaN</formula2>
    </dataValidation>
    <dataValidation type="decimal" allowBlank="1" showInputMessage="1" prompt="Dear Sir/ Madam - Score entered is greater than Max. Marks allotted." showErrorMessage="1" sqref="K109">
      <formula1>0</formula1>
      <formula2>NaN</formula2>
    </dataValidation>
    <dataValidation type="decimal" allowBlank="1" showInputMessage="1" prompt="Dear Sir/ Madam - Score entered is greater than Max. Marks allotted." showErrorMessage="1" sqref="K110">
      <formula1>0</formula1>
      <formula2>NaN</formula2>
    </dataValidation>
    <dataValidation type="decimal" allowBlank="1" showInputMessage="1" prompt="Dear Sir/ Madam - Score entered is greater than Max. Marks allotted." showErrorMessage="1" sqref="K111">
      <formula1>0</formula1>
      <formula2>NaN</formula2>
    </dataValidation>
    <dataValidation type="decimal" allowBlank="1" showInputMessage="1" prompt="Dear Sir/ Madam - Score entered is greater than Max. Marks allotted." showErrorMessage="1" sqref="K112">
      <formula1>0</formula1>
      <formula2>NaN</formula2>
    </dataValidation>
    <dataValidation type="decimal" allowBlank="1" showInputMessage="1" prompt="Dear Sir/ Madam - Score entered is greater than Max. Marks allotted." showErrorMessage="1" sqref="K113">
      <formula1>0</formula1>
      <formula2>NaN</formula2>
    </dataValidation>
    <dataValidation type="decimal" allowBlank="1" showInputMessage="1" prompt="Dear Sir/ Madam - Score entered is greater than Max. Marks allotted." showErrorMessage="1" sqref="K114">
      <formula1>0</formula1>
      <formula2>NaN</formula2>
    </dataValidation>
    <dataValidation type="decimal" allowBlank="1" showInputMessage="1" prompt="Dear Sir/ Madam - Score entered is greater than Max. Marks allotted." showErrorMessage="1" sqref="K115">
      <formula1>0</formula1>
      <formula2>NaN</formula2>
    </dataValidation>
    <dataValidation type="decimal" allowBlank="1" showInputMessage="1" prompt="Dear Sir/ Madam - Score entered is greater than Max. Marks allotted." showErrorMessage="1" sqref="K116">
      <formula1>0</formula1>
      <formula2>NaN</formula2>
    </dataValidation>
    <dataValidation type="decimal" allowBlank="1" showInputMessage="1" prompt="Dear Sir/ Madam - Score entered is greater than Max. Marks allotted." showErrorMessage="1" sqref="K117">
      <formula1>0</formula1>
      <formula2>NaN</formula2>
    </dataValidation>
    <dataValidation type="decimal" allowBlank="1" showInputMessage="1" prompt="Dear Sir/ Madam - Score entered is greater than Max. Marks allotted." showErrorMessage="1" sqref="K118">
      <formula1>0</formula1>
      <formula2>NaN</formula2>
    </dataValidation>
    <dataValidation type="decimal" allowBlank="1" showInputMessage="1" prompt="Dear Sir/ Madam - Score entered is greater than Max. Marks allotted." showErrorMessage="1" sqref="K119">
      <formula1>0</formula1>
      <formula2>NaN</formula2>
    </dataValidation>
    <dataValidation type="decimal" allowBlank="1" showInputMessage="1" prompt="Dear Sir/ Madam - Score entered is greater than Max. Marks allotted." showErrorMessage="1" sqref="K120">
      <formula1>0</formula1>
      <formula2>NaN</formula2>
    </dataValidation>
    <dataValidation type="decimal" allowBlank="1" showInputMessage="1" prompt="Dear Sir/ Madam - Score entered is greater than Max. Marks allotted." showErrorMessage="1" sqref="K121">
      <formula1>0</formula1>
      <formula2>NaN</formula2>
    </dataValidation>
    <dataValidation type="decimal" allowBlank="1" showInputMessage="1" prompt="Dear Sir/ Madam - Score entered is greater than Max. Marks allotted." showErrorMessage="1" sqref="K122">
      <formula1>0</formula1>
      <formula2>NaN</formula2>
    </dataValidation>
    <dataValidation type="decimal" allowBlank="1" showInputMessage="1" prompt="Dear Sir/ Madam - Score entered is greater than Max. Marks allotted." showErrorMessage="1" sqref="K123">
      <formula1>0</formula1>
      <formula2>NaN</formula2>
    </dataValidation>
    <dataValidation type="decimal" allowBlank="1" showInputMessage="1" prompt="Dear Sir/ Madam - Score entered is greater than Max. Marks allotted." showErrorMessage="1" sqref="K124">
      <formula1>0</formula1>
      <formula2>NaN</formula2>
    </dataValidation>
    <dataValidation type="decimal" allowBlank="1" showInputMessage="1" prompt="Dear Sir/ Madam - Score entered is greater than Max. Marks allotted." showErrorMessage="1" sqref="K125">
      <formula1>0</formula1>
      <formula2>NaN</formula2>
    </dataValidation>
    <dataValidation type="decimal" allowBlank="1" showInputMessage="1" prompt="Dear Sir/ Madam - Score entered is greater than Max. Marks allotted." showErrorMessage="1" sqref="K126">
      <formula1>0</formula1>
      <formula2>NaN</formula2>
    </dataValidation>
    <dataValidation type="decimal" allowBlank="1" showInputMessage="1" prompt="Dear Sir/ Madam - Score entered is greater than Max. Marks allotted." showErrorMessage="1" sqref="K127">
      <formula1>0</formula1>
      <formula2>NaN</formula2>
    </dataValidation>
    <dataValidation type="decimal" allowBlank="1" showInputMessage="1" prompt="Dear Sir/ Madam - Score entered is greater than Max. Marks allotted." showErrorMessage="1" sqref="K128">
      <formula1>0</formula1>
      <formula2>NaN</formula2>
    </dataValidation>
    <dataValidation type="decimal" allowBlank="1" showInputMessage="1" prompt="Dear Sir/ Madam - Score entered is greater than Max. Marks allotted." showErrorMessage="1" sqref="K129">
      <formula1>0</formula1>
      <formula2>NaN</formula2>
    </dataValidation>
    <dataValidation type="decimal" allowBlank="1" showInputMessage="1" prompt="Dear Sir/ Madam - Score entered is greater than Max. Marks allotted." showErrorMessage="1" sqref="K130">
      <formula1>0</formula1>
      <formula2>NaN</formula2>
    </dataValidation>
    <dataValidation type="decimal" allowBlank="1" showInputMessage="1" prompt="Dear Sir/ Madam - Score entered is greater than Max. Marks allotted." showErrorMessage="1" sqref="K131">
      <formula1>0</formula1>
      <formula2>NaN</formula2>
    </dataValidation>
    <dataValidation type="decimal" allowBlank="1" showInputMessage="1" prompt="Dear Sir/ Madam - Score entered is greater than Max. Marks allotted." showErrorMessage="1" sqref="K132">
      <formula1>0</formula1>
      <formula2>NaN</formula2>
    </dataValidation>
    <dataValidation type="decimal" allowBlank="1" showInputMessage="1" prompt="Dear Sir/ Madam - Score entered is greater than Max. Marks allotted." showErrorMessage="1" sqref="K133">
      <formula1>0</formula1>
      <formula2>NaN</formula2>
    </dataValidation>
    <dataValidation type="decimal" allowBlank="1" showInputMessage="1" prompt="Dear Sir/ Madam - Score entered is greater than Max. Marks allotted." showErrorMessage="1" sqref="K134">
      <formula1>0</formula1>
      <formula2>NaN</formula2>
    </dataValidation>
    <dataValidation type="decimal" allowBlank="1" showInputMessage="1" prompt="Dear Sir/ Madam - Score entered is greater than Max. Marks allotted." showErrorMessage="1" sqref="K135">
      <formula1>0</formula1>
      <formula2>NaN</formula2>
    </dataValidation>
    <dataValidation type="decimal" allowBlank="1" showInputMessage="1" prompt="Dear Sir/ Madam - Score entered is greater than Max. Marks allotted." showErrorMessage="1" sqref="L108">
      <formula1>0</formula1>
      <formula2>NaN</formula2>
    </dataValidation>
    <dataValidation type="decimal" allowBlank="1" showInputMessage="1" prompt="Dear Sir/ Madam - Score entered is greater than Max. Marks allotted." showErrorMessage="1" sqref="L109">
      <formula1>0</formula1>
      <formula2>NaN</formula2>
    </dataValidation>
    <dataValidation type="decimal" allowBlank="1" showInputMessage="1" prompt="Dear Sir/ Madam - Score entered is greater than Max. Marks allotted." showErrorMessage="1" sqref="L110">
      <formula1>0</formula1>
      <formula2>NaN</formula2>
    </dataValidation>
    <dataValidation type="decimal" allowBlank="1" showInputMessage="1" prompt="Dear Sir/ Madam - Score entered is greater than Max. Marks allotted." showErrorMessage="1" sqref="L111">
      <formula1>0</formula1>
      <formula2>NaN</formula2>
    </dataValidation>
    <dataValidation type="decimal" allowBlank="1" showInputMessage="1" prompt="Dear Sir/ Madam - Score entered is greater than Max. Marks allotted." showErrorMessage="1" sqref="L112">
      <formula1>0</formula1>
      <formula2>NaN</formula2>
    </dataValidation>
    <dataValidation type="decimal" allowBlank="1" showInputMessage="1" prompt="Dear Sir/ Madam - Score entered is greater than Max. Marks allotted." showErrorMessage="1" sqref="L113">
      <formula1>0</formula1>
      <formula2>NaN</formula2>
    </dataValidation>
    <dataValidation type="decimal" allowBlank="1" showInputMessage="1" prompt="Dear Sir/ Madam - Score entered is greater than Max. Marks allotted." showErrorMessage="1" sqref="L114">
      <formula1>0</formula1>
      <formula2>NaN</formula2>
    </dataValidation>
    <dataValidation type="decimal" allowBlank="1" showInputMessage="1" prompt="Dear Sir/ Madam - Score entered is greater than Max. Marks allotted." showErrorMessage="1" sqref="L115">
      <formula1>0</formula1>
      <formula2>NaN</formula2>
    </dataValidation>
    <dataValidation type="decimal" allowBlank="1" showInputMessage="1" prompt="Dear Sir/ Madam - Score entered is greater than Max. Marks allotted." showErrorMessage="1" sqref="L116">
      <formula1>0</formula1>
      <formula2>NaN</formula2>
    </dataValidation>
    <dataValidation type="decimal" allowBlank="1" showInputMessage="1" prompt="Dear Sir/ Madam - Score entered is greater than Max. Marks allotted." showErrorMessage="1" sqref="L117">
      <formula1>0</formula1>
      <formula2>NaN</formula2>
    </dataValidation>
    <dataValidation type="decimal" allowBlank="1" showInputMessage="1" prompt="Dear Sir/ Madam - Score entered is greater than Max. Marks allotted." showErrorMessage="1" sqref="L118">
      <formula1>0</formula1>
      <formula2>NaN</formula2>
    </dataValidation>
    <dataValidation type="decimal" allowBlank="1" showInputMessage="1" prompt="Dear Sir/ Madam - Score entered is greater than Max. Marks allotted." showErrorMessage="1" sqref="L119">
      <formula1>0</formula1>
      <formula2>NaN</formula2>
    </dataValidation>
    <dataValidation type="decimal" allowBlank="1" showInputMessage="1" prompt="Dear Sir/ Madam - Score entered is greater than Max. Marks allotted." showErrorMessage="1" sqref="L120">
      <formula1>0</formula1>
      <formula2>NaN</formula2>
    </dataValidation>
    <dataValidation type="decimal" allowBlank="1" showInputMessage="1" prompt="Dear Sir/ Madam - Score entered is greater than Max. Marks allotted." showErrorMessage="1" sqref="L121">
      <formula1>0</formula1>
      <formula2>NaN</formula2>
    </dataValidation>
    <dataValidation type="decimal" allowBlank="1" showInputMessage="1" prompt="Dear Sir/ Madam - Score entered is greater than Max. Marks allotted." showErrorMessage="1" sqref="L122">
      <formula1>0</formula1>
      <formula2>NaN</formula2>
    </dataValidation>
    <dataValidation type="decimal" allowBlank="1" showInputMessage="1" prompt="Dear Sir/ Madam - Score entered is greater than Max. Marks allotted." showErrorMessage="1" sqref="L123">
      <formula1>0</formula1>
      <formula2>NaN</formula2>
    </dataValidation>
    <dataValidation type="decimal" allowBlank="1" showInputMessage="1" prompt="Dear Sir/ Madam - Score entered is greater than Max. Marks allotted." showErrorMessage="1" sqref="L124">
      <formula1>0</formula1>
      <formula2>NaN</formula2>
    </dataValidation>
    <dataValidation type="decimal" allowBlank="1" showInputMessage="1" prompt="Dear Sir/ Madam - Score entered is greater than Max. Marks allotted." showErrorMessage="1" sqref="L125">
      <formula1>0</formula1>
      <formula2>NaN</formula2>
    </dataValidation>
    <dataValidation type="decimal" allowBlank="1" showInputMessage="1" prompt="Dear Sir/ Madam - Score entered is greater than Max. Marks allotted." showErrorMessage="1" sqref="L126">
      <formula1>0</formula1>
      <formula2>NaN</formula2>
    </dataValidation>
    <dataValidation type="decimal" allowBlank="1" showInputMessage="1" prompt="Dear Sir/ Madam - Score entered is greater than Max. Marks allotted." showErrorMessage="1" sqref="L127">
      <formula1>0</formula1>
      <formula2>NaN</formula2>
    </dataValidation>
    <dataValidation type="decimal" allowBlank="1" showInputMessage="1" prompt="Dear Sir/ Madam - Score entered is greater than Max. Marks allotted." showErrorMessage="1" sqref="L128">
      <formula1>0</formula1>
      <formula2>NaN</formula2>
    </dataValidation>
    <dataValidation type="decimal" allowBlank="1" showInputMessage="1" prompt="Dear Sir/ Madam - Score entered is greater than Max. Marks allotted." showErrorMessage="1" sqref="L129">
      <formula1>0</formula1>
      <formula2>NaN</formula2>
    </dataValidation>
    <dataValidation type="decimal" allowBlank="1" showInputMessage="1" prompt="Dear Sir/ Madam - Score entered is greater than Max. Marks allotted." showErrorMessage="1" sqref="L130">
      <formula1>0</formula1>
      <formula2>NaN</formula2>
    </dataValidation>
    <dataValidation type="decimal" allowBlank="1" showInputMessage="1" prompt="Dear Sir/ Madam - Score entered is greater than Max. Marks allotted." showErrorMessage="1" sqref="L131">
      <formula1>0</formula1>
      <formula2>NaN</formula2>
    </dataValidation>
    <dataValidation type="decimal" allowBlank="1" showInputMessage="1" prompt="Dear Sir/ Madam - Score entered is greater than Max. Marks allotted." showErrorMessage="1" sqref="L132">
      <formula1>0</formula1>
      <formula2>NaN</formula2>
    </dataValidation>
    <dataValidation type="decimal" allowBlank="1" showInputMessage="1" prompt="Dear Sir/ Madam - Score entered is greater than Max. Marks allotted." showErrorMessage="1" sqref="L133">
      <formula1>0</formula1>
      <formula2>NaN</formula2>
    </dataValidation>
    <dataValidation type="decimal" allowBlank="1" showInputMessage="1" prompt="Dear Sir/ Madam - Score entered is greater than Max. Marks allotted." showErrorMessage="1" sqref="L134">
      <formula1>0</formula1>
      <formula2>NaN</formula2>
    </dataValidation>
    <dataValidation type="decimal" allowBlank="1" showInputMessage="1" prompt="Dear Sir/ Madam - Score entered is greater than Max. Marks allotted." showErrorMessage="1" sqref="L135">
      <formula1>0</formula1>
      <formula2>NaN</formula2>
    </dataValidation>
    <dataValidation type="decimal" allowBlank="1" showInputMessage="1" prompt="Dear Sir/ Madam - Score entered is greater than Max. Marks allotted." showErrorMessage="1" sqref="M108">
      <formula1>0</formula1>
      <formula2>NaN</formula2>
    </dataValidation>
    <dataValidation type="decimal" allowBlank="1" showInputMessage="1" prompt="Dear Sir/ Madam - Score entered is greater than Max. Marks allotted." showErrorMessage="1" sqref="M109">
      <formula1>0</formula1>
      <formula2>NaN</formula2>
    </dataValidation>
    <dataValidation type="decimal" allowBlank="1" showInputMessage="1" prompt="Dear Sir/ Madam - Score entered is greater than Max. Marks allotted." showErrorMessage="1" sqref="M110">
      <formula1>0</formula1>
      <formula2>NaN</formula2>
    </dataValidation>
    <dataValidation type="decimal" allowBlank="1" showInputMessage="1" prompt="Dear Sir/ Madam - Score entered is greater than Max. Marks allotted." showErrorMessage="1" sqref="M111">
      <formula1>0</formula1>
      <formula2>NaN</formula2>
    </dataValidation>
    <dataValidation type="decimal" allowBlank="1" showInputMessage="1" prompt="Dear Sir/ Madam - Score entered is greater than Max. Marks allotted." showErrorMessage="1" sqref="M112">
      <formula1>0</formula1>
      <formula2>NaN</formula2>
    </dataValidation>
    <dataValidation type="decimal" allowBlank="1" showInputMessage="1" prompt="Dear Sir/ Madam - Score entered is greater than Max. Marks allotted." showErrorMessage="1" sqref="M113">
      <formula1>0</formula1>
      <formula2>NaN</formula2>
    </dataValidation>
    <dataValidation type="decimal" allowBlank="1" showInputMessage="1" prompt="Dear Sir/ Madam - Score entered is greater than Max. Marks allotted." showErrorMessage="1" sqref="M114">
      <formula1>0</formula1>
      <formula2>NaN</formula2>
    </dataValidation>
    <dataValidation type="decimal" allowBlank="1" showInputMessage="1" prompt="Dear Sir/ Madam - Score entered is greater than Max. Marks allotted." showErrorMessage="1" sqref="M115">
      <formula1>0</formula1>
      <formula2>NaN</formula2>
    </dataValidation>
    <dataValidation type="decimal" allowBlank="1" showInputMessage="1" prompt="Dear Sir/ Madam - Score entered is greater than Max. Marks allotted." showErrorMessage="1" sqref="M116">
      <formula1>0</formula1>
      <formula2>NaN</formula2>
    </dataValidation>
    <dataValidation type="decimal" allowBlank="1" showInputMessage="1" prompt="Dear Sir/ Madam - Score entered is greater than Max. Marks allotted." showErrorMessage="1" sqref="M117">
      <formula1>0</formula1>
      <formula2>NaN</formula2>
    </dataValidation>
    <dataValidation type="decimal" allowBlank="1" showInputMessage="1" prompt="Dear Sir/ Madam - Score entered is greater than Max. Marks allotted." showErrorMessage="1" sqref="M118">
      <formula1>0</formula1>
      <formula2>NaN</formula2>
    </dataValidation>
    <dataValidation type="decimal" allowBlank="1" showInputMessage="1" prompt="Dear Sir/ Madam - Score entered is greater than Max. Marks allotted." showErrorMessage="1" sqref="M119">
      <formula1>0</formula1>
      <formula2>NaN</formula2>
    </dataValidation>
    <dataValidation type="decimal" allowBlank="1" showInputMessage="1" prompt="Dear Sir/ Madam - Score entered is greater than Max. Marks allotted." showErrorMessage="1" sqref="M120">
      <formula1>0</formula1>
      <formula2>NaN</formula2>
    </dataValidation>
    <dataValidation type="decimal" allowBlank="1" showInputMessage="1" prompt="Dear Sir/ Madam - Score entered is greater than Max. Marks allotted." showErrorMessage="1" sqref="M121">
      <formula1>0</formula1>
      <formula2>NaN</formula2>
    </dataValidation>
    <dataValidation type="decimal" allowBlank="1" showInputMessage="1" prompt="Dear Sir/ Madam - Score entered is greater than Max. Marks allotted." showErrorMessage="1" sqref="M122">
      <formula1>0</formula1>
      <formula2>NaN</formula2>
    </dataValidation>
    <dataValidation type="decimal" allowBlank="1" showInputMessage="1" prompt="Dear Sir/ Madam - Score entered is greater than Max. Marks allotted." showErrorMessage="1" sqref="M123">
      <formula1>0</formula1>
      <formula2>NaN</formula2>
    </dataValidation>
    <dataValidation type="decimal" allowBlank="1" showInputMessage="1" prompt="Dear Sir/ Madam - Score entered is greater than Max. Marks allotted." showErrorMessage="1" sqref="M124">
      <formula1>0</formula1>
      <formula2>NaN</formula2>
    </dataValidation>
    <dataValidation type="decimal" allowBlank="1" showInputMessage="1" prompt="Dear Sir/ Madam - Score entered is greater than Max. Marks allotted." showErrorMessage="1" sqref="M125">
      <formula1>0</formula1>
      <formula2>NaN</formula2>
    </dataValidation>
    <dataValidation type="decimal" allowBlank="1" showInputMessage="1" prompt="Dear Sir/ Madam - Score entered is greater than Max. Marks allotted." showErrorMessage="1" sqref="M126">
      <formula1>0</formula1>
      <formula2>NaN</formula2>
    </dataValidation>
    <dataValidation type="decimal" allowBlank="1" showInputMessage="1" prompt="Dear Sir/ Madam - Score entered is greater than Max. Marks allotted." showErrorMessage="1" sqref="M127">
      <formula1>0</formula1>
      <formula2>NaN</formula2>
    </dataValidation>
    <dataValidation type="decimal" allowBlank="1" showInputMessage="1" prompt="Dear Sir/ Madam - Score entered is greater than Max. Marks allotted." showErrorMessage="1" sqref="M128">
      <formula1>0</formula1>
      <formula2>NaN</formula2>
    </dataValidation>
    <dataValidation type="decimal" allowBlank="1" showInputMessage="1" prompt="Dear Sir/ Madam - Score entered is greater than Max. Marks allotted." showErrorMessage="1" sqref="M129">
      <formula1>0</formula1>
      <formula2>NaN</formula2>
    </dataValidation>
    <dataValidation type="decimal" allowBlank="1" showInputMessage="1" prompt="Dear Sir/ Madam - Score entered is greater than Max. Marks allotted." showErrorMessage="1" sqref="M130">
      <formula1>0</formula1>
      <formula2>NaN</formula2>
    </dataValidation>
    <dataValidation type="decimal" allowBlank="1" showInputMessage="1" prompt="Dear Sir/ Madam - Score entered is greater than Max. Marks allotted." showErrorMessage="1" sqref="M131">
      <formula1>0</formula1>
      <formula2>NaN</formula2>
    </dataValidation>
    <dataValidation type="decimal" allowBlank="1" showInputMessage="1" prompt="Dear Sir/ Madam - Score entered is greater than Max. Marks allotted." showErrorMessage="1" sqref="M132">
      <formula1>0</formula1>
      <formula2>NaN</formula2>
    </dataValidation>
    <dataValidation type="decimal" allowBlank="1" showInputMessage="1" prompt="Dear Sir/ Madam - Score entered is greater than Max. Marks allotted." showErrorMessage="1" sqref="M133">
      <formula1>0</formula1>
      <formula2>NaN</formula2>
    </dataValidation>
    <dataValidation type="decimal" allowBlank="1" showInputMessage="1" prompt="Dear Sir/ Madam - Score entered is greater than Max. Marks allotted." showErrorMessage="1" sqref="M134">
      <formula1>0</formula1>
      <formula2>NaN</formula2>
    </dataValidation>
    <dataValidation type="decimal" allowBlank="1" showInputMessage="1" prompt="Dear Sir/ Madam - Score entered is greater than Max. Marks allotted." showErrorMessage="1" sqref="M135">
      <formula1>0</formula1>
      <formula2>NaN</formula2>
    </dataValidation>
    <dataValidation type="decimal" allowBlank="1" showInputMessage="1" prompt="Dear Sir/ Madam - Score entered is greater than Max. Marks allotted." showErrorMessage="1" sqref="N108">
      <formula1>0</formula1>
      <formula2>NaN</formula2>
    </dataValidation>
    <dataValidation type="decimal" allowBlank="1" showInputMessage="1" prompt="Dear Sir/ Madam - Score entered is greater than Max. Marks allotted." showErrorMessage="1" sqref="N109">
      <formula1>0</formula1>
      <formula2>NaN</formula2>
    </dataValidation>
    <dataValidation type="decimal" allowBlank="1" showInputMessage="1" prompt="Dear Sir/ Madam - Score entered is greater than Max. Marks allotted." showErrorMessage="1" sqref="N110">
      <formula1>0</formula1>
      <formula2>NaN</formula2>
    </dataValidation>
    <dataValidation type="decimal" allowBlank="1" showInputMessage="1" prompt="Dear Sir/ Madam - Score entered is greater than Max. Marks allotted." showErrorMessage="1" sqref="N111">
      <formula1>0</formula1>
      <formula2>NaN</formula2>
    </dataValidation>
    <dataValidation type="decimal" allowBlank="1" showInputMessage="1" prompt="Dear Sir/ Madam - Score entered is greater than Max. Marks allotted." showErrorMessage="1" sqref="N112">
      <formula1>0</formula1>
      <formula2>NaN</formula2>
    </dataValidation>
    <dataValidation type="decimal" allowBlank="1" showInputMessage="1" prompt="Dear Sir/ Madam - Score entered is greater than Max. Marks allotted." showErrorMessage="1" sqref="N113">
      <formula1>0</formula1>
      <formula2>NaN</formula2>
    </dataValidation>
    <dataValidation type="decimal" allowBlank="1" showInputMessage="1" prompt="Dear Sir/ Madam - Score entered is greater than Max. Marks allotted." showErrorMessage="1" sqref="N114">
      <formula1>0</formula1>
      <formula2>NaN</formula2>
    </dataValidation>
    <dataValidation type="decimal" allowBlank="1" showInputMessage="1" prompt="Dear Sir/ Madam - Score entered is greater than Max. Marks allotted." showErrorMessage="1" sqref="N115">
      <formula1>0</formula1>
      <formula2>NaN</formula2>
    </dataValidation>
    <dataValidation type="decimal" allowBlank="1" showInputMessage="1" prompt="Dear Sir/ Madam - Score entered is greater than Max. Marks allotted." showErrorMessage="1" sqref="N116">
      <formula1>0</formula1>
      <formula2>NaN</formula2>
    </dataValidation>
    <dataValidation type="decimal" allowBlank="1" showInputMessage="1" prompt="Dear Sir/ Madam - Score entered is greater than Max. Marks allotted." showErrorMessage="1" sqref="N117">
      <formula1>0</formula1>
      <formula2>NaN</formula2>
    </dataValidation>
    <dataValidation type="decimal" allowBlank="1" showInputMessage="1" prompt="Dear Sir/ Madam - Score entered is greater than Max. Marks allotted." showErrorMessage="1" sqref="N118">
      <formula1>0</formula1>
      <formula2>NaN</formula2>
    </dataValidation>
    <dataValidation type="decimal" allowBlank="1" showInputMessage="1" prompt="Dear Sir/ Madam - Score entered is greater than Max. Marks allotted." showErrorMessage="1" sqref="N119">
      <formula1>0</formula1>
      <formula2>NaN</formula2>
    </dataValidation>
    <dataValidation type="decimal" allowBlank="1" showInputMessage="1" prompt="Dear Sir/ Madam - Score entered is greater than Max. Marks allotted." showErrorMessage="1" sqref="N120">
      <formula1>0</formula1>
      <formula2>NaN</formula2>
    </dataValidation>
    <dataValidation type="decimal" allowBlank="1" showInputMessage="1" prompt="Dear Sir/ Madam - Score entered is greater than Max. Marks allotted." showErrorMessage="1" sqref="N121">
      <formula1>0</formula1>
      <formula2>NaN</formula2>
    </dataValidation>
    <dataValidation type="decimal" allowBlank="1" showInputMessage="1" prompt="Dear Sir/ Madam - Score entered is greater than Max. Marks allotted." showErrorMessage="1" sqref="N122">
      <formula1>0</formula1>
      <formula2>NaN</formula2>
    </dataValidation>
    <dataValidation type="decimal" allowBlank="1" showInputMessage="1" prompt="Dear Sir/ Madam - Score entered is greater than Max. Marks allotted." showErrorMessage="1" sqref="N123">
      <formula1>0</formula1>
      <formula2>NaN</formula2>
    </dataValidation>
    <dataValidation type="decimal" allowBlank="1" showInputMessage="1" prompt="Dear Sir/ Madam - Score entered is greater than Max. Marks allotted." showErrorMessage="1" sqref="N124">
      <formula1>0</formula1>
      <formula2>NaN</formula2>
    </dataValidation>
    <dataValidation type="decimal" allowBlank="1" showInputMessage="1" prompt="Dear Sir/ Madam - Score entered is greater than Max. Marks allotted." showErrorMessage="1" sqref="N125">
      <formula1>0</formula1>
      <formula2>NaN</formula2>
    </dataValidation>
    <dataValidation type="decimal" allowBlank="1" showInputMessage="1" prompt="Dear Sir/ Madam - Score entered is greater than Max. Marks allotted." showErrorMessage="1" sqref="N126">
      <formula1>0</formula1>
      <formula2>NaN</formula2>
    </dataValidation>
    <dataValidation type="decimal" allowBlank="1" showInputMessage="1" prompt="Dear Sir/ Madam - Score entered is greater than Max. Marks allotted." showErrorMessage="1" sqref="N127">
      <formula1>0</formula1>
      <formula2>NaN</formula2>
    </dataValidation>
    <dataValidation type="decimal" allowBlank="1" showInputMessage="1" prompt="Dear Sir/ Madam - Score entered is greater than Max. Marks allotted." showErrorMessage="1" sqref="N128">
      <formula1>0</formula1>
      <formula2>NaN</formula2>
    </dataValidation>
    <dataValidation type="decimal" allowBlank="1" showInputMessage="1" prompt="Dear Sir/ Madam - Score entered is greater than Max. Marks allotted." showErrorMessage="1" sqref="N129">
      <formula1>0</formula1>
      <formula2>NaN</formula2>
    </dataValidation>
    <dataValidation type="decimal" allowBlank="1" showInputMessage="1" prompt="Dear Sir/ Madam - Score entered is greater than Max. Marks allotted." showErrorMessage="1" sqref="N130">
      <formula1>0</formula1>
      <formula2>NaN</formula2>
    </dataValidation>
    <dataValidation type="decimal" allowBlank="1" showInputMessage="1" prompt="Dear Sir/ Madam - Score entered is greater than Max. Marks allotted." showErrorMessage="1" sqref="N131">
      <formula1>0</formula1>
      <formula2>NaN</formula2>
    </dataValidation>
    <dataValidation type="decimal" allowBlank="1" showInputMessage="1" prompt="Dear Sir/ Madam - Score entered is greater than Max. Marks allotted." showErrorMessage="1" sqref="N132">
      <formula1>0</formula1>
      <formula2>NaN</formula2>
    </dataValidation>
    <dataValidation type="decimal" allowBlank="1" showInputMessage="1" prompt="Dear Sir/ Madam - Score entered is greater than Max. Marks allotted." showErrorMessage="1" sqref="N133">
      <formula1>0</formula1>
      <formula2>NaN</formula2>
    </dataValidation>
    <dataValidation type="decimal" allowBlank="1" showInputMessage="1" prompt="Dear Sir/ Madam - Score entered is greater than Max. Marks allotted." showErrorMessage="1" sqref="N134">
      <formula1>0</formula1>
      <formula2>NaN</formula2>
    </dataValidation>
    <dataValidation type="decimal" allowBlank="1" showInputMessage="1" prompt="Dear Sir/ Madam - Score entered is greater than Max. Marks allotted." showErrorMessage="1" sqref="N135">
      <formula1>0</formula1>
      <formula2>NaN</formula2>
    </dataValidation>
    <dataValidation type="decimal" allowBlank="1" showInputMessage="1" prompt="Dear Sir/ Madam - Score entered is greater than Max. Marks allotted." showErrorMessage="1" sqref="O108">
      <formula1>0</formula1>
      <formula2>NaN</formula2>
    </dataValidation>
    <dataValidation type="decimal" allowBlank="1" showInputMessage="1" prompt="Dear Sir/ Madam - Score entered is greater than Max. Marks allotted." showErrorMessage="1" sqref="O109">
      <formula1>0</formula1>
      <formula2>NaN</formula2>
    </dataValidation>
    <dataValidation type="decimal" allowBlank="1" showInputMessage="1" prompt="Dear Sir/ Madam - Score entered is greater than Max. Marks allotted." showErrorMessage="1" sqref="O110">
      <formula1>0</formula1>
      <formula2>NaN</formula2>
    </dataValidation>
    <dataValidation type="decimal" allowBlank="1" showInputMessage="1" prompt="Dear Sir/ Madam - Score entered is greater than Max. Marks allotted." showErrorMessage="1" sqref="O111">
      <formula1>0</formula1>
      <formula2>NaN</formula2>
    </dataValidation>
    <dataValidation type="decimal" allowBlank="1" showInputMessage="1" prompt="Dear Sir/ Madam - Score entered is greater than Max. Marks allotted." showErrorMessage="1" sqref="O112">
      <formula1>0</formula1>
      <formula2>NaN</formula2>
    </dataValidation>
    <dataValidation type="decimal" allowBlank="1" showInputMessage="1" prompt="Dear Sir/ Madam - Score entered is greater than Max. Marks allotted." showErrorMessage="1" sqref="O113">
      <formula1>0</formula1>
      <formula2>NaN</formula2>
    </dataValidation>
    <dataValidation type="decimal" allowBlank="1" showInputMessage="1" prompt="Dear Sir/ Madam - Score entered is greater than Max. Marks allotted." showErrorMessage="1" sqref="O114">
      <formula1>0</formula1>
      <formula2>NaN</formula2>
    </dataValidation>
    <dataValidation type="decimal" allowBlank="1" showInputMessage="1" prompt="Dear Sir/ Madam - Score entered is greater than Max. Marks allotted." showErrorMessage="1" sqref="O115">
      <formula1>0</formula1>
      <formula2>NaN</formula2>
    </dataValidation>
    <dataValidation type="decimal" allowBlank="1" showInputMessage="1" prompt="Dear Sir/ Madam - Score entered is greater than Max. Marks allotted." showErrorMessage="1" sqref="O116">
      <formula1>0</formula1>
      <formula2>NaN</formula2>
    </dataValidation>
    <dataValidation type="decimal" allowBlank="1" showInputMessage="1" prompt="Dear Sir/ Madam - Score entered is greater than Max. Marks allotted." showErrorMessage="1" sqref="O117">
      <formula1>0</formula1>
      <formula2>NaN</formula2>
    </dataValidation>
    <dataValidation type="decimal" allowBlank="1" showInputMessage="1" prompt="Dear Sir/ Madam - Score entered is greater than Max. Marks allotted." showErrorMessage="1" sqref="O118">
      <formula1>0</formula1>
      <formula2>NaN</formula2>
    </dataValidation>
    <dataValidation type="decimal" allowBlank="1" showInputMessage="1" prompt="Dear Sir/ Madam - Score entered is greater than Max. Marks allotted." showErrorMessage="1" sqref="O119">
      <formula1>0</formula1>
      <formula2>NaN</formula2>
    </dataValidation>
    <dataValidation type="decimal" allowBlank="1" showInputMessage="1" prompt="Dear Sir/ Madam - Score entered is greater than Max. Marks allotted." showErrorMessage="1" sqref="O120">
      <formula1>0</formula1>
      <formula2>NaN</formula2>
    </dataValidation>
    <dataValidation type="decimal" allowBlank="1" showInputMessage="1" prompt="Dear Sir/ Madam - Score entered is greater than Max. Marks allotted." showErrorMessage="1" sqref="O121">
      <formula1>0</formula1>
      <formula2>NaN</formula2>
    </dataValidation>
    <dataValidation type="decimal" allowBlank="1" showInputMessage="1" prompt="Dear Sir/ Madam - Score entered is greater than Max. Marks allotted." showErrorMessage="1" sqref="O122">
      <formula1>0</formula1>
      <formula2>NaN</formula2>
    </dataValidation>
    <dataValidation type="decimal" allowBlank="1" showInputMessage="1" prompt="Dear Sir/ Madam - Score entered is greater than Max. Marks allotted." showErrorMessage="1" sqref="O123">
      <formula1>0</formula1>
      <formula2>NaN</formula2>
    </dataValidation>
    <dataValidation type="decimal" allowBlank="1" showInputMessage="1" prompt="Dear Sir/ Madam - Score entered is greater than Max. Marks allotted." showErrorMessage="1" sqref="O124">
      <formula1>0</formula1>
      <formula2>NaN</formula2>
    </dataValidation>
    <dataValidation type="decimal" allowBlank="1" showInputMessage="1" prompt="Dear Sir/ Madam - Score entered is greater than Max. Marks allotted." showErrorMessage="1" sqref="O125">
      <formula1>0</formula1>
      <formula2>NaN</formula2>
    </dataValidation>
    <dataValidation type="decimal" allowBlank="1" showInputMessage="1" prompt="Dear Sir/ Madam - Score entered is greater than Max. Marks allotted." showErrorMessage="1" sqref="O126">
      <formula1>0</formula1>
      <formula2>NaN</formula2>
    </dataValidation>
    <dataValidation type="decimal" allowBlank="1" showInputMessage="1" prompt="Dear Sir/ Madam - Score entered is greater than Max. Marks allotted." showErrorMessage="1" sqref="O127">
      <formula1>0</formula1>
      <formula2>NaN</formula2>
    </dataValidation>
    <dataValidation type="decimal" allowBlank="1" showInputMessage="1" prompt="Dear Sir/ Madam - Score entered is greater than Max. Marks allotted." showErrorMessage="1" sqref="O128">
      <formula1>0</formula1>
      <formula2>NaN</formula2>
    </dataValidation>
    <dataValidation type="decimal" allowBlank="1" showInputMessage="1" prompt="Dear Sir/ Madam - Score entered is greater than Max. Marks allotted." showErrorMessage="1" sqref="O129">
      <formula1>0</formula1>
      <formula2>NaN</formula2>
    </dataValidation>
    <dataValidation type="decimal" allowBlank="1" showInputMessage="1" prompt="Dear Sir/ Madam - Score entered is greater than Max. Marks allotted." showErrorMessage="1" sqref="O130">
      <formula1>0</formula1>
      <formula2>NaN</formula2>
    </dataValidation>
    <dataValidation type="decimal" allowBlank="1" showInputMessage="1" prompt="Dear Sir/ Madam - Score entered is greater than Max. Marks allotted." showErrorMessage="1" sqref="O131">
      <formula1>0</formula1>
      <formula2>NaN</formula2>
    </dataValidation>
    <dataValidation type="decimal" allowBlank="1" showInputMessage="1" prompt="Dear Sir/ Madam - Score entered is greater than Max. Marks allotted." showErrorMessage="1" sqref="O132">
      <formula1>0</formula1>
      <formula2>NaN</formula2>
    </dataValidation>
    <dataValidation type="decimal" allowBlank="1" showInputMessage="1" prompt="Dear Sir/ Madam - Score entered is greater than Max. Marks allotted." showErrorMessage="1" sqref="O133">
      <formula1>0</formula1>
      <formula2>NaN</formula2>
    </dataValidation>
    <dataValidation type="decimal" allowBlank="1" showInputMessage="1" prompt="Dear Sir/ Madam - Score entered is greater than Max. Marks allotted." showErrorMessage="1" sqref="O134">
      <formula1>0</formula1>
      <formula2>NaN</formula2>
    </dataValidation>
    <dataValidation type="decimal" allowBlank="1" showInputMessage="1" prompt="Dear Sir/ Madam - Score entered is greater than Max. Marks allotted." showErrorMessage="1" sqref="O135">
      <formula1>0</formula1>
      <formula2>NaN</formula2>
    </dataValidation>
    <dataValidation type="decimal" allowBlank="1" showInputMessage="1" prompt="Dear Sir/ Madam - Score entered is greater than Max. Marks allotted." showErrorMessage="1" sqref="P108">
      <formula1>0</formula1>
      <formula2>NaN</formula2>
    </dataValidation>
    <dataValidation type="decimal" allowBlank="1" showInputMessage="1" prompt="Dear Sir/ Madam - Score entered is greater than Max. Marks allotted." showErrorMessage="1" sqref="P109">
      <formula1>0</formula1>
      <formula2>NaN</formula2>
    </dataValidation>
    <dataValidation type="decimal" allowBlank="1" showInputMessage="1" prompt="Dear Sir/ Madam - Score entered is greater than Max. Marks allotted." showErrorMessage="1" sqref="P110">
      <formula1>0</formula1>
      <formula2>NaN</formula2>
    </dataValidation>
    <dataValidation type="decimal" allowBlank="1" showInputMessage="1" prompt="Dear Sir/ Madam - Score entered is greater than Max. Marks allotted." showErrorMessage="1" sqref="P111">
      <formula1>0</formula1>
      <formula2>NaN</formula2>
    </dataValidation>
    <dataValidation type="decimal" allowBlank="1" showInputMessage="1" prompt="Dear Sir/ Madam - Score entered is greater than Max. Marks allotted." showErrorMessage="1" sqref="P112">
      <formula1>0</formula1>
      <formula2>NaN</formula2>
    </dataValidation>
    <dataValidation type="decimal" allowBlank="1" showInputMessage="1" prompt="Dear Sir/ Madam - Score entered is greater than Max. Marks allotted." showErrorMessage="1" sqref="P113">
      <formula1>0</formula1>
      <formula2>NaN</formula2>
    </dataValidation>
    <dataValidation type="decimal" allowBlank="1" showInputMessage="1" prompt="Dear Sir/ Madam - Score entered is greater than Max. Marks allotted." showErrorMessage="1" sqref="P114">
      <formula1>0</formula1>
      <formula2>NaN</formula2>
    </dataValidation>
    <dataValidation type="decimal" allowBlank="1" showInputMessage="1" prompt="Dear Sir/ Madam - Score entered is greater than Max. Marks allotted." showErrorMessage="1" sqref="P115">
      <formula1>0</formula1>
      <formula2>NaN</formula2>
    </dataValidation>
    <dataValidation type="decimal" allowBlank="1" showInputMessage="1" prompt="Dear Sir/ Madam - Score entered is greater than Max. Marks allotted." showErrorMessage="1" sqref="P116">
      <formula1>0</formula1>
      <formula2>NaN</formula2>
    </dataValidation>
    <dataValidation type="decimal" allowBlank="1" showInputMessage="1" prompt="Dear Sir/ Madam - Score entered is greater than Max. Marks allotted." showErrorMessage="1" sqref="P117">
      <formula1>0</formula1>
      <formula2>NaN</formula2>
    </dataValidation>
    <dataValidation type="decimal" allowBlank="1" showInputMessage="1" prompt="Dear Sir/ Madam - Score entered is greater than Max. Marks allotted." showErrorMessage="1" sqref="P118">
      <formula1>0</formula1>
      <formula2>NaN</formula2>
    </dataValidation>
    <dataValidation type="decimal" allowBlank="1" showInputMessage="1" prompt="Dear Sir/ Madam - Score entered is greater than Max. Marks allotted." showErrorMessage="1" sqref="P119">
      <formula1>0</formula1>
      <formula2>NaN</formula2>
    </dataValidation>
    <dataValidation type="decimal" allowBlank="1" showInputMessage="1" prompt="Dear Sir/ Madam - Score entered is greater than Max. Marks allotted." showErrorMessage="1" sqref="P120">
      <formula1>0</formula1>
      <formula2>NaN</formula2>
    </dataValidation>
    <dataValidation type="decimal" allowBlank="1" showInputMessage="1" prompt="Dear Sir/ Madam - Score entered is greater than Max. Marks allotted." showErrorMessage="1" sqref="P121">
      <formula1>0</formula1>
      <formula2>NaN</formula2>
    </dataValidation>
    <dataValidation type="decimal" allowBlank="1" showInputMessage="1" prompt="Dear Sir/ Madam - Score entered is greater than Max. Marks allotted." showErrorMessage="1" sqref="P122">
      <formula1>0</formula1>
      <formula2>NaN</formula2>
    </dataValidation>
    <dataValidation type="decimal" allowBlank="1" showInputMessage="1" prompt="Dear Sir/ Madam - Score entered is greater than Max. Marks allotted." showErrorMessage="1" sqref="P123">
      <formula1>0</formula1>
      <formula2>NaN</formula2>
    </dataValidation>
    <dataValidation type="decimal" allowBlank="1" showInputMessage="1" prompt="Dear Sir/ Madam - Score entered is greater than Max. Marks allotted." showErrorMessage="1" sqref="P124">
      <formula1>0</formula1>
      <formula2>NaN</formula2>
    </dataValidation>
    <dataValidation type="decimal" allowBlank="1" showInputMessage="1" prompt="Dear Sir/ Madam - Score entered is greater than Max. Marks allotted." showErrorMessage="1" sqref="P125">
      <formula1>0</formula1>
      <formula2>NaN</formula2>
    </dataValidation>
    <dataValidation type="decimal" allowBlank="1" showInputMessage="1" prompt="Dear Sir/ Madam - Score entered is greater than Max. Marks allotted." showErrorMessage="1" sqref="P126">
      <formula1>0</formula1>
      <formula2>NaN</formula2>
    </dataValidation>
    <dataValidation type="decimal" allowBlank="1" showInputMessage="1" prompt="Dear Sir/ Madam - Score entered is greater than Max. Marks allotted." showErrorMessage="1" sqref="P127">
      <formula1>0</formula1>
      <formula2>NaN</formula2>
    </dataValidation>
    <dataValidation type="decimal" allowBlank="1" showInputMessage="1" prompt="Dear Sir/ Madam - Score entered is greater than Max. Marks allotted." showErrorMessage="1" sqref="P128">
      <formula1>0</formula1>
      <formula2>NaN</formula2>
    </dataValidation>
    <dataValidation type="decimal" allowBlank="1" showInputMessage="1" prompt="Dear Sir/ Madam - Score entered is greater than Max. Marks allotted." showErrorMessage="1" sqref="P129">
      <formula1>0</formula1>
      <formula2>NaN</formula2>
    </dataValidation>
    <dataValidation type="decimal" allowBlank="1" showInputMessage="1" prompt="Dear Sir/ Madam - Score entered is greater than Max. Marks allotted." showErrorMessage="1" sqref="P130">
      <formula1>0</formula1>
      <formula2>NaN</formula2>
    </dataValidation>
    <dataValidation type="decimal" allowBlank="1" showInputMessage="1" prompt="Dear Sir/ Madam - Score entered is greater than Max. Marks allotted." showErrorMessage="1" sqref="P131">
      <formula1>0</formula1>
      <formula2>NaN</formula2>
    </dataValidation>
    <dataValidation type="decimal" allowBlank="1" showInputMessage="1" prompt="Dear Sir/ Madam - Score entered is greater than Max. Marks allotted." showErrorMessage="1" sqref="P132">
      <formula1>0</formula1>
      <formula2>NaN</formula2>
    </dataValidation>
    <dataValidation type="decimal" allowBlank="1" showInputMessage="1" prompt="Dear Sir/ Madam - Score entered is greater than Max. Marks allotted." showErrorMessage="1" sqref="P133">
      <formula1>0</formula1>
      <formula2>NaN</formula2>
    </dataValidation>
    <dataValidation type="decimal" allowBlank="1" showInputMessage="1" prompt="Dear Sir/ Madam - Score entered is greater than Max. Marks allotted." showErrorMessage="1" sqref="P134">
      <formula1>0</formula1>
      <formula2>NaN</formula2>
    </dataValidation>
    <dataValidation type="decimal" allowBlank="1" showInputMessage="1" prompt="Dear Sir/ Madam - Score entered is greater than Max. Marks allotted." showErrorMessage="1" sqref="P135">
      <formula1>0</formula1>
      <formula2>NaN</formula2>
    </dataValidation>
    <dataValidation type="decimal" allowBlank="1" showInputMessage="1" prompt="Dear Sir/ Madam - Score entered is greater than Max. Marks allotted." showErrorMessage="1" sqref="Q108">
      <formula1>0</formula1>
      <formula2>NaN</formula2>
    </dataValidation>
    <dataValidation type="decimal" allowBlank="1" showInputMessage="1" prompt="Dear Sir/ Madam - Score entered is greater than Max. Marks allotted." showErrorMessage="1" sqref="Q109">
      <formula1>0</formula1>
      <formula2>NaN</formula2>
    </dataValidation>
    <dataValidation type="decimal" allowBlank="1" showInputMessage="1" prompt="Dear Sir/ Madam - Score entered is greater than Max. Marks allotted." showErrorMessage="1" sqref="Q110">
      <formula1>0</formula1>
      <formula2>NaN</formula2>
    </dataValidation>
    <dataValidation type="decimal" allowBlank="1" showInputMessage="1" prompt="Dear Sir/ Madam - Score entered is greater than Max. Marks allotted." showErrorMessage="1" sqref="Q111">
      <formula1>0</formula1>
      <formula2>NaN</formula2>
    </dataValidation>
    <dataValidation type="decimal" allowBlank="1" showInputMessage="1" prompt="Dear Sir/ Madam - Score entered is greater than Max. Marks allotted." showErrorMessage="1" sqref="Q112">
      <formula1>0</formula1>
      <formula2>NaN</formula2>
    </dataValidation>
    <dataValidation type="decimal" allowBlank="1" showInputMessage="1" prompt="Dear Sir/ Madam - Score entered is greater than Max. Marks allotted." showErrorMessage="1" sqref="Q113">
      <formula1>0</formula1>
      <formula2>NaN</formula2>
    </dataValidation>
    <dataValidation type="decimal" allowBlank="1" showInputMessage="1" prompt="Dear Sir/ Madam - Score entered is greater than Max. Marks allotted." showErrorMessage="1" sqref="Q114">
      <formula1>0</formula1>
      <formula2>NaN</formula2>
    </dataValidation>
    <dataValidation type="decimal" allowBlank="1" showInputMessage="1" prompt="Dear Sir/ Madam - Score entered is greater than Max. Marks allotted." showErrorMessage="1" sqref="Q115">
      <formula1>0</formula1>
      <formula2>NaN</formula2>
    </dataValidation>
    <dataValidation type="decimal" allowBlank="1" showInputMessage="1" prompt="Dear Sir/ Madam - Score entered is greater than Max. Marks allotted." showErrorMessage="1" sqref="Q116">
      <formula1>0</formula1>
      <formula2>NaN</formula2>
    </dataValidation>
    <dataValidation type="decimal" allowBlank="1" showInputMessage="1" prompt="Dear Sir/ Madam - Score entered is greater than Max. Marks allotted." showErrorMessage="1" sqref="Q117">
      <formula1>0</formula1>
      <formula2>NaN</formula2>
    </dataValidation>
    <dataValidation type="decimal" allowBlank="1" showInputMessage="1" prompt="Dear Sir/ Madam - Score entered is greater than Max. Marks allotted." showErrorMessage="1" sqref="Q118">
      <formula1>0</formula1>
      <formula2>NaN</formula2>
    </dataValidation>
    <dataValidation type="decimal" allowBlank="1" showInputMessage="1" prompt="Dear Sir/ Madam - Score entered is greater than Max. Marks allotted." showErrorMessage="1" sqref="Q119">
      <formula1>0</formula1>
      <formula2>NaN</formula2>
    </dataValidation>
    <dataValidation type="decimal" allowBlank="1" showInputMessage="1" prompt="Dear Sir/ Madam - Score entered is greater than Max. Marks allotted." showErrorMessage="1" sqref="Q120">
      <formula1>0</formula1>
      <formula2>NaN</formula2>
    </dataValidation>
    <dataValidation type="decimal" allowBlank="1" showInputMessage="1" prompt="Dear Sir/ Madam - Score entered is greater than Max. Marks allotted." showErrorMessage="1" sqref="Q121">
      <formula1>0</formula1>
      <formula2>NaN</formula2>
    </dataValidation>
    <dataValidation type="decimal" allowBlank="1" showInputMessage="1" prompt="Dear Sir/ Madam - Score entered is greater than Max. Marks allotted." showErrorMessage="1" sqref="Q122">
      <formula1>0</formula1>
      <formula2>NaN</formula2>
    </dataValidation>
    <dataValidation type="decimal" allowBlank="1" showInputMessage="1" prompt="Dear Sir/ Madam - Score entered is greater than Max. Marks allotted." showErrorMessage="1" sqref="Q123">
      <formula1>0</formula1>
      <formula2>NaN</formula2>
    </dataValidation>
    <dataValidation type="decimal" allowBlank="1" showInputMessage="1" prompt="Dear Sir/ Madam - Score entered is greater than Max. Marks allotted." showErrorMessage="1" sqref="Q124">
      <formula1>0</formula1>
      <formula2>NaN</formula2>
    </dataValidation>
    <dataValidation type="decimal" allowBlank="1" showInputMessage="1" prompt="Dear Sir/ Madam - Score entered is greater than Max. Marks allotted." showErrorMessage="1" sqref="Q125">
      <formula1>0</formula1>
      <formula2>NaN</formula2>
    </dataValidation>
    <dataValidation type="decimal" allowBlank="1" showInputMessage="1" prompt="Dear Sir/ Madam - Score entered is greater than Max. Marks allotted." showErrorMessage="1" sqref="Q126">
      <formula1>0</formula1>
      <formula2>NaN</formula2>
    </dataValidation>
    <dataValidation type="decimal" allowBlank="1" showInputMessage="1" prompt="Dear Sir/ Madam - Score entered is greater than Max. Marks allotted." showErrorMessage="1" sqref="Q127">
      <formula1>0</formula1>
      <formula2>NaN</formula2>
    </dataValidation>
    <dataValidation type="decimal" allowBlank="1" showInputMessage="1" prompt="Dear Sir/ Madam - Score entered is greater than Max. Marks allotted." showErrorMessage="1" sqref="Q128">
      <formula1>0</formula1>
      <formula2>NaN</formula2>
    </dataValidation>
    <dataValidation type="decimal" allowBlank="1" showInputMessage="1" prompt="Dear Sir/ Madam - Score entered is greater than Max. Marks allotted." showErrorMessage="1" sqref="Q129">
      <formula1>0</formula1>
      <formula2>NaN</formula2>
    </dataValidation>
    <dataValidation type="decimal" allowBlank="1" showInputMessage="1" prompt="Dear Sir/ Madam - Score entered is greater than Max. Marks allotted." showErrorMessage="1" sqref="Q130">
      <formula1>0</formula1>
      <formula2>NaN</formula2>
    </dataValidation>
    <dataValidation type="decimal" allowBlank="1" showInputMessage="1" prompt="Dear Sir/ Madam - Score entered is greater than Max. Marks allotted." showErrorMessage="1" sqref="Q131">
      <formula1>0</formula1>
      <formula2>NaN</formula2>
    </dataValidation>
    <dataValidation type="decimal" allowBlank="1" showInputMessage="1" prompt="Dear Sir/ Madam - Score entered is greater than Max. Marks allotted." showErrorMessage="1" sqref="Q132">
      <formula1>0</formula1>
      <formula2>NaN</formula2>
    </dataValidation>
    <dataValidation type="decimal" allowBlank="1" showInputMessage="1" prompt="Dear Sir/ Madam - Score entered is greater than Max. Marks allotted." showErrorMessage="1" sqref="Q133">
      <formula1>0</formula1>
      <formula2>NaN</formula2>
    </dataValidation>
    <dataValidation type="decimal" allowBlank="1" showInputMessage="1" prompt="Dear Sir/ Madam - Score entered is greater than Max. Marks allotted." showErrorMessage="1" sqref="Q134">
      <formula1>0</formula1>
      <formula2>NaN</formula2>
    </dataValidation>
    <dataValidation type="decimal" allowBlank="1" showInputMessage="1" prompt="Dear Sir/ Madam - Score entered is greater than Max. Marks allotted." showErrorMessage="1" sqref="Q135">
      <formula1>0</formula1>
      <formula2>NaN</formula2>
    </dataValidation>
    <dataValidation type="decimal" allowBlank="1" showInputMessage="1" prompt="Dear Sir/ Madam - Score entered is greater than Max. Marks allotted." showErrorMessage="1" sqref="R108">
      <formula1>0</formula1>
      <formula2>NaN</formula2>
    </dataValidation>
    <dataValidation type="decimal" allowBlank="1" showInputMessage="1" prompt="Dear Sir/ Madam - Score entered is greater than Max. Marks allotted." showErrorMessage="1" sqref="R109">
      <formula1>0</formula1>
      <formula2>NaN</formula2>
    </dataValidation>
    <dataValidation type="decimal" allowBlank="1" showInputMessage="1" prompt="Dear Sir/ Madam - Score entered is greater than Max. Marks allotted." showErrorMessage="1" sqref="R110">
      <formula1>0</formula1>
      <formula2>NaN</formula2>
    </dataValidation>
    <dataValidation type="decimal" allowBlank="1" showInputMessage="1" prompt="Dear Sir/ Madam - Score entered is greater than Max. Marks allotted." showErrorMessage="1" sqref="R111">
      <formula1>0</formula1>
      <formula2>NaN</formula2>
    </dataValidation>
    <dataValidation type="decimal" allowBlank="1" showInputMessage="1" prompt="Dear Sir/ Madam - Score entered is greater than Max. Marks allotted." showErrorMessage="1" sqref="R112">
      <formula1>0</formula1>
      <formula2>NaN</formula2>
    </dataValidation>
    <dataValidation type="decimal" allowBlank="1" showInputMessage="1" prompt="Dear Sir/ Madam - Score entered is greater than Max. Marks allotted." showErrorMessage="1" sqref="R113">
      <formula1>0</formula1>
      <formula2>NaN</formula2>
    </dataValidation>
    <dataValidation type="decimal" allowBlank="1" showInputMessage="1" prompt="Dear Sir/ Madam - Score entered is greater than Max. Marks allotted." showErrorMessage="1" sqref="R114">
      <formula1>0</formula1>
      <formula2>NaN</formula2>
    </dataValidation>
    <dataValidation type="decimal" allowBlank="1" showInputMessage="1" prompt="Dear Sir/ Madam - Score entered is greater than Max. Marks allotted." showErrorMessage="1" sqref="R115">
      <formula1>0</formula1>
      <formula2>NaN</formula2>
    </dataValidation>
    <dataValidation type="decimal" allowBlank="1" showInputMessage="1" prompt="Dear Sir/ Madam - Score entered is greater than Max. Marks allotted." showErrorMessage="1" sqref="R116">
      <formula1>0</formula1>
      <formula2>NaN</formula2>
    </dataValidation>
    <dataValidation type="decimal" allowBlank="1" showInputMessage="1" prompt="Dear Sir/ Madam - Score entered is greater than Max. Marks allotted." showErrorMessage="1" sqref="R117">
      <formula1>0</formula1>
      <formula2>NaN</formula2>
    </dataValidation>
    <dataValidation type="decimal" allowBlank="1" showInputMessage="1" prompt="Dear Sir/ Madam - Score entered is greater than Max. Marks allotted." showErrorMessage="1" sqref="R118">
      <formula1>0</formula1>
      <formula2>NaN</formula2>
    </dataValidation>
    <dataValidation type="decimal" allowBlank="1" showInputMessage="1" prompt="Dear Sir/ Madam - Score entered is greater than Max. Marks allotted." showErrorMessage="1" sqref="R119">
      <formula1>0</formula1>
      <formula2>NaN</formula2>
    </dataValidation>
    <dataValidation type="decimal" allowBlank="1" showInputMessage="1" prompt="Dear Sir/ Madam - Score entered is greater than Max. Marks allotted." showErrorMessage="1" sqref="R120">
      <formula1>0</formula1>
      <formula2>NaN</formula2>
    </dataValidation>
    <dataValidation type="decimal" allowBlank="1" showInputMessage="1" prompt="Dear Sir/ Madam - Score entered is greater than Max. Marks allotted." showErrorMessage="1" sqref="R121">
      <formula1>0</formula1>
      <formula2>NaN</formula2>
    </dataValidation>
    <dataValidation type="decimal" allowBlank="1" showInputMessage="1" prompt="Dear Sir/ Madam - Score entered is greater than Max. Marks allotted." showErrorMessage="1" sqref="R122">
      <formula1>0</formula1>
      <formula2>NaN</formula2>
    </dataValidation>
    <dataValidation type="decimal" allowBlank="1" showInputMessage="1" prompt="Dear Sir/ Madam - Score entered is greater than Max. Marks allotted." showErrorMessage="1" sqref="R123">
      <formula1>0</formula1>
      <formula2>NaN</formula2>
    </dataValidation>
    <dataValidation type="decimal" allowBlank="1" showInputMessage="1" prompt="Dear Sir/ Madam - Score entered is greater than Max. Marks allotted." showErrorMessage="1" sqref="R124">
      <formula1>0</formula1>
      <formula2>NaN</formula2>
    </dataValidation>
    <dataValidation type="decimal" allowBlank="1" showInputMessage="1" prompt="Dear Sir/ Madam - Score entered is greater than Max. Marks allotted." showErrorMessage="1" sqref="R125">
      <formula1>0</formula1>
      <formula2>NaN</formula2>
    </dataValidation>
    <dataValidation type="decimal" allowBlank="1" showInputMessage="1" prompt="Dear Sir/ Madam - Score entered is greater than Max. Marks allotted." showErrorMessage="1" sqref="R126">
      <formula1>0</formula1>
      <formula2>NaN</formula2>
    </dataValidation>
    <dataValidation type="decimal" allowBlank="1" showInputMessage="1" prompt="Dear Sir/ Madam - Score entered is greater than Max. Marks allotted." showErrorMessage="1" sqref="R127">
      <formula1>0</formula1>
      <formula2>NaN</formula2>
    </dataValidation>
    <dataValidation type="decimal" allowBlank="1" showInputMessage="1" prompt="Dear Sir/ Madam - Score entered is greater than Max. Marks allotted." showErrorMessage="1" sqref="R128">
      <formula1>0</formula1>
      <formula2>NaN</formula2>
    </dataValidation>
    <dataValidation type="decimal" allowBlank="1" showInputMessage="1" prompt="Dear Sir/ Madam - Score entered is greater than Max. Marks allotted." showErrorMessage="1" sqref="R129">
      <formula1>0</formula1>
      <formula2>NaN</formula2>
    </dataValidation>
    <dataValidation type="decimal" allowBlank="1" showInputMessage="1" prompt="Dear Sir/ Madam - Score entered is greater than Max. Marks allotted." showErrorMessage="1" sqref="R130">
      <formula1>0</formula1>
      <formula2>NaN</formula2>
    </dataValidation>
    <dataValidation type="decimal" allowBlank="1" showInputMessage="1" prompt="Dear Sir/ Madam - Score entered is greater than Max. Marks allotted." showErrorMessage="1" sqref="R131">
      <formula1>0</formula1>
      <formula2>NaN</formula2>
    </dataValidation>
    <dataValidation type="decimal" allowBlank="1" showInputMessage="1" prompt="Dear Sir/ Madam - Score entered is greater than Max. Marks allotted." showErrorMessage="1" sqref="R132">
      <formula1>0</formula1>
      <formula2>NaN</formula2>
    </dataValidation>
    <dataValidation type="decimal" allowBlank="1" showInputMessage="1" prompt="Dear Sir/ Madam - Score entered is greater than Max. Marks allotted." showErrorMessage="1" sqref="R133">
      <formula1>0</formula1>
      <formula2>NaN</formula2>
    </dataValidation>
    <dataValidation type="decimal" allowBlank="1" showInputMessage="1" prompt="Dear Sir/ Madam - Score entered is greater than Max. Marks allotted." showErrorMessage="1" sqref="R134">
      <formula1>0</formula1>
      <formula2>NaN</formula2>
    </dataValidation>
    <dataValidation type="decimal" allowBlank="1" showInputMessage="1" prompt="Dear Sir/ Madam - Score entered is greater than Max. Marks allotted." showErrorMessage="1" sqref="R135">
      <formula1>0</formula1>
      <formula2>NaN</formula2>
    </dataValidation>
    <dataValidation type="decimal" allowBlank="1" showInputMessage="1" prompt="Dear Sir/ Madam - Score entered is greater than Max. Marks allotted." showErrorMessage="1" sqref="S108">
      <formula1>0</formula1>
      <formula2>NaN</formula2>
    </dataValidation>
    <dataValidation type="decimal" allowBlank="1" showInputMessage="1" prompt="Dear Sir/ Madam - Score entered is greater than Max. Marks allotted." showErrorMessage="1" sqref="S109">
      <formula1>0</formula1>
      <formula2>NaN</formula2>
    </dataValidation>
    <dataValidation type="decimal" allowBlank="1" showInputMessage="1" prompt="Dear Sir/ Madam - Score entered is greater than Max. Marks allotted." showErrorMessage="1" sqref="S110">
      <formula1>0</formula1>
      <formula2>NaN</formula2>
    </dataValidation>
    <dataValidation type="decimal" allowBlank="1" showInputMessage="1" prompt="Dear Sir/ Madam - Score entered is greater than Max. Marks allotted." showErrorMessage="1" sqref="S111">
      <formula1>0</formula1>
      <formula2>NaN</formula2>
    </dataValidation>
    <dataValidation type="decimal" allowBlank="1" showInputMessage="1" prompt="Dear Sir/ Madam - Score entered is greater than Max. Marks allotted." showErrorMessage="1" sqref="S112">
      <formula1>0</formula1>
      <formula2>NaN</formula2>
    </dataValidation>
    <dataValidation type="decimal" allowBlank="1" showInputMessage="1" prompt="Dear Sir/ Madam - Score entered is greater than Max. Marks allotted." showErrorMessage="1" sqref="S113">
      <formula1>0</formula1>
      <formula2>NaN</formula2>
    </dataValidation>
    <dataValidation type="decimal" allowBlank="1" showInputMessage="1" prompt="Dear Sir/ Madam - Score entered is greater than Max. Marks allotted." showErrorMessage="1" sqref="S114">
      <formula1>0</formula1>
      <formula2>NaN</formula2>
    </dataValidation>
    <dataValidation type="decimal" allowBlank="1" showInputMessage="1" prompt="Dear Sir/ Madam - Score entered is greater than Max. Marks allotted." showErrorMessage="1" sqref="S115">
      <formula1>0</formula1>
      <formula2>NaN</formula2>
    </dataValidation>
    <dataValidation type="decimal" allowBlank="1" showInputMessage="1" prompt="Dear Sir/ Madam - Score entered is greater than Max. Marks allotted." showErrorMessage="1" sqref="S116">
      <formula1>0</formula1>
      <formula2>NaN</formula2>
    </dataValidation>
    <dataValidation type="decimal" allowBlank="1" showInputMessage="1" prompt="Dear Sir/ Madam - Score entered is greater than Max. Marks allotted." showErrorMessage="1" sqref="S117">
      <formula1>0</formula1>
      <formula2>NaN</formula2>
    </dataValidation>
    <dataValidation type="decimal" allowBlank="1" showInputMessage="1" prompt="Dear Sir/ Madam - Score entered is greater than Max. Marks allotted." showErrorMessage="1" sqref="S118">
      <formula1>0</formula1>
      <formula2>NaN</formula2>
    </dataValidation>
    <dataValidation type="decimal" allowBlank="1" showInputMessage="1" prompt="Dear Sir/ Madam - Score entered is greater than Max. Marks allotted." showErrorMessage="1" sqref="S119">
      <formula1>0</formula1>
      <formula2>NaN</formula2>
    </dataValidation>
    <dataValidation type="decimal" allowBlank="1" showInputMessage="1" prompt="Dear Sir/ Madam - Score entered is greater than Max. Marks allotted." showErrorMessage="1" sqref="S120">
      <formula1>0</formula1>
      <formula2>NaN</formula2>
    </dataValidation>
    <dataValidation type="decimal" allowBlank="1" showInputMessage="1" prompt="Dear Sir/ Madam - Score entered is greater than Max. Marks allotted." showErrorMessage="1" sqref="S121">
      <formula1>0</formula1>
      <formula2>NaN</formula2>
    </dataValidation>
    <dataValidation type="decimal" allowBlank="1" showInputMessage="1" prompt="Dear Sir/ Madam - Score entered is greater than Max. Marks allotted." showErrorMessage="1" sqref="S122">
      <formula1>0</formula1>
      <formula2>NaN</formula2>
    </dataValidation>
    <dataValidation type="decimal" allowBlank="1" showInputMessage="1" prompt="Dear Sir/ Madam - Score entered is greater than Max. Marks allotted." showErrorMessage="1" sqref="S123">
      <formula1>0</formula1>
      <formula2>NaN</formula2>
    </dataValidation>
    <dataValidation type="decimal" allowBlank="1" showInputMessage="1" prompt="Dear Sir/ Madam - Score entered is greater than Max. Marks allotted." showErrorMessage="1" sqref="S124">
      <formula1>0</formula1>
      <formula2>NaN</formula2>
    </dataValidation>
    <dataValidation type="decimal" allowBlank="1" showInputMessage="1" prompt="Dear Sir/ Madam - Score entered is greater than Max. Marks allotted." showErrorMessage="1" sqref="S125">
      <formula1>0</formula1>
      <formula2>NaN</formula2>
    </dataValidation>
    <dataValidation type="decimal" allowBlank="1" showInputMessage="1" prompt="Dear Sir/ Madam - Score entered is greater than Max. Marks allotted." showErrorMessage="1" sqref="S126">
      <formula1>0</formula1>
      <formula2>NaN</formula2>
    </dataValidation>
    <dataValidation type="decimal" allowBlank="1" showInputMessage="1" prompt="Dear Sir/ Madam - Score entered is greater than Max. Marks allotted." showErrorMessage="1" sqref="S127">
      <formula1>0</formula1>
      <formula2>NaN</formula2>
    </dataValidation>
    <dataValidation type="decimal" allowBlank="1" showInputMessage="1" prompt="Dear Sir/ Madam - Score entered is greater than Max. Marks allotted." showErrorMessage="1" sqref="S128">
      <formula1>0</formula1>
      <formula2>NaN</formula2>
    </dataValidation>
    <dataValidation type="decimal" allowBlank="1" showInputMessage="1" prompt="Dear Sir/ Madam - Score entered is greater than Max. Marks allotted." showErrorMessage="1" sqref="S129">
      <formula1>0</formula1>
      <formula2>NaN</formula2>
    </dataValidation>
    <dataValidation type="decimal" allowBlank="1" showInputMessage="1" prompt="Dear Sir/ Madam - Score entered is greater than Max. Marks allotted." showErrorMessage="1" sqref="S130">
      <formula1>0</formula1>
      <formula2>NaN</formula2>
    </dataValidation>
    <dataValidation type="decimal" allowBlank="1" showInputMessage="1" prompt="Dear Sir/ Madam - Score entered is greater than Max. Marks allotted." showErrorMessage="1" sqref="S131">
      <formula1>0</formula1>
      <formula2>NaN</formula2>
    </dataValidation>
    <dataValidation type="decimal" allowBlank="1" showInputMessage="1" prompt="Dear Sir/ Madam - Score entered is greater than Max. Marks allotted." showErrorMessage="1" sqref="S132">
      <formula1>0</formula1>
      <formula2>NaN</formula2>
    </dataValidation>
    <dataValidation type="decimal" allowBlank="1" showInputMessage="1" prompt="Dear Sir/ Madam - Score entered is greater than Max. Marks allotted." showErrorMessage="1" sqref="S133">
      <formula1>0</formula1>
      <formula2>NaN</formula2>
    </dataValidation>
    <dataValidation type="decimal" allowBlank="1" showInputMessage="1" prompt="Dear Sir/ Madam - Score entered is greater than Max. Marks allotted." showErrorMessage="1" sqref="S134">
      <formula1>0</formula1>
      <formula2>NaN</formula2>
    </dataValidation>
    <dataValidation type="decimal" allowBlank="1" showInputMessage="1" prompt="Dear Sir/ Madam - Score entered is greater than Max. Marks allotted." showErrorMessage="1" sqref="S135">
      <formula1>0</formula1>
      <formula2>NaN</formula2>
    </dataValidation>
    <dataValidation type="decimal" allowBlank="1" showInputMessage="1" prompt="Dear Sir/ Madam - Score entered is greater than Max. Marks allotted." showErrorMessage="1" sqref="T108">
      <formula1>0</formula1>
      <formula2>NaN</formula2>
    </dataValidation>
    <dataValidation type="decimal" allowBlank="1" showInputMessage="1" prompt="Dear Sir/ Madam - Score entered is greater than Max. Marks allotted." showErrorMessage="1" sqref="T109">
      <formula1>0</formula1>
      <formula2>NaN</formula2>
    </dataValidation>
    <dataValidation type="decimal" allowBlank="1" showInputMessage="1" prompt="Dear Sir/ Madam - Score entered is greater than Max. Marks allotted." showErrorMessage="1" sqref="T110">
      <formula1>0</formula1>
      <formula2>NaN</formula2>
    </dataValidation>
    <dataValidation type="decimal" allowBlank="1" showInputMessage="1" prompt="Dear Sir/ Madam - Score entered is greater than Max. Marks allotted." showErrorMessage="1" sqref="T111">
      <formula1>0</formula1>
      <formula2>NaN</formula2>
    </dataValidation>
    <dataValidation type="decimal" allowBlank="1" showInputMessage="1" prompt="Dear Sir/ Madam - Score entered is greater than Max. Marks allotted." showErrorMessage="1" sqref="T112">
      <formula1>0</formula1>
      <formula2>NaN</formula2>
    </dataValidation>
    <dataValidation type="decimal" allowBlank="1" showInputMessage="1" prompt="Dear Sir/ Madam - Score entered is greater than Max. Marks allotted." showErrorMessage="1" sqref="T113">
      <formula1>0</formula1>
      <formula2>NaN</formula2>
    </dataValidation>
    <dataValidation type="decimal" allowBlank="1" showInputMessage="1" prompt="Dear Sir/ Madam - Score entered is greater than Max. Marks allotted." showErrorMessage="1" sqref="T114">
      <formula1>0</formula1>
      <formula2>NaN</formula2>
    </dataValidation>
    <dataValidation type="decimal" allowBlank="1" showInputMessage="1" prompt="Dear Sir/ Madam - Score entered is greater than Max. Marks allotted." showErrorMessage="1" sqref="T115">
      <formula1>0</formula1>
      <formula2>NaN</formula2>
    </dataValidation>
    <dataValidation type="decimal" allowBlank="1" showInputMessage="1" prompt="Dear Sir/ Madam - Score entered is greater than Max. Marks allotted." showErrorMessage="1" sqref="T116">
      <formula1>0</formula1>
      <formula2>NaN</formula2>
    </dataValidation>
    <dataValidation type="decimal" allowBlank="1" showInputMessage="1" prompt="Dear Sir/ Madam - Score entered is greater than Max. Marks allotted." showErrorMessage="1" sqref="T117">
      <formula1>0</formula1>
      <formula2>NaN</formula2>
    </dataValidation>
    <dataValidation type="decimal" allowBlank="1" showInputMessage="1" prompt="Dear Sir/ Madam - Score entered is greater than Max. Marks allotted." showErrorMessage="1" sqref="T118">
      <formula1>0</formula1>
      <formula2>NaN</formula2>
    </dataValidation>
    <dataValidation type="decimal" allowBlank="1" showInputMessage="1" prompt="Dear Sir/ Madam - Score entered is greater than Max. Marks allotted." showErrorMessage="1" sqref="T119">
      <formula1>0</formula1>
      <formula2>NaN</formula2>
    </dataValidation>
    <dataValidation type="decimal" allowBlank="1" showInputMessage="1" prompt="Dear Sir/ Madam - Score entered is greater than Max. Marks allotted." showErrorMessage="1" sqref="T120">
      <formula1>0</formula1>
      <formula2>NaN</formula2>
    </dataValidation>
    <dataValidation type="decimal" allowBlank="1" showInputMessage="1" prompt="Dear Sir/ Madam - Score entered is greater than Max. Marks allotted." showErrorMessage="1" sqref="T121">
      <formula1>0</formula1>
      <formula2>NaN</formula2>
    </dataValidation>
    <dataValidation type="decimal" allowBlank="1" showInputMessage="1" prompt="Dear Sir/ Madam - Score entered is greater than Max. Marks allotted." showErrorMessage="1" sqref="T122">
      <formula1>0</formula1>
      <formula2>NaN</formula2>
    </dataValidation>
    <dataValidation type="decimal" allowBlank="1" showInputMessage="1" prompt="Dear Sir/ Madam - Score entered is greater than Max. Marks allotted." showErrorMessage="1" sqref="T123">
      <formula1>0</formula1>
      <formula2>NaN</formula2>
    </dataValidation>
    <dataValidation type="decimal" allowBlank="1" showInputMessage="1" prompt="Dear Sir/ Madam - Score entered is greater than Max. Marks allotted." showErrorMessage="1" sqref="T124">
      <formula1>0</formula1>
      <formula2>NaN</formula2>
    </dataValidation>
    <dataValidation type="decimal" allowBlank="1" showInputMessage="1" prompt="Dear Sir/ Madam - Score entered is greater than Max. Marks allotted." showErrorMessage="1" sqref="T125">
      <formula1>0</formula1>
      <formula2>NaN</formula2>
    </dataValidation>
    <dataValidation type="decimal" allowBlank="1" showInputMessage="1" prompt="Dear Sir/ Madam - Score entered is greater than Max. Marks allotted." showErrorMessage="1" sqref="T126">
      <formula1>0</formula1>
      <formula2>NaN</formula2>
    </dataValidation>
    <dataValidation type="decimal" allowBlank="1" showInputMessage="1" prompt="Dear Sir/ Madam - Score entered is greater than Max. Marks allotted." showErrorMessage="1" sqref="T127">
      <formula1>0</formula1>
      <formula2>NaN</formula2>
    </dataValidation>
    <dataValidation type="decimal" allowBlank="1" showInputMessage="1" prompt="Dear Sir/ Madam - Score entered is greater than Max. Marks allotted." showErrorMessage="1" sqref="T128">
      <formula1>0</formula1>
      <formula2>NaN</formula2>
    </dataValidation>
    <dataValidation type="decimal" allowBlank="1" showInputMessage="1" prompt="Dear Sir/ Madam - Score entered is greater than Max. Marks allotted." showErrorMessage="1" sqref="T129">
      <formula1>0</formula1>
      <formula2>NaN</formula2>
    </dataValidation>
    <dataValidation type="decimal" allowBlank="1" showInputMessage="1" prompt="Dear Sir/ Madam - Score entered is greater than Max. Marks allotted." showErrorMessage="1" sqref="T130">
      <formula1>0</formula1>
      <formula2>NaN</formula2>
    </dataValidation>
    <dataValidation type="decimal" allowBlank="1" showInputMessage="1" prompt="Dear Sir/ Madam - Score entered is greater than Max. Marks allotted." showErrorMessage="1" sqref="T131">
      <formula1>0</formula1>
      <formula2>NaN</formula2>
    </dataValidation>
    <dataValidation type="decimal" allowBlank="1" showInputMessage="1" prompt="Dear Sir/ Madam - Score entered is greater than Max. Marks allotted." showErrorMessage="1" sqref="T132">
      <formula1>0</formula1>
      <formula2>NaN</formula2>
    </dataValidation>
    <dataValidation type="decimal" allowBlank="1" showInputMessage="1" prompt="Dear Sir/ Madam - Score entered is greater than Max. Marks allotted." showErrorMessage="1" sqref="T133">
      <formula1>0</formula1>
      <formula2>NaN</formula2>
    </dataValidation>
    <dataValidation type="decimal" allowBlank="1" showInputMessage="1" prompt="Dear Sir/ Madam - Score entered is greater than Max. Marks allotted." showErrorMessage="1" sqref="T134">
      <formula1>0</formula1>
      <formula2>NaN</formula2>
    </dataValidation>
    <dataValidation type="decimal" allowBlank="1" showInputMessage="1" prompt="Dear Sir/ Madam - Score entered is greater than Max. Marks allotted." showErrorMessage="1" sqref="T135">
      <formula1>0</formula1>
      <formula2>NaN</formula2>
    </dataValidation>
    <dataValidation type="decimal" allowBlank="1" showInputMessage="1" prompt="Dear Sir/ Madam - Score entered is greater than Max. Marks allotted." showErrorMessage="1" sqref="U108">
      <formula1>0</formula1>
      <formula2>NaN</formula2>
    </dataValidation>
    <dataValidation type="decimal" allowBlank="1" showInputMessage="1" prompt="Dear Sir/ Madam - Score entered is greater than Max. Marks allotted." showErrorMessage="1" sqref="U109">
      <formula1>0</formula1>
      <formula2>NaN</formula2>
    </dataValidation>
    <dataValidation type="decimal" allowBlank="1" showInputMessage="1" prompt="Dear Sir/ Madam - Score entered is greater than Max. Marks allotted." showErrorMessage="1" sqref="U110">
      <formula1>0</formula1>
      <formula2>NaN</formula2>
    </dataValidation>
    <dataValidation type="decimal" allowBlank="1" showInputMessage="1" prompt="Dear Sir/ Madam - Score entered is greater than Max. Marks allotted." showErrorMessage="1" sqref="U111">
      <formula1>0</formula1>
      <formula2>NaN</formula2>
    </dataValidation>
    <dataValidation type="decimal" allowBlank="1" showInputMessage="1" prompt="Dear Sir/ Madam - Score entered is greater than Max. Marks allotted." showErrorMessage="1" sqref="U112">
      <formula1>0</formula1>
      <formula2>NaN</formula2>
    </dataValidation>
    <dataValidation type="decimal" allowBlank="1" showInputMessage="1" prompt="Dear Sir/ Madam - Score entered is greater than Max. Marks allotted." showErrorMessage="1" sqref="U113">
      <formula1>0</formula1>
      <formula2>NaN</formula2>
    </dataValidation>
    <dataValidation type="decimal" allowBlank="1" showInputMessage="1" prompt="Dear Sir/ Madam - Score entered is greater than Max. Marks allotted." showErrorMessage="1" sqref="U114">
      <formula1>0</formula1>
      <formula2>NaN</formula2>
    </dataValidation>
    <dataValidation type="decimal" allowBlank="1" showInputMessage="1" prompt="Dear Sir/ Madam - Score entered is greater than Max. Marks allotted." showErrorMessage="1" sqref="U115">
      <formula1>0</formula1>
      <formula2>NaN</formula2>
    </dataValidation>
    <dataValidation type="decimal" allowBlank="1" showInputMessage="1" prompt="Dear Sir/ Madam - Score entered is greater than Max. Marks allotted." showErrorMessage="1" sqref="U116">
      <formula1>0</formula1>
      <formula2>NaN</formula2>
    </dataValidation>
    <dataValidation type="decimal" allowBlank="1" showInputMessage="1" prompt="Dear Sir/ Madam - Score entered is greater than Max. Marks allotted." showErrorMessage="1" sqref="U117">
      <formula1>0</formula1>
      <formula2>NaN</formula2>
    </dataValidation>
    <dataValidation type="decimal" allowBlank="1" showInputMessage="1" prompt="Dear Sir/ Madam - Score entered is greater than Max. Marks allotted." showErrorMessage="1" sqref="U118">
      <formula1>0</formula1>
      <formula2>NaN</formula2>
    </dataValidation>
    <dataValidation type="decimal" allowBlank="1" showInputMessage="1" prompt="Dear Sir/ Madam - Score entered is greater than Max. Marks allotted." showErrorMessage="1" sqref="U119">
      <formula1>0</formula1>
      <formula2>NaN</formula2>
    </dataValidation>
    <dataValidation type="decimal" allowBlank="1" showInputMessage="1" prompt="Dear Sir/ Madam - Score entered is greater than Max. Marks allotted." showErrorMessage="1" sqref="U120">
      <formula1>0</formula1>
      <formula2>NaN</formula2>
    </dataValidation>
    <dataValidation type="decimal" allowBlank="1" showInputMessage="1" prompt="Dear Sir/ Madam - Score entered is greater than Max. Marks allotted." showErrorMessage="1" sqref="U121">
      <formula1>0</formula1>
      <formula2>NaN</formula2>
    </dataValidation>
    <dataValidation type="decimal" allowBlank="1" showInputMessage="1" prompt="Dear Sir/ Madam - Score entered is greater than Max. Marks allotted." showErrorMessage="1" sqref="U122">
      <formula1>0</formula1>
      <formula2>NaN</formula2>
    </dataValidation>
    <dataValidation type="decimal" allowBlank="1" showInputMessage="1" prompt="Dear Sir/ Madam - Score entered is greater than Max. Marks allotted." showErrorMessage="1" sqref="U123">
      <formula1>0</formula1>
      <formula2>NaN</formula2>
    </dataValidation>
    <dataValidation type="decimal" allowBlank="1" showInputMessage="1" prompt="Dear Sir/ Madam - Score entered is greater than Max. Marks allotted." showErrorMessage="1" sqref="U124">
      <formula1>0</formula1>
      <formula2>NaN</formula2>
    </dataValidation>
    <dataValidation type="decimal" allowBlank="1" showInputMessage="1" prompt="Dear Sir/ Madam - Score entered is greater than Max. Marks allotted." showErrorMessage="1" sqref="U125">
      <formula1>0</formula1>
      <formula2>NaN</formula2>
    </dataValidation>
    <dataValidation type="decimal" allowBlank="1" showInputMessage="1" prompt="Dear Sir/ Madam - Score entered is greater than Max. Marks allotted." showErrorMessage="1" sqref="U126">
      <formula1>0</formula1>
      <formula2>NaN</formula2>
    </dataValidation>
    <dataValidation type="decimal" allowBlank="1" showInputMessage="1" prompt="Dear Sir/ Madam - Score entered is greater than Max. Marks allotted." showErrorMessage="1" sqref="U127">
      <formula1>0</formula1>
      <formula2>NaN</formula2>
    </dataValidation>
    <dataValidation type="decimal" allowBlank="1" showInputMessage="1" prompt="Dear Sir/ Madam - Score entered is greater than Max. Marks allotted." showErrorMessage="1" sqref="U128">
      <formula1>0</formula1>
      <formula2>NaN</formula2>
    </dataValidation>
    <dataValidation type="decimal" allowBlank="1" showInputMessage="1" prompt="Dear Sir/ Madam - Score entered is greater than Max. Marks allotted." showErrorMessage="1" sqref="U129">
      <formula1>0</formula1>
      <formula2>NaN</formula2>
    </dataValidation>
    <dataValidation type="decimal" allowBlank="1" showInputMessage="1" prompt="Dear Sir/ Madam - Score entered is greater than Max. Marks allotted." showErrorMessage="1" sqref="U130">
      <formula1>0</formula1>
      <formula2>NaN</formula2>
    </dataValidation>
    <dataValidation type="decimal" allowBlank="1" showInputMessage="1" prompt="Dear Sir/ Madam - Score entered is greater than Max. Marks allotted." showErrorMessage="1" sqref="U131">
      <formula1>0</formula1>
      <formula2>NaN</formula2>
    </dataValidation>
    <dataValidation type="decimal" allowBlank="1" showInputMessage="1" prompt="Dear Sir/ Madam - Score entered is greater than Max. Marks allotted." showErrorMessage="1" sqref="U132">
      <formula1>0</formula1>
      <formula2>NaN</formula2>
    </dataValidation>
    <dataValidation type="decimal" allowBlank="1" showInputMessage="1" prompt="Dear Sir/ Madam - Score entered is greater than Max. Marks allotted." showErrorMessage="1" sqref="U133">
      <formula1>0</formula1>
      <formula2>NaN</formula2>
    </dataValidation>
    <dataValidation type="decimal" allowBlank="1" showInputMessage="1" prompt="Dear Sir/ Madam - Score entered is greater than Max. Marks allotted." showErrorMessage="1" sqref="U134">
      <formula1>0</formula1>
      <formula2>NaN</formula2>
    </dataValidation>
    <dataValidation type="decimal" allowBlank="1" showInputMessage="1" prompt="Dear Sir/ Madam - Score entered is greater than Max. Marks allotted." showErrorMessage="1" sqref="U135">
      <formula1>0</formula1>
      <formula2>NaN</formula2>
    </dataValidation>
    <dataValidation type="decimal" allowBlank="1" showInputMessage="1" prompt="Dear Sir/ Madam - Score entered is greater than Max. Marks allotted." showErrorMessage="1" sqref="V108">
      <formula1>0</formula1>
      <formula2>NaN</formula2>
    </dataValidation>
    <dataValidation type="decimal" allowBlank="1" showInputMessage="1" prompt="Dear Sir/ Madam - Score entered is greater than Max. Marks allotted." showErrorMessage="1" sqref="V109">
      <formula1>0</formula1>
      <formula2>NaN</formula2>
    </dataValidation>
    <dataValidation type="decimal" allowBlank="1" showInputMessage="1" prompt="Dear Sir/ Madam - Score entered is greater than Max. Marks allotted." showErrorMessage="1" sqref="V110">
      <formula1>0</formula1>
      <formula2>NaN</formula2>
    </dataValidation>
    <dataValidation type="decimal" allowBlank="1" showInputMessage="1" prompt="Dear Sir/ Madam - Score entered is greater than Max. Marks allotted." showErrorMessage="1" sqref="V111">
      <formula1>0</formula1>
      <formula2>NaN</formula2>
    </dataValidation>
    <dataValidation type="decimal" allowBlank="1" showInputMessage="1" prompt="Dear Sir/ Madam - Score entered is greater than Max. Marks allotted." showErrorMessage="1" sqref="V112">
      <formula1>0</formula1>
      <formula2>NaN</formula2>
    </dataValidation>
    <dataValidation type="decimal" allowBlank="1" showInputMessage="1" prompt="Dear Sir/ Madam - Score entered is greater than Max. Marks allotted." showErrorMessage="1" sqref="V113">
      <formula1>0</formula1>
      <formula2>NaN</formula2>
    </dataValidation>
    <dataValidation type="decimal" allowBlank="1" showInputMessage="1" prompt="Dear Sir/ Madam - Score entered is greater than Max. Marks allotted." showErrorMessage="1" sqref="V114">
      <formula1>0</formula1>
      <formula2>NaN</formula2>
    </dataValidation>
    <dataValidation type="decimal" allowBlank="1" showInputMessage="1" prompt="Dear Sir/ Madam - Score entered is greater than Max. Marks allotted." showErrorMessage="1" sqref="V115">
      <formula1>0</formula1>
      <formula2>NaN</formula2>
    </dataValidation>
    <dataValidation type="decimal" allowBlank="1" showInputMessage="1" prompt="Dear Sir/ Madam - Score entered is greater than Max. Marks allotted." showErrorMessage="1" sqref="V116">
      <formula1>0</formula1>
      <formula2>NaN</formula2>
    </dataValidation>
    <dataValidation type="decimal" allowBlank="1" showInputMessage="1" prompt="Dear Sir/ Madam - Score entered is greater than Max. Marks allotted." showErrorMessage="1" sqref="V117">
      <formula1>0</formula1>
      <formula2>NaN</formula2>
    </dataValidation>
    <dataValidation type="decimal" allowBlank="1" showInputMessage="1" prompt="Dear Sir/ Madam - Score entered is greater than Max. Marks allotted." showErrorMessage="1" sqref="V118">
      <formula1>0</formula1>
      <formula2>NaN</formula2>
    </dataValidation>
    <dataValidation type="decimal" allowBlank="1" showInputMessage="1" prompt="Dear Sir/ Madam - Score entered is greater than Max. Marks allotted." showErrorMessage="1" sqref="V119">
      <formula1>0</formula1>
      <formula2>NaN</formula2>
    </dataValidation>
    <dataValidation type="decimal" allowBlank="1" showInputMessage="1" prompt="Dear Sir/ Madam - Score entered is greater than Max. Marks allotted." showErrorMessage="1" sqref="V120">
      <formula1>0</formula1>
      <formula2>NaN</formula2>
    </dataValidation>
    <dataValidation type="decimal" allowBlank="1" showInputMessage="1" prompt="Dear Sir/ Madam - Score entered is greater than Max. Marks allotted." showErrorMessage="1" sqref="V121">
      <formula1>0</formula1>
      <formula2>NaN</formula2>
    </dataValidation>
    <dataValidation type="decimal" allowBlank="1" showInputMessage="1" prompt="Dear Sir/ Madam - Score entered is greater than Max. Marks allotted." showErrorMessage="1" sqref="V122">
      <formula1>0</formula1>
      <formula2>NaN</formula2>
    </dataValidation>
    <dataValidation type="decimal" allowBlank="1" showInputMessage="1" prompt="Dear Sir/ Madam - Score entered is greater than Max. Marks allotted." showErrorMessage="1" sqref="V123">
      <formula1>0</formula1>
      <formula2>NaN</formula2>
    </dataValidation>
    <dataValidation type="decimal" allowBlank="1" showInputMessage="1" prompt="Dear Sir/ Madam - Score entered is greater than Max. Marks allotted." showErrorMessage="1" sqref="V124">
      <formula1>0</formula1>
      <formula2>NaN</formula2>
    </dataValidation>
    <dataValidation type="decimal" allowBlank="1" showInputMessage="1" prompt="Dear Sir/ Madam - Score entered is greater than Max. Marks allotted." showErrorMessage="1" sqref="V125">
      <formula1>0</formula1>
      <formula2>NaN</formula2>
    </dataValidation>
    <dataValidation type="decimal" allowBlank="1" showInputMessage="1" prompt="Dear Sir/ Madam - Score entered is greater than Max. Marks allotted." showErrorMessage="1" sqref="V126">
      <formula1>0</formula1>
      <formula2>NaN</formula2>
    </dataValidation>
    <dataValidation type="decimal" allowBlank="1" showInputMessage="1" prompt="Dear Sir/ Madam - Score entered is greater than Max. Marks allotted." showErrorMessage="1" sqref="V127">
      <formula1>0</formula1>
      <formula2>NaN</formula2>
    </dataValidation>
    <dataValidation type="decimal" allowBlank="1" showInputMessage="1" prompt="Dear Sir/ Madam - Score entered is greater than Max. Marks allotted." showErrorMessage="1" sqref="V128">
      <formula1>0</formula1>
      <formula2>NaN</formula2>
    </dataValidation>
    <dataValidation type="decimal" allowBlank="1" showInputMessage="1" prompt="Dear Sir/ Madam - Score entered is greater than Max. Marks allotted." showErrorMessage="1" sqref="V129">
      <formula1>0</formula1>
      <formula2>NaN</formula2>
    </dataValidation>
    <dataValidation type="decimal" allowBlank="1" showInputMessage="1" prompt="Dear Sir/ Madam - Score entered is greater than Max. Marks allotted." showErrorMessage="1" sqref="V130">
      <formula1>0</formula1>
      <formula2>NaN</formula2>
    </dataValidation>
    <dataValidation type="decimal" allowBlank="1" showInputMessage="1" prompt="Dear Sir/ Madam - Score entered is greater than Max. Marks allotted." showErrorMessage="1" sqref="V131">
      <formula1>0</formula1>
      <formula2>NaN</formula2>
    </dataValidation>
    <dataValidation type="decimal" allowBlank="1" showInputMessage="1" prompt="Dear Sir/ Madam - Score entered is greater than Max. Marks allotted." showErrorMessage="1" sqref="V132">
      <formula1>0</formula1>
      <formula2>NaN</formula2>
    </dataValidation>
    <dataValidation type="decimal" allowBlank="1" showInputMessage="1" prompt="Dear Sir/ Madam - Score entered is greater than Max. Marks allotted." showErrorMessage="1" sqref="V133">
      <formula1>0</formula1>
      <formula2>NaN</formula2>
    </dataValidation>
    <dataValidation type="decimal" allowBlank="1" showInputMessage="1" prompt="Dear Sir/ Madam - Score entered is greater than Max. Marks allotted." showErrorMessage="1" sqref="V134">
      <formula1>0</formula1>
      <formula2>NaN</formula2>
    </dataValidation>
    <dataValidation type="decimal" allowBlank="1" showInputMessage="1" prompt="Dear Sir/ Madam - Score entered is greater than Max. Marks allotted." showErrorMessage="1" sqref="V135">
      <formula1>0</formula1>
      <formula2>NaN</formula2>
    </dataValidation>
    <dataValidation type="decimal" allowBlank="1" showInputMessage="1" prompt="Dear Sir/ Madam - Score entered is greater than Max. Marks allotted." showErrorMessage="1" sqref="W108">
      <formula1>0</formula1>
      <formula2>NaN</formula2>
    </dataValidation>
    <dataValidation type="decimal" allowBlank="1" showInputMessage="1" prompt="Dear Sir/ Madam - Score entered is greater than Max. Marks allotted." showErrorMessage="1" sqref="W109">
      <formula1>0</formula1>
      <formula2>NaN</formula2>
    </dataValidation>
    <dataValidation type="decimal" allowBlank="1" showInputMessage="1" prompt="Dear Sir/ Madam - Score entered is greater than Max. Marks allotted." showErrorMessage="1" sqref="W110">
      <formula1>0</formula1>
      <formula2>NaN</formula2>
    </dataValidation>
    <dataValidation type="decimal" allowBlank="1" showInputMessage="1" prompt="Dear Sir/ Madam - Score entered is greater than Max. Marks allotted." showErrorMessage="1" sqref="W111">
      <formula1>0</formula1>
      <formula2>NaN</formula2>
    </dataValidation>
    <dataValidation type="decimal" allowBlank="1" showInputMessage="1" prompt="Dear Sir/ Madam - Score entered is greater than Max. Marks allotted." showErrorMessage="1" sqref="W112">
      <formula1>0</formula1>
      <formula2>NaN</formula2>
    </dataValidation>
    <dataValidation type="decimal" allowBlank="1" showInputMessage="1" prompt="Dear Sir/ Madam - Score entered is greater than Max. Marks allotted." showErrorMessage="1" sqref="W113">
      <formula1>0</formula1>
      <formula2>NaN</formula2>
    </dataValidation>
    <dataValidation type="decimal" allowBlank="1" showInputMessage="1" prompt="Dear Sir/ Madam - Score entered is greater than Max. Marks allotted." showErrorMessage="1" sqref="W114">
      <formula1>0</formula1>
      <formula2>NaN</formula2>
    </dataValidation>
    <dataValidation type="decimal" allowBlank="1" showInputMessage="1" prompt="Dear Sir/ Madam - Score entered is greater than Max. Marks allotted." showErrorMessage="1" sqref="W115">
      <formula1>0</formula1>
      <formula2>NaN</formula2>
    </dataValidation>
    <dataValidation type="decimal" allowBlank="1" showInputMessage="1" prompt="Dear Sir/ Madam - Score entered is greater than Max. Marks allotted." showErrorMessage="1" sqref="W116">
      <formula1>0</formula1>
      <formula2>NaN</formula2>
    </dataValidation>
    <dataValidation type="decimal" allowBlank="1" showInputMessage="1" prompt="Dear Sir/ Madam - Score entered is greater than Max. Marks allotted." showErrorMessage="1" sqref="W117">
      <formula1>0</formula1>
      <formula2>NaN</formula2>
    </dataValidation>
    <dataValidation type="decimal" allowBlank="1" showInputMessage="1" prompt="Dear Sir/ Madam - Score entered is greater than Max. Marks allotted." showErrorMessage="1" sqref="W118">
      <formula1>0</formula1>
      <formula2>NaN</formula2>
    </dataValidation>
    <dataValidation type="decimal" allowBlank="1" showInputMessage="1" prompt="Dear Sir/ Madam - Score entered is greater than Max. Marks allotted." showErrorMessage="1" sqref="W119">
      <formula1>0</formula1>
      <formula2>NaN</formula2>
    </dataValidation>
    <dataValidation type="decimal" allowBlank="1" showInputMessage="1" prompt="Dear Sir/ Madam - Score entered is greater than Max. Marks allotted." showErrorMessage="1" sqref="W120">
      <formula1>0</formula1>
      <formula2>NaN</formula2>
    </dataValidation>
    <dataValidation type="decimal" allowBlank="1" showInputMessage="1" prompt="Dear Sir/ Madam - Score entered is greater than Max. Marks allotted." showErrorMessage="1" sqref="W121">
      <formula1>0</formula1>
      <formula2>NaN</formula2>
    </dataValidation>
    <dataValidation type="decimal" allowBlank="1" showInputMessage="1" prompt="Dear Sir/ Madam - Score entered is greater than Max. Marks allotted." showErrorMessage="1" sqref="W122">
      <formula1>0</formula1>
      <formula2>NaN</formula2>
    </dataValidation>
    <dataValidation type="decimal" allowBlank="1" showInputMessage="1" prompt="Dear Sir/ Madam - Score entered is greater than Max. Marks allotted." showErrorMessage="1" sqref="W123">
      <formula1>0</formula1>
      <formula2>NaN</formula2>
    </dataValidation>
    <dataValidation type="decimal" allowBlank="1" showInputMessage="1" prompt="Dear Sir/ Madam - Score entered is greater than Max. Marks allotted." showErrorMessage="1" sqref="W124">
      <formula1>0</formula1>
      <formula2>NaN</formula2>
    </dataValidation>
    <dataValidation type="decimal" allowBlank="1" showInputMessage="1" prompt="Dear Sir/ Madam - Score entered is greater than Max. Marks allotted." showErrorMessage="1" sqref="W125">
      <formula1>0</formula1>
      <formula2>NaN</formula2>
    </dataValidation>
    <dataValidation type="decimal" allowBlank="1" showInputMessage="1" prompt="Dear Sir/ Madam - Score entered is greater than Max. Marks allotted." showErrorMessage="1" sqref="W126">
      <formula1>0</formula1>
      <formula2>NaN</formula2>
    </dataValidation>
    <dataValidation type="decimal" allowBlank="1" showInputMessage="1" prompt="Dear Sir/ Madam - Score entered is greater than Max. Marks allotted." showErrorMessage="1" sqref="W127">
      <formula1>0</formula1>
      <formula2>NaN</formula2>
    </dataValidation>
    <dataValidation type="decimal" allowBlank="1" showInputMessage="1" prompt="Dear Sir/ Madam - Score entered is greater than Max. Marks allotted." showErrorMessage="1" sqref="W128">
      <formula1>0</formula1>
      <formula2>NaN</formula2>
    </dataValidation>
    <dataValidation type="decimal" allowBlank="1" showInputMessage="1" prompt="Dear Sir/ Madam - Score entered is greater than Max. Marks allotted." showErrorMessage="1" sqref="W129">
      <formula1>0</formula1>
      <formula2>NaN</formula2>
    </dataValidation>
    <dataValidation type="decimal" allowBlank="1" showInputMessage="1" prompt="Dear Sir/ Madam - Score entered is greater than Max. Marks allotted." showErrorMessage="1" sqref="W130">
      <formula1>0</formula1>
      <formula2>NaN</formula2>
    </dataValidation>
    <dataValidation type="decimal" allowBlank="1" showInputMessage="1" prompt="Dear Sir/ Madam - Score entered is greater than Max. Marks allotted." showErrorMessage="1" sqref="W131">
      <formula1>0</formula1>
      <formula2>NaN</formula2>
    </dataValidation>
    <dataValidation type="decimal" allowBlank="1" showInputMessage="1" prompt="Dear Sir/ Madam - Score entered is greater than Max. Marks allotted." showErrorMessage="1" sqref="W132">
      <formula1>0</formula1>
      <formula2>NaN</formula2>
    </dataValidation>
    <dataValidation type="decimal" allowBlank="1" showInputMessage="1" prompt="Dear Sir/ Madam - Score entered is greater than Max. Marks allotted." showErrorMessage="1" sqref="W133">
      <formula1>0</formula1>
      <formula2>NaN</formula2>
    </dataValidation>
    <dataValidation type="decimal" allowBlank="1" showInputMessage="1" prompt="Dear Sir/ Madam - Score entered is greater than Max. Marks allotted." showErrorMessage="1" sqref="W134">
      <formula1>0</formula1>
      <formula2>NaN</formula2>
    </dataValidation>
    <dataValidation type="decimal" allowBlank="1" showInputMessage="1" prompt="Dear Sir/ Madam - Score entered is greater than Max. Marks allotted." showErrorMessage="1" sqref="W135">
      <formula1>0</formula1>
      <formula2>NaN</formula2>
    </dataValidation>
    <dataValidation type="decimal" allowBlank="1" showInputMessage="1" prompt="Dear Sir/ Madam - Score entered is greater than Max. Marks allotted." showErrorMessage="1" sqref="X108">
      <formula1>0</formula1>
      <formula2>NaN</formula2>
    </dataValidation>
    <dataValidation type="decimal" allowBlank="1" showInputMessage="1" prompt="Dear Sir/ Madam - Score entered is greater than Max. Marks allotted." showErrorMessage="1" sqref="X109">
      <formula1>0</formula1>
      <formula2>NaN</formula2>
    </dataValidation>
    <dataValidation type="decimal" allowBlank="1" showInputMessage="1" prompt="Dear Sir/ Madam - Score entered is greater than Max. Marks allotted." showErrorMessage="1" sqref="X110">
      <formula1>0</formula1>
      <formula2>NaN</formula2>
    </dataValidation>
    <dataValidation type="decimal" allowBlank="1" showInputMessage="1" prompt="Dear Sir/ Madam - Score entered is greater than Max. Marks allotted." showErrorMessage="1" sqref="X111">
      <formula1>0</formula1>
      <formula2>NaN</formula2>
    </dataValidation>
    <dataValidation type="decimal" allowBlank="1" showInputMessage="1" prompt="Dear Sir/ Madam - Score entered is greater than Max. Marks allotted." showErrorMessage="1" sqref="X112">
      <formula1>0</formula1>
      <formula2>NaN</formula2>
    </dataValidation>
    <dataValidation type="decimal" allowBlank="1" showInputMessage="1" prompt="Dear Sir/ Madam - Score entered is greater than Max. Marks allotted." showErrorMessage="1" sqref="X113">
      <formula1>0</formula1>
      <formula2>NaN</formula2>
    </dataValidation>
    <dataValidation type="decimal" allowBlank="1" showInputMessage="1" prompt="Dear Sir/ Madam - Score entered is greater than Max. Marks allotted." showErrorMessage="1" sqref="X114">
      <formula1>0</formula1>
      <formula2>NaN</formula2>
    </dataValidation>
    <dataValidation type="decimal" allowBlank="1" showInputMessage="1" prompt="Dear Sir/ Madam - Score entered is greater than Max. Marks allotted." showErrorMessage="1" sqref="X115">
      <formula1>0</formula1>
      <formula2>NaN</formula2>
    </dataValidation>
    <dataValidation type="decimal" allowBlank="1" showInputMessage="1" prompt="Dear Sir/ Madam - Score entered is greater than Max. Marks allotted." showErrorMessage="1" sqref="X116">
      <formula1>0</formula1>
      <formula2>NaN</formula2>
    </dataValidation>
    <dataValidation type="decimal" allowBlank="1" showInputMessage="1" prompt="Dear Sir/ Madam - Score entered is greater than Max. Marks allotted." showErrorMessage="1" sqref="X117">
      <formula1>0</formula1>
      <formula2>NaN</formula2>
    </dataValidation>
    <dataValidation type="decimal" allowBlank="1" showInputMessage="1" prompt="Dear Sir/ Madam - Score entered is greater than Max. Marks allotted." showErrorMessage="1" sqref="X118">
      <formula1>0</formula1>
      <formula2>NaN</formula2>
    </dataValidation>
    <dataValidation type="decimal" allowBlank="1" showInputMessage="1" prompt="Dear Sir/ Madam - Score entered is greater than Max. Marks allotted." showErrorMessage="1" sqref="X119">
      <formula1>0</formula1>
      <formula2>NaN</formula2>
    </dataValidation>
    <dataValidation type="decimal" allowBlank="1" showInputMessage="1" prompt="Dear Sir/ Madam - Score entered is greater than Max. Marks allotted." showErrorMessage="1" sqref="X120">
      <formula1>0</formula1>
      <formula2>NaN</formula2>
    </dataValidation>
    <dataValidation type="decimal" allowBlank="1" showInputMessage="1" prompt="Dear Sir/ Madam - Score entered is greater than Max. Marks allotted." showErrorMessage="1" sqref="X121">
      <formula1>0</formula1>
      <formula2>NaN</formula2>
    </dataValidation>
    <dataValidation type="decimal" allowBlank="1" showInputMessage="1" prompt="Dear Sir/ Madam - Score entered is greater than Max. Marks allotted." showErrorMessage="1" sqref="X122">
      <formula1>0</formula1>
      <formula2>NaN</formula2>
    </dataValidation>
    <dataValidation type="decimal" allowBlank="1" showInputMessage="1" prompt="Dear Sir/ Madam - Score entered is greater than Max. Marks allotted." showErrorMessage="1" sqref="X123">
      <formula1>0</formula1>
      <formula2>NaN</formula2>
    </dataValidation>
    <dataValidation type="decimal" allowBlank="1" showInputMessage="1" prompt="Dear Sir/ Madam - Score entered is greater than Max. Marks allotted." showErrorMessage="1" sqref="X124">
      <formula1>0</formula1>
      <formula2>NaN</formula2>
    </dataValidation>
    <dataValidation type="decimal" allowBlank="1" showInputMessage="1" prompt="Dear Sir/ Madam - Score entered is greater than Max. Marks allotted." showErrorMessage="1" sqref="X125">
      <formula1>0</formula1>
      <formula2>NaN</formula2>
    </dataValidation>
    <dataValidation type="decimal" allowBlank="1" showInputMessage="1" prompt="Dear Sir/ Madam - Score entered is greater than Max. Marks allotted." showErrorMessage="1" sqref="X126">
      <formula1>0</formula1>
      <formula2>NaN</formula2>
    </dataValidation>
    <dataValidation type="decimal" allowBlank="1" showInputMessage="1" prompt="Dear Sir/ Madam - Score entered is greater than Max. Marks allotted." showErrorMessage="1" sqref="X127">
      <formula1>0</formula1>
      <formula2>NaN</formula2>
    </dataValidation>
    <dataValidation type="decimal" allowBlank="1" showInputMessage="1" prompt="Dear Sir/ Madam - Score entered is greater than Max. Marks allotted." showErrorMessage="1" sqref="X128">
      <formula1>0</formula1>
      <formula2>NaN</formula2>
    </dataValidation>
    <dataValidation type="decimal" allowBlank="1" showInputMessage="1" prompt="Dear Sir/ Madam - Score entered is greater than Max. Marks allotted." showErrorMessage="1" sqref="X129">
      <formula1>0</formula1>
      <formula2>NaN</formula2>
    </dataValidation>
    <dataValidation type="decimal" allowBlank="1" showInputMessage="1" prompt="Dear Sir/ Madam - Score entered is greater than Max. Marks allotted." showErrorMessage="1" sqref="X130">
      <formula1>0</formula1>
      <formula2>NaN</formula2>
    </dataValidation>
    <dataValidation type="decimal" allowBlank="1" showInputMessage="1" prompt="Dear Sir/ Madam - Score entered is greater than Max. Marks allotted." showErrorMessage="1" sqref="X131">
      <formula1>0</formula1>
      <formula2>NaN</formula2>
    </dataValidation>
    <dataValidation type="decimal" allowBlank="1" showInputMessage="1" prompt="Dear Sir/ Madam - Score entered is greater than Max. Marks allotted." showErrorMessage="1" sqref="X132">
      <formula1>0</formula1>
      <formula2>NaN</formula2>
    </dataValidation>
    <dataValidation type="decimal" allowBlank="1" showInputMessage="1" prompt="Dear Sir/ Madam - Score entered is greater than Max. Marks allotted." showErrorMessage="1" sqref="X133">
      <formula1>0</formula1>
      <formula2>NaN</formula2>
    </dataValidation>
    <dataValidation type="decimal" allowBlank="1" showInputMessage="1" prompt="Dear Sir/ Madam - Score entered is greater than Max. Marks allotted." showErrorMessage="1" sqref="X134">
      <formula1>0</formula1>
      <formula2>NaN</formula2>
    </dataValidation>
    <dataValidation type="decimal" allowBlank="1" showInputMessage="1" prompt="Dear Sir/ Madam - Score entered is greater than Max. Marks allotted." showErrorMessage="1" sqref="X135">
      <formula1>0</formula1>
      <formula2>NaN</formula2>
    </dataValidation>
    <dataValidation type="decimal" allowBlank="1" showInputMessage="1" prompt="Dear Sir/ Madam - Score entered is greater than Max. Marks allotted." showErrorMessage="1" sqref="Y108">
      <formula1>0</formula1>
      <formula2>NaN</formula2>
    </dataValidation>
    <dataValidation type="decimal" allowBlank="1" showInputMessage="1" prompt="Dear Sir/ Madam - Score entered is greater than Max. Marks allotted." showErrorMessage="1" sqref="Y109">
      <formula1>0</formula1>
      <formula2>NaN</formula2>
    </dataValidation>
    <dataValidation type="decimal" allowBlank="1" showInputMessage="1" prompt="Dear Sir/ Madam - Score entered is greater than Max. Marks allotted." showErrorMessage="1" sqref="Y110">
      <formula1>0</formula1>
      <formula2>NaN</formula2>
    </dataValidation>
    <dataValidation type="decimal" allowBlank="1" showInputMessage="1" prompt="Dear Sir/ Madam - Score entered is greater than Max. Marks allotted." showErrorMessage="1" sqref="Y111">
      <formula1>0</formula1>
      <formula2>NaN</formula2>
    </dataValidation>
    <dataValidation type="decimal" allowBlank="1" showInputMessage="1" prompt="Dear Sir/ Madam - Score entered is greater than Max. Marks allotted." showErrorMessage="1" sqref="Y112">
      <formula1>0</formula1>
      <formula2>NaN</formula2>
    </dataValidation>
    <dataValidation type="decimal" allowBlank="1" showInputMessage="1" prompt="Dear Sir/ Madam - Score entered is greater than Max. Marks allotted." showErrorMessage="1" sqref="Y113">
      <formula1>0</formula1>
      <formula2>NaN</formula2>
    </dataValidation>
    <dataValidation type="decimal" allowBlank="1" showInputMessage="1" prompt="Dear Sir/ Madam - Score entered is greater than Max. Marks allotted." showErrorMessage="1" sqref="Y114">
      <formula1>0</formula1>
      <formula2>NaN</formula2>
    </dataValidation>
    <dataValidation type="decimal" allowBlank="1" showInputMessage="1" prompt="Dear Sir/ Madam - Score entered is greater than Max. Marks allotted." showErrorMessage="1" sqref="Y115">
      <formula1>0</formula1>
      <formula2>NaN</formula2>
    </dataValidation>
    <dataValidation type="decimal" allowBlank="1" showInputMessage="1" prompt="Dear Sir/ Madam - Score entered is greater than Max. Marks allotted." showErrorMessage="1" sqref="Y116">
      <formula1>0</formula1>
      <formula2>NaN</formula2>
    </dataValidation>
    <dataValidation type="decimal" allowBlank="1" showInputMessage="1" prompt="Dear Sir/ Madam - Score entered is greater than Max. Marks allotted." showErrorMessage="1" sqref="Y117">
      <formula1>0</formula1>
      <formula2>NaN</formula2>
    </dataValidation>
    <dataValidation type="decimal" allowBlank="1" showInputMessage="1" prompt="Dear Sir/ Madam - Score entered is greater than Max. Marks allotted." showErrorMessage="1" sqref="Y118">
      <formula1>0</formula1>
      <formula2>NaN</formula2>
    </dataValidation>
    <dataValidation type="decimal" allowBlank="1" showInputMessage="1" prompt="Dear Sir/ Madam - Score entered is greater than Max. Marks allotted." showErrorMessage="1" sqref="Y119">
      <formula1>0</formula1>
      <formula2>NaN</formula2>
    </dataValidation>
    <dataValidation type="decimal" allowBlank="1" showInputMessage="1" prompt="Dear Sir/ Madam - Score entered is greater than Max. Marks allotted." showErrorMessage="1" sqref="Y120">
      <formula1>0</formula1>
      <formula2>NaN</formula2>
    </dataValidation>
    <dataValidation type="decimal" allowBlank="1" showInputMessage="1" prompt="Dear Sir/ Madam - Score entered is greater than Max. Marks allotted." showErrorMessage="1" sqref="Y121">
      <formula1>0</formula1>
      <formula2>NaN</formula2>
    </dataValidation>
    <dataValidation type="decimal" allowBlank="1" showInputMessage="1" prompt="Dear Sir/ Madam - Score entered is greater than Max. Marks allotted." showErrorMessage="1" sqref="Y122">
      <formula1>0</formula1>
      <formula2>NaN</formula2>
    </dataValidation>
    <dataValidation type="decimal" allowBlank="1" showInputMessage="1" prompt="Dear Sir/ Madam - Score entered is greater than Max. Marks allotted." showErrorMessage="1" sqref="Y123">
      <formula1>0</formula1>
      <formula2>NaN</formula2>
    </dataValidation>
    <dataValidation type="decimal" allowBlank="1" showInputMessage="1" prompt="Dear Sir/ Madam - Score entered is greater than Max. Marks allotted." showErrorMessage="1" sqref="Y124">
      <formula1>0</formula1>
      <formula2>NaN</formula2>
    </dataValidation>
    <dataValidation type="decimal" allowBlank="1" showInputMessage="1" prompt="Dear Sir/ Madam - Score entered is greater than Max. Marks allotted." showErrorMessage="1" sqref="Y125">
      <formula1>0</formula1>
      <formula2>NaN</formula2>
    </dataValidation>
    <dataValidation type="decimal" allowBlank="1" showInputMessage="1" prompt="Dear Sir/ Madam - Score entered is greater than Max. Marks allotted." showErrorMessage="1" sqref="Y126">
      <formula1>0</formula1>
      <formula2>NaN</formula2>
    </dataValidation>
    <dataValidation type="decimal" allowBlank="1" showInputMessage="1" prompt="Dear Sir/ Madam - Score entered is greater than Max. Marks allotted." showErrorMessage="1" sqref="Y127">
      <formula1>0</formula1>
      <formula2>NaN</formula2>
    </dataValidation>
    <dataValidation type="decimal" allowBlank="1" showInputMessage="1" prompt="Dear Sir/ Madam - Score entered is greater than Max. Marks allotted." showErrorMessage="1" sqref="Y128">
      <formula1>0</formula1>
      <formula2>NaN</formula2>
    </dataValidation>
    <dataValidation type="decimal" allowBlank="1" showInputMessage="1" prompt="Dear Sir/ Madam - Score entered is greater than Max. Marks allotted." showErrorMessage="1" sqref="Y129">
      <formula1>0</formula1>
      <formula2>NaN</formula2>
    </dataValidation>
    <dataValidation type="decimal" allowBlank="1" showInputMessage="1" prompt="Dear Sir/ Madam - Score entered is greater than Max. Marks allotted." showErrorMessage="1" sqref="Y130">
      <formula1>0</formula1>
      <formula2>NaN</formula2>
    </dataValidation>
    <dataValidation type="decimal" allowBlank="1" showInputMessage="1" prompt="Dear Sir/ Madam - Score entered is greater than Max. Marks allotted." showErrorMessage="1" sqref="Y131">
      <formula1>0</formula1>
      <formula2>NaN</formula2>
    </dataValidation>
    <dataValidation type="decimal" allowBlank="1" showInputMessage="1" prompt="Dear Sir/ Madam - Score entered is greater than Max. Marks allotted." showErrorMessage="1" sqref="Y132">
      <formula1>0</formula1>
      <formula2>NaN</formula2>
    </dataValidation>
    <dataValidation type="decimal" allowBlank="1" showInputMessage="1" prompt="Dear Sir/ Madam - Score entered is greater than Max. Marks allotted." showErrorMessage="1" sqref="Y133">
      <formula1>0</formula1>
      <formula2>NaN</formula2>
    </dataValidation>
    <dataValidation type="decimal" allowBlank="1" showInputMessage="1" prompt="Dear Sir/ Madam - Score entered is greater than Max. Marks allotted." showErrorMessage="1" sqref="Y134">
      <formula1>0</formula1>
      <formula2>NaN</formula2>
    </dataValidation>
    <dataValidation type="decimal" allowBlank="1" showInputMessage="1" prompt="Dear Sir/ Madam - Score entered is greater than Max. Marks allotted." showErrorMessage="1" sqref="Y135">
      <formula1>0</formula1>
      <formula2>NaN</formula2>
    </dataValidation>
    <dataValidation type="decimal" allowBlank="1" showInputMessage="1" prompt="Dear Sir/ Madam - Score entered is greater than Max. Marks allotted." showErrorMessage="1" sqref="Z100">
      <formula1>0</formula1>
      <formula2>NaN</formula2>
    </dataValidation>
    <dataValidation type="decimal" allowBlank="1" showInputMessage="1" prompt="Dear Sir/ Madam - Score entered is greater than Max. Marks allotted." showErrorMessage="1" sqref="Z101">
      <formula1>0</formula1>
      <formula2>NaN</formula2>
    </dataValidation>
    <dataValidation type="decimal" allowBlank="1" showInputMessage="1" prompt="Dear Sir/ Madam - Score entered is greater than Max. Marks allotted." showErrorMessage="1" sqref="Z102">
      <formula1>0</formula1>
      <formula2>NaN</formula2>
    </dataValidation>
    <dataValidation type="decimal" allowBlank="1" showInputMessage="1" prompt="Dear Sir/ Madam - Score entered is greater than Max. Marks allotted." showErrorMessage="1" sqref="Z103">
      <formula1>0</formula1>
      <formula2>NaN</formula2>
    </dataValidation>
    <dataValidation type="decimal" allowBlank="1" showInputMessage="1" prompt="Dear Sir/ Madam - Score entered is greater than Max. Marks allotted." showErrorMessage="1" sqref="Z104">
      <formula1>0</formula1>
      <formula2>NaN</formula2>
    </dataValidation>
    <dataValidation type="decimal" allowBlank="1" showInputMessage="1" prompt="Dear Sir/ Madam - Score entered is greater than Max. Marks allotted." showErrorMessage="1" sqref="Z105">
      <formula1>0</formula1>
      <formula2>NaN</formula2>
    </dataValidation>
    <dataValidation type="decimal" allowBlank="1" showInputMessage="1" prompt="Dear Sir/ Madam - Score entered is greater than Max. Marks allotted." showErrorMessage="1" sqref="Z106">
      <formula1>0</formula1>
      <formula2>NaN</formula2>
    </dataValidation>
    <dataValidation type="decimal" allowBlank="1" showInputMessage="1" prompt="Dear Sir/ Madam - Score entered is greater than Max. Marks allotted." showErrorMessage="1" sqref="Z107">
      <formula1>0</formula1>
      <formula2>NaN</formula2>
    </dataValidation>
    <dataValidation type="decimal" allowBlank="1" showInputMessage="1" prompt="Dear Sir/ Madam - Score entered is greater than Max. Marks allotted." showErrorMessage="1" sqref="Z108">
      <formula1>0</formula1>
      <formula2>NaN</formula2>
    </dataValidation>
    <dataValidation type="decimal" allowBlank="1" showInputMessage="1" prompt="Dear Sir/ Madam - Score entered is greater than Max. Marks allotted." showErrorMessage="1" sqref="Z109">
      <formula1>0</formula1>
      <formula2>NaN</formula2>
    </dataValidation>
    <dataValidation type="decimal" allowBlank="1" showInputMessage="1" prompt="Dear Sir/ Madam - Score entered is greater than Max. Marks allotted." showErrorMessage="1" sqref="Z110">
      <formula1>0</formula1>
      <formula2>NaN</formula2>
    </dataValidation>
    <dataValidation type="decimal" allowBlank="1" showInputMessage="1" prompt="Dear Sir/ Madam - Score entered is greater than Max. Marks allotted." showErrorMessage="1" sqref="Z111">
      <formula1>0</formula1>
      <formula2>NaN</formula2>
    </dataValidation>
    <dataValidation type="decimal" allowBlank="1" showInputMessage="1" prompt="Dear Sir/ Madam - Score entered is greater than Max. Marks allotted." showErrorMessage="1" sqref="Z112">
      <formula1>0</formula1>
      <formula2>NaN</formula2>
    </dataValidation>
    <dataValidation type="decimal" allowBlank="1" showInputMessage="1" prompt="Dear Sir/ Madam - Score entered is greater than Max. Marks allotted." showErrorMessage="1" sqref="Z113">
      <formula1>0</formula1>
      <formula2>NaN</formula2>
    </dataValidation>
    <dataValidation type="decimal" allowBlank="1" showInputMessage="1" prompt="Dear Sir/ Madam - Score entered is greater than Max. Marks allotted." showErrorMessage="1" sqref="Z114">
      <formula1>0</formula1>
      <formula2>NaN</formula2>
    </dataValidation>
    <dataValidation type="decimal" allowBlank="1" showInputMessage="1" prompt="Dear Sir/ Madam - Score entered is greater than Max. Marks allotted." showErrorMessage="1" sqref="Z115">
      <formula1>0</formula1>
      <formula2>NaN</formula2>
    </dataValidation>
    <dataValidation type="decimal" allowBlank="1" showInputMessage="1" prompt="Dear Sir/ Madam - Score entered is greater than Max. Marks allotted." showErrorMessage="1" sqref="Z116">
      <formula1>0</formula1>
      <formula2>NaN</formula2>
    </dataValidation>
    <dataValidation type="decimal" allowBlank="1" showInputMessage="1" prompt="Dear Sir/ Madam - Score entered is greater than Max. Marks allotted." showErrorMessage="1" sqref="Z117">
      <formula1>0</formula1>
      <formula2>NaN</formula2>
    </dataValidation>
    <dataValidation type="decimal" allowBlank="1" showInputMessage="1" prompt="Dear Sir/ Madam - Score entered is greater than Max. Marks allotted." showErrorMessage="1" sqref="Z118">
      <formula1>0</formula1>
      <formula2>NaN</formula2>
    </dataValidation>
    <dataValidation type="decimal" allowBlank="1" showInputMessage="1" prompt="Dear Sir/ Madam - Score entered is greater than Max. Marks allotted." showErrorMessage="1" sqref="Z119">
      <formula1>0</formula1>
      <formula2>NaN</formula2>
    </dataValidation>
    <dataValidation type="decimal" allowBlank="1" showInputMessage="1" prompt="Dear Sir/ Madam - Score entered is greater than Max. Marks allotted." showErrorMessage="1" sqref="Z120">
      <formula1>0</formula1>
      <formula2>NaN</formula2>
    </dataValidation>
    <dataValidation type="decimal" allowBlank="1" showInputMessage="1" prompt="Dear Sir/ Madam - Score entered is greater than Max. Marks allotted." showErrorMessage="1" sqref="Z121">
      <formula1>0</formula1>
      <formula2>NaN</formula2>
    </dataValidation>
    <dataValidation type="decimal" allowBlank="1" showInputMessage="1" prompt="Dear Sir/ Madam - Score entered is greater than Max. Marks allotted." showErrorMessage="1" sqref="Z122">
      <formula1>0</formula1>
      <formula2>NaN</formula2>
    </dataValidation>
    <dataValidation type="decimal" allowBlank="1" showInputMessage="1" prompt="Dear Sir/ Madam - Score entered is greater than Max. Marks allotted." showErrorMessage="1" sqref="Z123">
      <formula1>0</formula1>
      <formula2>NaN</formula2>
    </dataValidation>
    <dataValidation type="decimal" allowBlank="1" showInputMessage="1" prompt="Dear Sir/ Madam - Score entered is greater than Max. Marks allotted." showErrorMessage="1" sqref="Z124">
      <formula1>0</formula1>
      <formula2>NaN</formula2>
    </dataValidation>
    <dataValidation type="decimal" allowBlank="1" showInputMessage="1" prompt="Dear Sir/ Madam - Score entered is greater than Max. Marks allotted." showErrorMessage="1" sqref="Z125">
      <formula1>0</formula1>
      <formula2>NaN</formula2>
    </dataValidation>
    <dataValidation type="decimal" allowBlank="1" showInputMessage="1" prompt="Dear Sir/ Madam - Score entered is greater than Max. Marks allotted." showErrorMessage="1" sqref="Z126">
      <formula1>0</formula1>
      <formula2>NaN</formula2>
    </dataValidation>
    <dataValidation type="decimal" allowBlank="1" showInputMessage="1" prompt="Dear Sir/ Madam - Score entered is greater than Max. Marks allotted." showErrorMessage="1" sqref="Z127">
      <formula1>0</formula1>
      <formula2>NaN</formula2>
    </dataValidation>
    <dataValidation type="decimal" allowBlank="1" showInputMessage="1" prompt="Dear Sir/ Madam - Score entered is greater than Max. Marks allotted." showErrorMessage="1" sqref="Z128">
      <formula1>0</formula1>
      <formula2>NaN</formula2>
    </dataValidation>
    <dataValidation type="decimal" allowBlank="1" showInputMessage="1" prompt="Dear Sir/ Madam - Score entered is greater than Max. Marks allotted." showErrorMessage="1" sqref="Z129">
      <formula1>0</formula1>
      <formula2>NaN</formula2>
    </dataValidation>
    <dataValidation type="decimal" allowBlank="1" showInputMessage="1" prompt="Dear Sir/ Madam - Score entered is greater than Max. Marks allotted." showErrorMessage="1" sqref="Z130">
      <formula1>0</formula1>
      <formula2>NaN</formula2>
    </dataValidation>
    <dataValidation type="decimal" allowBlank="1" showInputMessage="1" prompt="Dear Sir/ Madam - Score entered is greater than Max. Marks allotted." showErrorMessage="1" sqref="Z131">
      <formula1>0</formula1>
      <formula2>NaN</formula2>
    </dataValidation>
    <dataValidation type="decimal" allowBlank="1" showInputMessage="1" prompt="Dear Sir/ Madam - Score entered is greater than Max. Marks allotted." showErrorMessage="1" sqref="Z132">
      <formula1>0</formula1>
      <formula2>NaN</formula2>
    </dataValidation>
    <dataValidation type="decimal" allowBlank="1" showInputMessage="1" prompt="Dear Sir/ Madam - Score entered is greater than Max. Marks allotted." showErrorMessage="1" sqref="Z133">
      <formula1>0</formula1>
      <formula2>NaN</formula2>
    </dataValidation>
    <dataValidation type="decimal" allowBlank="1" showInputMessage="1" prompt="Dear Sir/ Madam - Score entered is greater than Max. Marks allotted." showErrorMessage="1" sqref="Z134">
      <formula1>0</formula1>
      <formula2>NaN</formula2>
    </dataValidation>
    <dataValidation type="decimal" allowBlank="1" showInputMessage="1" prompt="Dear Sir/ Madam - Score entered is greater than Max. Marks allotted." showErrorMessage="1" sqref="Z135">
      <formula1>0</formula1>
      <formula2>NaN</formula2>
    </dataValidation>
    <dataValidation type="decimal" allowBlank="1" showInputMessage="1" prompt="Dear Sir/ Madam - Score entered is greater than Max. Marks allotted." showErrorMessage="1" sqref="Z74">
      <formula1>0</formula1>
      <formula2>NaN</formula2>
    </dataValidation>
    <dataValidation type="decimal" allowBlank="1" showInputMessage="1" prompt="Dear Sir/ Madam - Score entered is greater than Max. Marks allotted." showErrorMessage="1" sqref="Z75">
      <formula1>0</formula1>
      <formula2>NaN</formula2>
    </dataValidation>
    <dataValidation type="decimal" allowBlank="1" showInputMessage="1" prompt="Dear Sir/ Madam - Score entered is greater than Max. Marks allotted." showErrorMessage="1" sqref="Z76">
      <formula1>0</formula1>
      <formula2>NaN</formula2>
    </dataValidation>
    <dataValidation type="decimal" allowBlank="1" showInputMessage="1" prompt="Dear Sir/ Madam - Score entered is greater than Max. Marks allotted." showErrorMessage="1" sqref="Z77">
      <formula1>0</formula1>
      <formula2>NaN</formula2>
    </dataValidation>
    <dataValidation type="decimal" allowBlank="1" showInputMessage="1" prompt="Dear Sir/ Madam - Score entered is greater than Max. Marks allotted." showErrorMessage="1" sqref="Z78">
      <formula1>0</formula1>
      <formula2>NaN</formula2>
    </dataValidation>
    <dataValidation type="decimal" allowBlank="1" showInputMessage="1" prompt="Dear Sir/ Madam - Score entered is greater than Max. Marks allotted." showErrorMessage="1" sqref="Z79">
      <formula1>0</formula1>
      <formula2>NaN</formula2>
    </dataValidation>
    <dataValidation type="decimal" allowBlank="1" showInputMessage="1" prompt="Dear Sir/ Madam - Score entered is greater than Max. Marks allotted." showErrorMessage="1" sqref="Z80">
      <formula1>0</formula1>
      <formula2>NaN</formula2>
    </dataValidation>
    <dataValidation type="decimal" allowBlank="1" showInputMessage="1" prompt="Dear Sir/ Madam - Score entered is greater than Max. Marks allotted." showErrorMessage="1" sqref="Z81">
      <formula1>0</formula1>
      <formula2>NaN</formula2>
    </dataValidation>
    <dataValidation type="decimal" allowBlank="1" showInputMessage="1" prompt="Dear Sir/ Madam - Score entered is greater than Max. Marks allotted." showErrorMessage="1" sqref="Z82">
      <formula1>0</formula1>
      <formula2>NaN</formula2>
    </dataValidation>
    <dataValidation type="decimal" allowBlank="1" showInputMessage="1" prompt="Dear Sir/ Madam - Score entered is greater than Max. Marks allotted." showErrorMessage="1" sqref="Z83">
      <formula1>0</formula1>
      <formula2>NaN</formula2>
    </dataValidation>
    <dataValidation type="decimal" allowBlank="1" showInputMessage="1" prompt="Dear Sir/ Madam - Score entered is greater than Max. Marks allotted." showErrorMessage="1" sqref="Z84">
      <formula1>0</formula1>
      <formula2>NaN</formula2>
    </dataValidation>
    <dataValidation type="decimal" allowBlank="1" showInputMessage="1" prompt="Dear Sir/ Madam - Score entered is greater than Max. Marks allotted." showErrorMessage="1" sqref="Z85">
      <formula1>0</formula1>
      <formula2>NaN</formula2>
    </dataValidation>
    <dataValidation type="decimal" allowBlank="1" showInputMessage="1" prompt="Dear Sir/ Madam - Score entered is greater than Max. Marks allotted." showErrorMessage="1" sqref="Z86">
      <formula1>0</formula1>
      <formula2>NaN</formula2>
    </dataValidation>
    <dataValidation type="decimal" allowBlank="1" showInputMessage="1" prompt="Dear Sir/ Madam - Score entered is greater than Max. Marks allotted." showErrorMessage="1" sqref="Z87">
      <formula1>0</formula1>
      <formula2>NaN</formula2>
    </dataValidation>
    <dataValidation type="decimal" allowBlank="1" showInputMessage="1" prompt="Dear Sir/ Madam - Score entered is greater than Max. Marks allotted." showErrorMessage="1" sqref="Z88">
      <formula1>0</formula1>
      <formula2>NaN</formula2>
    </dataValidation>
    <dataValidation type="decimal" allowBlank="1" showInputMessage="1" prompt="Dear Sir/ Madam - Score entered is greater than Max. Marks allotted." showErrorMessage="1" sqref="Z89">
      <formula1>0</formula1>
      <formula2>NaN</formula2>
    </dataValidation>
    <dataValidation type="decimal" allowBlank="1" showInputMessage="1" prompt="Dear Sir/ Madam - Score entered is greater than Max. Marks allotted." showErrorMessage="1" sqref="Z90">
      <formula1>0</formula1>
      <formula2>NaN</formula2>
    </dataValidation>
    <dataValidation type="decimal" allowBlank="1" showInputMessage="1" prompt="Dear Sir/ Madam - Score entered is greater than Max. Marks allotted." showErrorMessage="1" sqref="Z91">
      <formula1>0</formula1>
      <formula2>NaN</formula2>
    </dataValidation>
    <dataValidation type="decimal" allowBlank="1" showInputMessage="1" prompt="Dear Sir/ Madam - Score entered is greater than Max. Marks allotted." showErrorMessage="1" sqref="Z92">
      <formula1>0</formula1>
      <formula2>NaN</formula2>
    </dataValidation>
    <dataValidation type="decimal" allowBlank="1" showInputMessage="1" prompt="Dear Sir/ Madam - Score entered is greater than Max. Marks allotted." showErrorMessage="1" sqref="Z93">
      <formula1>0</formula1>
      <formula2>NaN</formula2>
    </dataValidation>
    <dataValidation type="decimal" allowBlank="1" showInputMessage="1" prompt="Dear Sir/ Madam - Score entered is greater than Max. Marks allotted." showErrorMessage="1" sqref="Z94">
      <formula1>0</formula1>
      <formula2>NaN</formula2>
    </dataValidation>
    <dataValidation type="decimal" allowBlank="1" showInputMessage="1" prompt="Dear Sir/ Madam - Score entered is greater than Max. Marks allotted." showErrorMessage="1" sqref="Z95">
      <formula1>0</formula1>
      <formula2>NaN</formula2>
    </dataValidation>
    <dataValidation type="decimal" allowBlank="1" showInputMessage="1" prompt="Dear Sir/ Madam - Score entered is greater than Max. Marks allotted." showErrorMessage="1" sqref="Z96">
      <formula1>0</formula1>
      <formula2>NaN</formula2>
    </dataValidation>
    <dataValidation type="decimal" allowBlank="1" showInputMessage="1" prompt="Dear Sir/ Madam - Score entered is greater than Max. Marks allotted." showErrorMessage="1" sqref="Z97">
      <formula1>0</formula1>
      <formula2>NaN</formula2>
    </dataValidation>
    <dataValidation type="decimal" allowBlank="1" showInputMessage="1" prompt="Dear Sir/ Madam - Score entered is greater than Max. Marks allotted." showErrorMessage="1" sqref="Z98">
      <formula1>0</formula1>
      <formula2>NaN</formula2>
    </dataValidation>
    <dataValidation type="decimal" allowBlank="1" showInputMessage="1" prompt="Dear Sir/ Madam - Score entered is greater than Max. Marks allotted." showErrorMessage="1" sqref="Z99">
      <formula1>0</formula1>
      <formula2>NaN</formula2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Views>
    <sheetView workbookViewId="0" zoomScale="100" zoomScaleNormal="100">
      <selection activeCell="C10" sqref="C10"/>
    </sheetView>
  </sheetViews>
  <sheetFormatPr defaultRowHeight="15" outlineLevelRow="0" outlineLevelCol="0" x14ac:dyDescent="0.3" defaultColWidth="14.44140625"/>
  <cols>
    <col min="1" max="1" width="3.88671875" customWidth="1"/>
    <col min="2" max="2" width="26.33203125" customWidth="1"/>
    <col min="3" max="3" width="9.88671875" customWidth="1"/>
    <col min="4" max="4" width="8.109375" customWidth="1"/>
    <col min="5" max="5" width="20.5546875" customWidth="1"/>
    <col min="6" max="6" width="25" customWidth="1"/>
    <col min="7" max="7" width="10.5546875" customWidth="1"/>
    <col min="8" max="26" width="8.6640625" customWidth="1"/>
  </cols>
  <sheetData>
    <row r="1" ht="12.75" customHeight="1" spans="1:6" x14ac:dyDescent="0.25">
      <c r="A1" s="225" t="s">
        <v>217</v>
      </c>
      <c r="B1" s="94"/>
      <c r="C1" s="402" t="str">
        <f>'IA Marks'!N4</f>
        <v>2024-25</v>
      </c>
      <c r="D1" s="5"/>
      <c r="E1" s="5"/>
      <c r="F1" s="94"/>
    </row>
    <row r="2" ht="12.75" customHeight="1" spans="1:6" x14ac:dyDescent="0.25">
      <c r="A2" s="403" t="s">
        <v>26</v>
      </c>
      <c r="B2" s="267"/>
      <c r="C2" s="266" t="str">
        <f>'IA Marks'!AI5</f>
        <v>Computer Organization and Architecture</v>
      </c>
      <c r="D2" s="16"/>
      <c r="E2" s="16"/>
      <c r="F2" s="267"/>
    </row>
    <row r="3" ht="12.75" customHeight="1" spans="1:6" x14ac:dyDescent="0.25">
      <c r="A3" s="403" t="s">
        <v>19</v>
      </c>
      <c r="B3" s="267"/>
      <c r="C3" s="266" t="str">
        <f>'IA Marks'!AP4</f>
        <v>S23CY304PC</v>
      </c>
      <c r="D3" s="16"/>
      <c r="E3" s="16"/>
      <c r="F3" s="267"/>
    </row>
    <row r="4" ht="12.75" customHeight="1" spans="1:6" x14ac:dyDescent="0.25">
      <c r="A4" s="404" t="s">
        <v>221</v>
      </c>
      <c r="B4" s="102"/>
      <c r="C4" s="270" t="str">
        <f>'IA Marks'!J5</f>
        <v>Dr. Kiran B. Malagi</v>
      </c>
      <c r="D4" s="42"/>
      <c r="E4" s="42"/>
      <c r="F4" s="102"/>
    </row>
    <row r="5" ht="18.6" customHeight="1" spans="1:7" x14ac:dyDescent="0.25">
      <c r="A5" s="405" t="s">
        <v>296</v>
      </c>
      <c r="B5" s="222"/>
      <c r="C5" s="222"/>
      <c r="D5" s="222"/>
      <c r="E5" s="222"/>
      <c r="F5" s="56"/>
      <c r="G5" s="164"/>
    </row>
    <row r="6" ht="12.75" customHeight="1" x14ac:dyDescent="0.25"/>
    <row r="7" ht="22.95" customHeight="1" spans="2:6" x14ac:dyDescent="0.25">
      <c r="B7" s="441" t="s">
        <v>297</v>
      </c>
      <c r="C7" s="441" t="s">
        <v>298</v>
      </c>
      <c r="D7" s="441" t="s">
        <v>299</v>
      </c>
      <c r="E7" s="441" t="s">
        <v>300</v>
      </c>
      <c r="F7" s="441"/>
    </row>
    <row r="8" ht="35.4" customHeight="1" spans="2:6" x14ac:dyDescent="0.25">
      <c r="B8" s="442" t="str">
        <f>'PO ATTAINMENT'!B17</f>
        <v>Apply Knowledge</v>
      </c>
      <c r="C8" s="441">
        <f>'PO ATTAINMENT'!B20</f>
        <v>2.25</v>
      </c>
      <c r="D8" s="441">
        <f>'PO ATTAINMENT'!B15</f>
        <v>2.4</v>
      </c>
      <c r="E8" s="443"/>
      <c r="F8" s="443"/>
    </row>
    <row r="9" ht="35.4" customHeight="1" spans="2:6" x14ac:dyDescent="0.25">
      <c r="B9" s="442" t="str">
        <f>'PO ATTAINMENT'!C17</f>
        <v>Solve Problems</v>
      </c>
      <c r="C9" s="441">
        <f>'PO ATTAINMENT'!C20</f>
        <v>1.1300000000000001</v>
      </c>
      <c r="D9" s="441">
        <f>'PO ATTAINMENT'!C15</f>
        <v>1.2</v>
      </c>
      <c r="E9" s="443"/>
      <c r="F9" s="443"/>
    </row>
    <row r="10" ht="35.4" customHeight="1" spans="2:6" x14ac:dyDescent="0.25">
      <c r="B10" s="442" t="str">
        <f>'PO ATTAINMENT'!D17</f>
        <v>Design/ Development of Solution</v>
      </c>
      <c r="C10" s="441">
        <f>'PO ATTAINMENT'!D20</f>
        <v>1.31</v>
      </c>
      <c r="D10" s="441">
        <f>'PO ATTAINMENT'!D15</f>
        <v>1.4</v>
      </c>
      <c r="E10" s="443"/>
      <c r="F10" s="443"/>
    </row>
    <row r="11" ht="35.4" customHeight="1" spans="2:6" x14ac:dyDescent="0.25">
      <c r="B11" s="442" t="str">
        <f>'PO ATTAINMENT'!E17</f>
        <v>Conduct Investigations</v>
      </c>
      <c r="C11" s="441">
        <f>'PO ATTAINMENT'!E20</f>
        <v>0.9400000000000001</v>
      </c>
      <c r="D11" s="441">
        <f>'PO ATTAINMENT'!E15</f>
        <v>1</v>
      </c>
      <c r="E11" s="443"/>
      <c r="F11" s="443"/>
    </row>
    <row r="12" ht="35.4" customHeight="1" spans="2:11" x14ac:dyDescent="0.25">
      <c r="B12" s="442" t="str">
        <f>'PO ATTAINMENT'!F17</f>
        <v>Use Modern Tools</v>
      </c>
      <c r="C12" s="441">
        <f>'PO ATTAINMENT'!F20</f>
        <v>1.87</v>
      </c>
      <c r="D12" s="441">
        <f>'PO ATTAINMENT'!F15</f>
        <v>2</v>
      </c>
      <c r="E12" s="443"/>
      <c r="F12" s="443"/>
      <c r="K12" s="444" t="s">
        <v>301</v>
      </c>
    </row>
    <row r="13" ht="35.4" customHeight="1" spans="2:6" x14ac:dyDescent="0.25">
      <c r="B13" s="442" t="str">
        <f>'PO ATTAINMENT'!G17</f>
        <v>Engineer and Society</v>
      </c>
      <c r="C13" s="441">
        <f>'PO ATTAINMENT'!G20</f>
      </c>
      <c r="D13" s="441">
        <f>'PO ATTAINMENT'!G15</f>
      </c>
      <c r="E13" s="443"/>
      <c r="F13" s="443"/>
    </row>
    <row r="14" ht="35.4" customHeight="1" spans="2:6" x14ac:dyDescent="0.25">
      <c r="B14" s="442" t="str">
        <f>'PO ATTAINMENT'!H17</f>
        <v>Environment and Sustainability</v>
      </c>
      <c r="C14" s="441">
        <f>'PO ATTAINMENT'!H20</f>
      </c>
      <c r="D14" s="441">
        <f>'PO ATTAINMENT'!H15</f>
      </c>
      <c r="E14" s="443"/>
      <c r="F14" s="443"/>
    </row>
    <row r="15" ht="35.4" customHeight="1" spans="2:6" x14ac:dyDescent="0.25">
      <c r="B15" s="442" t="str">
        <f>'PO ATTAINMENT'!I17</f>
        <v>Professional Ethics</v>
      </c>
      <c r="C15" s="441">
        <f>'PO ATTAINMENT'!I20</f>
      </c>
      <c r="D15" s="441">
        <f>'PO ATTAINMENT'!I15</f>
      </c>
      <c r="E15" s="443"/>
      <c r="F15" s="443"/>
    </row>
    <row r="16" ht="35.4" customHeight="1" spans="2:6" x14ac:dyDescent="0.25">
      <c r="B16" s="442" t="str">
        <f>'PO ATTAINMENT'!J17</f>
        <v>Individual and Team Work</v>
      </c>
      <c r="C16" s="441">
        <f>'PO ATTAINMENT'!J20</f>
        <v>1.56</v>
      </c>
      <c r="D16" s="441">
        <f>'PO ATTAINMENT'!J15</f>
        <v>1.67</v>
      </c>
      <c r="E16" s="443"/>
      <c r="F16" s="443"/>
    </row>
    <row r="17" ht="35.4" customHeight="1" spans="2:6" x14ac:dyDescent="0.25">
      <c r="B17" s="442" t="str">
        <f>'PO ATTAINMENT'!K17</f>
        <v>Communicate Effectively</v>
      </c>
      <c r="C17" s="441">
        <f>'PO ATTAINMENT'!K20</f>
        <v>0.9400000000000001</v>
      </c>
      <c r="D17" s="441">
        <f>'PO ATTAINMENT'!K15</f>
        <v>1</v>
      </c>
      <c r="E17" s="443"/>
      <c r="F17" s="443"/>
    </row>
    <row r="18" ht="35.4" customHeight="1" spans="2:6" x14ac:dyDescent="0.25">
      <c r="B18" s="442" t="str">
        <f>'PO ATTAINMENT'!L17</f>
        <v>Project Management and Finance</v>
      </c>
      <c r="C18" s="441">
        <f>'PO ATTAINMENT'!L20</f>
        <v>0.9400000000000001</v>
      </c>
      <c r="D18" s="441">
        <f>'PO ATTAINMENT'!L15</f>
        <v>1</v>
      </c>
      <c r="E18" s="443"/>
      <c r="F18" s="443"/>
    </row>
    <row r="19" ht="35.4" customHeight="1" spans="2:6" x14ac:dyDescent="0.25">
      <c r="B19" s="442" t="str">
        <f>'PO ATTAINMENT'!M17</f>
        <v>Life-long Learning</v>
      </c>
      <c r="C19" s="441">
        <f>'PO ATTAINMENT'!M20</f>
        <v>0.9400000000000001</v>
      </c>
      <c r="D19" s="441">
        <f>'PO ATTAINMENT'!M15</f>
        <v>1</v>
      </c>
      <c r="E19" s="443"/>
      <c r="F19" s="443"/>
    </row>
    <row r="20" ht="35.4" customHeight="1" spans="2:6" x14ac:dyDescent="0.25">
      <c r="B20" s="442" t="str">
        <f>'PO ATTAINMENT'!N17</f>
        <v>PSO 1</v>
      </c>
      <c r="C20" s="441">
        <f>'PO ATTAINMENT'!N20</f>
        <v>1.74</v>
      </c>
      <c r="D20" s="441">
        <f>'PO ATTAINMENT'!N15</f>
        <v>1</v>
      </c>
      <c r="E20" s="443"/>
      <c r="F20" s="443"/>
    </row>
    <row r="21" ht="35.4" customHeight="1" spans="2:6" x14ac:dyDescent="0.25">
      <c r="B21" s="442" t="str">
        <f>'PO ATTAINMENT'!O17</f>
        <v>PSO 2</v>
      </c>
      <c r="C21" s="441">
        <f>'PO ATTAINMENT'!O20</f>
      </c>
      <c r="D21" s="441">
        <f>'PO ATTAINMENT'!O15</f>
      </c>
      <c r="E21" s="443"/>
      <c r="F21" s="443"/>
    </row>
    <row r="22" ht="35.4" customHeight="1" spans="2:6" x14ac:dyDescent="0.25">
      <c r="B22" s="442" t="str">
        <f>'PO ATTAINMENT'!P17</f>
        <v>PSO 3</v>
      </c>
      <c r="C22" s="441">
        <f>'PO ATTAINMENT'!P20</f>
      </c>
      <c r="D22" s="441">
        <f>'PO ATTAINMENT'!P15</f>
      </c>
      <c r="E22" s="443"/>
      <c r="F22" s="443"/>
    </row>
    <row r="23" ht="12.75" customHeight="1" x14ac:dyDescent="0.25"/>
    <row r="24" ht="12.75" customHeight="1" spans="10:10" x14ac:dyDescent="0.25">
      <c r="J24" s="445"/>
    </row>
    <row r="25" ht="12.75" customHeight="1" x14ac:dyDescent="0.25"/>
    <row r="26" ht="12.75" customHeight="1" spans="1:10" x14ac:dyDescent="0.25">
      <c r="A26" s="289" t="s">
        <v>230</v>
      </c>
      <c r="B26" s="3"/>
      <c r="C26" s="401"/>
      <c r="D26" s="62"/>
      <c r="E26" s="289" t="s">
        <v>231</v>
      </c>
      <c r="F26" s="446"/>
      <c r="I26" s="436"/>
      <c r="J26" s="436"/>
    </row>
    <row r="27" ht="12.75" customHeight="1" spans="1:10" x14ac:dyDescent="0.25">
      <c r="A27" s="221"/>
      <c r="B27" s="222"/>
      <c r="C27" s="221"/>
      <c r="D27" s="56"/>
      <c r="E27" s="221"/>
      <c r="F27" s="447"/>
      <c r="I27" s="436"/>
      <c r="J27" s="436"/>
    </row>
    <row r="28" ht="13.5" customHeight="1" spans="1:10" x14ac:dyDescent="0.25">
      <c r="A28" s="13"/>
      <c r="B28" s="14"/>
      <c r="C28" s="13"/>
      <c r="D28" s="285"/>
      <c r="E28" s="13"/>
      <c r="F28" s="448"/>
      <c r="I28" s="436"/>
      <c r="J28" s="436"/>
    </row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</sheetData>
  <mergeCells count="28">
    <mergeCell ref="A1:B1"/>
    <mergeCell ref="C1:F1"/>
    <mergeCell ref="A2:B2"/>
    <mergeCell ref="C2:F2"/>
    <mergeCell ref="A3:B3"/>
    <mergeCell ref="C3:F3"/>
    <mergeCell ref="A4:B4"/>
    <mergeCell ref="C4:F4"/>
    <mergeCell ref="A5:F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26:B28"/>
    <mergeCell ref="C26:D28"/>
    <mergeCell ref="F26:F28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IA Marks</vt:lpstr>
      <vt:lpstr>SEE Marks</vt:lpstr>
      <vt:lpstr>Course End Survey (CES)</vt:lpstr>
      <vt:lpstr>CO Attainment</vt:lpstr>
      <vt:lpstr>PO ATTAINMENT</vt:lpstr>
      <vt:lpstr>Action Plan</vt:lpstr>
      <vt:lpstr>PO Attainment Action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Kiran Malagi</cp:lastModifiedBy>
  <cp:lastPrinted>2023-06-27T05:24:39Z</cp:lastPrinted>
  <dcterms:created xsi:type="dcterms:W3CDTF">2019-01-23T08:58:04Z</dcterms:created>
  <dcterms:modified xsi:type="dcterms:W3CDTF">2025-06-20T08:51:48Z</dcterms:modified>
</cp:coreProperties>
</file>